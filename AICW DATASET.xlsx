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a2e35d48c49fbf/Documents/"/>
    </mc:Choice>
  </mc:AlternateContent>
  <xr:revisionPtr revIDLastSave="183" documentId="8_{004F7C5A-E9E7-46D2-A179-2633F029FD4C}" xr6:coauthVersionLast="47" xr6:coauthVersionMax="47" xr10:uidLastSave="{44D8E166-4885-4521-9A0A-ED7CC27BC157}"/>
  <bookViews>
    <workbookView xWindow="-108" yWindow="-108" windowWidth="23256" windowHeight="12456" activeTab="1" xr2:uid="{89164EF8-B1EE-488B-BEBD-9B75A128F8B9}"/>
  </bookViews>
  <sheets>
    <sheet name="Raw Data" sheetId="1" r:id="rId1"/>
    <sheet name="Pivot Table" sheetId="2" r:id="rId2"/>
  </sheets>
  <definedNames>
    <definedName name="_xlnm._FilterDatabase" localSheetId="0" hidden="1">'Raw Data'!$A$1:$M$2001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L903" i="1"/>
  <c r="M903" i="1" s="1"/>
  <c r="L904" i="1"/>
  <c r="M904" i="1" s="1"/>
  <c r="L905" i="1"/>
  <c r="M905" i="1" s="1"/>
  <c r="L906" i="1"/>
  <c r="M906" i="1" s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29" i="1"/>
  <c r="M929" i="1" s="1"/>
  <c r="L930" i="1"/>
  <c r="M930" i="1" s="1"/>
  <c r="L931" i="1"/>
  <c r="M931" i="1" s="1"/>
  <c r="L932" i="1"/>
  <c r="M932" i="1" s="1"/>
  <c r="L933" i="1"/>
  <c r="M933" i="1" s="1"/>
  <c r="L934" i="1"/>
  <c r="M934" i="1" s="1"/>
  <c r="L935" i="1"/>
  <c r="M935" i="1" s="1"/>
  <c r="L936" i="1"/>
  <c r="M936" i="1" s="1"/>
  <c r="L937" i="1"/>
  <c r="M937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L961" i="1"/>
  <c r="M961" i="1" s="1"/>
  <c r="L962" i="1"/>
  <c r="M962" i="1" s="1"/>
  <c r="L963" i="1"/>
  <c r="M963" i="1" s="1"/>
  <c r="L964" i="1"/>
  <c r="M964" i="1" s="1"/>
  <c r="L965" i="1"/>
  <c r="M965" i="1" s="1"/>
  <c r="L966" i="1"/>
  <c r="M966" i="1" s="1"/>
  <c r="L967" i="1"/>
  <c r="M967" i="1" s="1"/>
  <c r="L968" i="1"/>
  <c r="M968" i="1" s="1"/>
  <c r="L969" i="1"/>
  <c r="M969" i="1" s="1"/>
  <c r="L970" i="1"/>
  <c r="M970" i="1" s="1"/>
  <c r="L971" i="1"/>
  <c r="M971" i="1" s="1"/>
  <c r="L972" i="1"/>
  <c r="M972" i="1" s="1"/>
  <c r="L973" i="1"/>
  <c r="M973" i="1" s="1"/>
  <c r="L974" i="1"/>
  <c r="M974" i="1" s="1"/>
  <c r="L975" i="1"/>
  <c r="M975" i="1" s="1"/>
  <c r="L976" i="1"/>
  <c r="M976" i="1" s="1"/>
  <c r="L977" i="1"/>
  <c r="M977" i="1" s="1"/>
  <c r="L978" i="1"/>
  <c r="M978" i="1" s="1"/>
  <c r="L979" i="1"/>
  <c r="M979" i="1" s="1"/>
  <c r="L980" i="1"/>
  <c r="M980" i="1" s="1"/>
  <c r="L981" i="1"/>
  <c r="M981" i="1" s="1"/>
  <c r="L982" i="1"/>
  <c r="M982" i="1" s="1"/>
  <c r="L983" i="1"/>
  <c r="M983" i="1" s="1"/>
  <c r="L984" i="1"/>
  <c r="M984" i="1" s="1"/>
  <c r="L985" i="1"/>
  <c r="M985" i="1" s="1"/>
  <c r="L986" i="1"/>
  <c r="M986" i="1" s="1"/>
  <c r="L987" i="1"/>
  <c r="M987" i="1" s="1"/>
  <c r="L988" i="1"/>
  <c r="M988" i="1" s="1"/>
  <c r="L989" i="1"/>
  <c r="M989" i="1" s="1"/>
  <c r="L990" i="1"/>
  <c r="M990" i="1" s="1"/>
  <c r="L991" i="1"/>
  <c r="M991" i="1" s="1"/>
  <c r="L992" i="1"/>
  <c r="M992" i="1" s="1"/>
  <c r="L993" i="1"/>
  <c r="M993" i="1" s="1"/>
  <c r="L994" i="1"/>
  <c r="M994" i="1" s="1"/>
  <c r="L995" i="1"/>
  <c r="M995" i="1" s="1"/>
  <c r="L996" i="1"/>
  <c r="M996" i="1" s="1"/>
  <c r="L997" i="1"/>
  <c r="M997" i="1" s="1"/>
  <c r="L998" i="1"/>
  <c r="M998" i="1" s="1"/>
  <c r="L999" i="1"/>
  <c r="M999" i="1" s="1"/>
  <c r="L1000" i="1"/>
  <c r="M1000" i="1" s="1"/>
  <c r="L1001" i="1"/>
  <c r="M1001" i="1" s="1"/>
  <c r="L1002" i="1"/>
  <c r="M1002" i="1" s="1"/>
  <c r="L1003" i="1"/>
  <c r="M1003" i="1" s="1"/>
  <c r="L1004" i="1"/>
  <c r="M1004" i="1" s="1"/>
  <c r="L1005" i="1"/>
  <c r="M1005" i="1" s="1"/>
  <c r="L1006" i="1"/>
  <c r="M1006" i="1" s="1"/>
  <c r="L1007" i="1"/>
  <c r="M1007" i="1" s="1"/>
  <c r="L1008" i="1"/>
  <c r="M1008" i="1" s="1"/>
  <c r="L1009" i="1"/>
  <c r="M1009" i="1" s="1"/>
  <c r="L1010" i="1"/>
  <c r="M1010" i="1" s="1"/>
  <c r="L1011" i="1"/>
  <c r="M1011" i="1" s="1"/>
  <c r="L1012" i="1"/>
  <c r="M1012" i="1" s="1"/>
  <c r="L1013" i="1"/>
  <c r="M1013" i="1" s="1"/>
  <c r="L1014" i="1"/>
  <c r="M1014" i="1" s="1"/>
  <c r="L1015" i="1"/>
  <c r="M1015" i="1" s="1"/>
  <c r="L1016" i="1"/>
  <c r="M1016" i="1" s="1"/>
  <c r="L1017" i="1"/>
  <c r="M1017" i="1" s="1"/>
  <c r="L1018" i="1"/>
  <c r="M1018" i="1" s="1"/>
  <c r="L1019" i="1"/>
  <c r="M1019" i="1" s="1"/>
  <c r="L1020" i="1"/>
  <c r="M1020" i="1" s="1"/>
  <c r="L1021" i="1"/>
  <c r="M1021" i="1" s="1"/>
  <c r="L1022" i="1"/>
  <c r="M1022" i="1" s="1"/>
  <c r="L1023" i="1"/>
  <c r="M1023" i="1" s="1"/>
  <c r="L1024" i="1"/>
  <c r="M1024" i="1" s="1"/>
  <c r="L1025" i="1"/>
  <c r="M1025" i="1" s="1"/>
  <c r="L1026" i="1"/>
  <c r="M1026" i="1" s="1"/>
  <c r="L1027" i="1"/>
  <c r="M1027" i="1" s="1"/>
  <c r="L1028" i="1"/>
  <c r="M1028" i="1" s="1"/>
  <c r="L1029" i="1"/>
  <c r="M1029" i="1" s="1"/>
  <c r="L1030" i="1"/>
  <c r="M1030" i="1" s="1"/>
  <c r="L1031" i="1"/>
  <c r="M1031" i="1" s="1"/>
  <c r="L1032" i="1"/>
  <c r="M1032" i="1" s="1"/>
  <c r="L1033" i="1"/>
  <c r="M1033" i="1" s="1"/>
  <c r="L1034" i="1"/>
  <c r="M1034" i="1" s="1"/>
  <c r="L1035" i="1"/>
  <c r="M1035" i="1" s="1"/>
  <c r="L1036" i="1"/>
  <c r="M1036" i="1" s="1"/>
  <c r="L1037" i="1"/>
  <c r="M1037" i="1" s="1"/>
  <c r="L1038" i="1"/>
  <c r="M1038" i="1" s="1"/>
  <c r="L1039" i="1"/>
  <c r="M1039" i="1" s="1"/>
  <c r="L1040" i="1"/>
  <c r="M1040" i="1" s="1"/>
  <c r="L1041" i="1"/>
  <c r="M1041" i="1" s="1"/>
  <c r="L1042" i="1"/>
  <c r="M1042" i="1" s="1"/>
  <c r="L1043" i="1"/>
  <c r="M1043" i="1" s="1"/>
  <c r="L1044" i="1"/>
  <c r="M1044" i="1" s="1"/>
  <c r="L1045" i="1"/>
  <c r="M1045" i="1" s="1"/>
  <c r="L1046" i="1"/>
  <c r="M1046" i="1" s="1"/>
  <c r="L1047" i="1"/>
  <c r="M1047" i="1" s="1"/>
  <c r="L1048" i="1"/>
  <c r="M1048" i="1" s="1"/>
  <c r="L1049" i="1"/>
  <c r="M1049" i="1" s="1"/>
  <c r="L1050" i="1"/>
  <c r="M1050" i="1" s="1"/>
  <c r="L1051" i="1"/>
  <c r="M1051" i="1" s="1"/>
  <c r="L1052" i="1"/>
  <c r="M1052" i="1" s="1"/>
  <c r="L1053" i="1"/>
  <c r="M1053" i="1" s="1"/>
  <c r="L1054" i="1"/>
  <c r="M1054" i="1" s="1"/>
  <c r="L1055" i="1"/>
  <c r="M1055" i="1" s="1"/>
  <c r="L1056" i="1"/>
  <c r="M1056" i="1" s="1"/>
  <c r="L1057" i="1"/>
  <c r="M1057" i="1" s="1"/>
  <c r="L1058" i="1"/>
  <c r="M1058" i="1" s="1"/>
  <c r="L1059" i="1"/>
  <c r="M1059" i="1" s="1"/>
  <c r="L1060" i="1"/>
  <c r="M1060" i="1" s="1"/>
  <c r="L1061" i="1"/>
  <c r="M1061" i="1" s="1"/>
  <c r="L1062" i="1"/>
  <c r="M1062" i="1" s="1"/>
  <c r="L1063" i="1"/>
  <c r="M1063" i="1" s="1"/>
  <c r="L1064" i="1"/>
  <c r="M1064" i="1" s="1"/>
  <c r="L1065" i="1"/>
  <c r="M1065" i="1" s="1"/>
  <c r="L1066" i="1"/>
  <c r="M1066" i="1" s="1"/>
  <c r="L1067" i="1"/>
  <c r="M1067" i="1" s="1"/>
  <c r="L1068" i="1"/>
  <c r="M1068" i="1" s="1"/>
  <c r="L1069" i="1"/>
  <c r="M1069" i="1" s="1"/>
  <c r="L1070" i="1"/>
  <c r="M1070" i="1" s="1"/>
  <c r="L1071" i="1"/>
  <c r="M1071" i="1" s="1"/>
  <c r="L1072" i="1"/>
  <c r="M1072" i="1" s="1"/>
  <c r="L1073" i="1"/>
  <c r="M1073" i="1" s="1"/>
  <c r="L1074" i="1"/>
  <c r="M1074" i="1" s="1"/>
  <c r="L1075" i="1"/>
  <c r="M1075" i="1" s="1"/>
  <c r="L1076" i="1"/>
  <c r="M1076" i="1" s="1"/>
  <c r="L1077" i="1"/>
  <c r="M1077" i="1" s="1"/>
  <c r="L1078" i="1"/>
  <c r="M1078" i="1" s="1"/>
  <c r="L1079" i="1"/>
  <c r="M1079" i="1" s="1"/>
  <c r="L1080" i="1"/>
  <c r="M1080" i="1" s="1"/>
  <c r="L1081" i="1"/>
  <c r="M1081" i="1" s="1"/>
  <c r="L1082" i="1"/>
  <c r="M1082" i="1" s="1"/>
  <c r="L1083" i="1"/>
  <c r="M1083" i="1" s="1"/>
  <c r="L1084" i="1"/>
  <c r="M1084" i="1" s="1"/>
  <c r="L1085" i="1"/>
  <c r="M1085" i="1" s="1"/>
  <c r="L1086" i="1"/>
  <c r="M1086" i="1" s="1"/>
  <c r="L1087" i="1"/>
  <c r="M1087" i="1" s="1"/>
  <c r="L1088" i="1"/>
  <c r="M1088" i="1" s="1"/>
  <c r="L1089" i="1"/>
  <c r="M1089" i="1" s="1"/>
  <c r="L1090" i="1"/>
  <c r="M1090" i="1" s="1"/>
  <c r="L1091" i="1"/>
  <c r="M1091" i="1" s="1"/>
  <c r="L1092" i="1"/>
  <c r="M1092" i="1" s="1"/>
  <c r="L1093" i="1"/>
  <c r="M1093" i="1" s="1"/>
  <c r="L1094" i="1"/>
  <c r="M1094" i="1" s="1"/>
  <c r="L1095" i="1"/>
  <c r="M1095" i="1" s="1"/>
  <c r="L1096" i="1"/>
  <c r="M1096" i="1" s="1"/>
  <c r="L1097" i="1"/>
  <c r="M1097" i="1" s="1"/>
  <c r="L1098" i="1"/>
  <c r="M1098" i="1" s="1"/>
  <c r="L1099" i="1"/>
  <c r="M1099" i="1" s="1"/>
  <c r="L1100" i="1"/>
  <c r="M1100" i="1" s="1"/>
  <c r="L1101" i="1"/>
  <c r="M1101" i="1" s="1"/>
  <c r="L1102" i="1"/>
  <c r="M1102" i="1" s="1"/>
  <c r="L1103" i="1"/>
  <c r="M1103" i="1" s="1"/>
  <c r="L1104" i="1"/>
  <c r="M1104" i="1" s="1"/>
  <c r="L1105" i="1"/>
  <c r="M1105" i="1" s="1"/>
  <c r="L1106" i="1"/>
  <c r="M1106" i="1" s="1"/>
  <c r="L1107" i="1"/>
  <c r="M1107" i="1" s="1"/>
  <c r="L1108" i="1"/>
  <c r="M1108" i="1" s="1"/>
  <c r="L1109" i="1"/>
  <c r="M1109" i="1" s="1"/>
  <c r="L1110" i="1"/>
  <c r="M1110" i="1" s="1"/>
  <c r="L1111" i="1"/>
  <c r="M1111" i="1" s="1"/>
  <c r="L1112" i="1"/>
  <c r="M1112" i="1" s="1"/>
  <c r="L1113" i="1"/>
  <c r="M1113" i="1" s="1"/>
  <c r="L1114" i="1"/>
  <c r="M1114" i="1" s="1"/>
  <c r="L1115" i="1"/>
  <c r="M1115" i="1" s="1"/>
  <c r="L1116" i="1"/>
  <c r="M1116" i="1" s="1"/>
  <c r="L1117" i="1"/>
  <c r="M1117" i="1" s="1"/>
  <c r="L1118" i="1"/>
  <c r="M1118" i="1" s="1"/>
  <c r="L1119" i="1"/>
  <c r="M1119" i="1" s="1"/>
  <c r="L1120" i="1"/>
  <c r="M1120" i="1" s="1"/>
  <c r="L1121" i="1"/>
  <c r="M1121" i="1" s="1"/>
  <c r="L1122" i="1"/>
  <c r="M1122" i="1" s="1"/>
  <c r="L1123" i="1"/>
  <c r="M1123" i="1" s="1"/>
  <c r="L1124" i="1"/>
  <c r="M1124" i="1" s="1"/>
  <c r="L1125" i="1"/>
  <c r="M1125" i="1" s="1"/>
  <c r="L1126" i="1"/>
  <c r="M1126" i="1" s="1"/>
  <c r="L1127" i="1"/>
  <c r="M1127" i="1" s="1"/>
  <c r="L1128" i="1"/>
  <c r="M1128" i="1" s="1"/>
  <c r="L1129" i="1"/>
  <c r="M1129" i="1" s="1"/>
  <c r="L1130" i="1"/>
  <c r="M1130" i="1" s="1"/>
  <c r="L1131" i="1"/>
  <c r="M1131" i="1" s="1"/>
  <c r="L1132" i="1"/>
  <c r="M1132" i="1" s="1"/>
  <c r="L1133" i="1"/>
  <c r="M1133" i="1" s="1"/>
  <c r="L1134" i="1"/>
  <c r="M1134" i="1" s="1"/>
  <c r="L1135" i="1"/>
  <c r="M1135" i="1" s="1"/>
  <c r="L1136" i="1"/>
  <c r="M1136" i="1" s="1"/>
  <c r="L1137" i="1"/>
  <c r="M1137" i="1" s="1"/>
  <c r="L1138" i="1"/>
  <c r="M1138" i="1" s="1"/>
  <c r="L1139" i="1"/>
  <c r="M1139" i="1" s="1"/>
  <c r="L1140" i="1"/>
  <c r="M1140" i="1" s="1"/>
  <c r="L1141" i="1"/>
  <c r="M1141" i="1" s="1"/>
  <c r="L1142" i="1"/>
  <c r="M1142" i="1" s="1"/>
  <c r="L1143" i="1"/>
  <c r="M1143" i="1" s="1"/>
  <c r="L1144" i="1"/>
  <c r="M1144" i="1" s="1"/>
  <c r="L1145" i="1"/>
  <c r="M1145" i="1" s="1"/>
  <c r="L1146" i="1"/>
  <c r="M1146" i="1" s="1"/>
  <c r="L1147" i="1"/>
  <c r="M1147" i="1" s="1"/>
  <c r="L1148" i="1"/>
  <c r="M1148" i="1" s="1"/>
  <c r="L1149" i="1"/>
  <c r="M1149" i="1" s="1"/>
  <c r="L1150" i="1"/>
  <c r="M1150" i="1" s="1"/>
  <c r="L1151" i="1"/>
  <c r="M1151" i="1" s="1"/>
  <c r="L1152" i="1"/>
  <c r="M1152" i="1" s="1"/>
  <c r="L1153" i="1"/>
  <c r="M1153" i="1" s="1"/>
  <c r="L1154" i="1"/>
  <c r="M1154" i="1" s="1"/>
  <c r="L1155" i="1"/>
  <c r="M1155" i="1" s="1"/>
  <c r="L1156" i="1"/>
  <c r="M1156" i="1" s="1"/>
  <c r="L1157" i="1"/>
  <c r="M1157" i="1" s="1"/>
  <c r="L1158" i="1"/>
  <c r="M1158" i="1" s="1"/>
  <c r="L1159" i="1"/>
  <c r="M1159" i="1" s="1"/>
  <c r="L1160" i="1"/>
  <c r="M1160" i="1" s="1"/>
  <c r="L1161" i="1"/>
  <c r="M1161" i="1" s="1"/>
  <c r="L1162" i="1"/>
  <c r="M1162" i="1" s="1"/>
  <c r="L1163" i="1"/>
  <c r="M1163" i="1" s="1"/>
  <c r="L1164" i="1"/>
  <c r="M1164" i="1" s="1"/>
  <c r="L1165" i="1"/>
  <c r="M1165" i="1" s="1"/>
  <c r="L1166" i="1"/>
  <c r="M1166" i="1" s="1"/>
  <c r="L1167" i="1"/>
  <c r="M1167" i="1" s="1"/>
  <c r="L1168" i="1"/>
  <c r="M1168" i="1" s="1"/>
  <c r="L1169" i="1"/>
  <c r="M1169" i="1" s="1"/>
  <c r="L1170" i="1"/>
  <c r="M1170" i="1" s="1"/>
  <c r="L1171" i="1"/>
  <c r="M1171" i="1" s="1"/>
  <c r="L1172" i="1"/>
  <c r="M1172" i="1" s="1"/>
  <c r="L1173" i="1"/>
  <c r="M1173" i="1" s="1"/>
  <c r="L1174" i="1"/>
  <c r="M1174" i="1" s="1"/>
  <c r="L1175" i="1"/>
  <c r="M1175" i="1" s="1"/>
  <c r="L1176" i="1"/>
  <c r="M1176" i="1" s="1"/>
  <c r="L1177" i="1"/>
  <c r="M1177" i="1" s="1"/>
  <c r="L1178" i="1"/>
  <c r="M1178" i="1" s="1"/>
  <c r="L1179" i="1"/>
  <c r="M1179" i="1" s="1"/>
  <c r="L1180" i="1"/>
  <c r="M1180" i="1" s="1"/>
  <c r="L1181" i="1"/>
  <c r="M1181" i="1" s="1"/>
  <c r="L1182" i="1"/>
  <c r="M1182" i="1" s="1"/>
  <c r="L1183" i="1"/>
  <c r="M1183" i="1" s="1"/>
  <c r="L1184" i="1"/>
  <c r="M1184" i="1" s="1"/>
  <c r="L1185" i="1"/>
  <c r="M1185" i="1" s="1"/>
  <c r="L1186" i="1"/>
  <c r="M1186" i="1" s="1"/>
  <c r="L1187" i="1"/>
  <c r="M1187" i="1" s="1"/>
  <c r="L1188" i="1"/>
  <c r="M1188" i="1" s="1"/>
  <c r="L1189" i="1"/>
  <c r="M1189" i="1" s="1"/>
  <c r="L1190" i="1"/>
  <c r="M1190" i="1" s="1"/>
  <c r="L1191" i="1"/>
  <c r="M1191" i="1" s="1"/>
  <c r="L1192" i="1"/>
  <c r="M1192" i="1" s="1"/>
  <c r="L1193" i="1"/>
  <c r="M1193" i="1" s="1"/>
  <c r="L1194" i="1"/>
  <c r="M1194" i="1" s="1"/>
  <c r="L1195" i="1"/>
  <c r="M1195" i="1" s="1"/>
  <c r="L1196" i="1"/>
  <c r="M1196" i="1" s="1"/>
  <c r="L1197" i="1"/>
  <c r="M1197" i="1" s="1"/>
  <c r="L1198" i="1"/>
  <c r="M1198" i="1" s="1"/>
  <c r="L1199" i="1"/>
  <c r="M1199" i="1" s="1"/>
  <c r="L1200" i="1"/>
  <c r="M1200" i="1" s="1"/>
  <c r="L1201" i="1"/>
  <c r="M1201" i="1" s="1"/>
  <c r="L1202" i="1"/>
  <c r="M1202" i="1" s="1"/>
  <c r="L1203" i="1"/>
  <c r="M1203" i="1" s="1"/>
  <c r="L1204" i="1"/>
  <c r="M1204" i="1" s="1"/>
  <c r="L1205" i="1"/>
  <c r="M1205" i="1" s="1"/>
  <c r="L1206" i="1"/>
  <c r="M1206" i="1" s="1"/>
  <c r="L1207" i="1"/>
  <c r="M1207" i="1" s="1"/>
  <c r="L1208" i="1"/>
  <c r="M1208" i="1" s="1"/>
  <c r="L1209" i="1"/>
  <c r="M1209" i="1" s="1"/>
  <c r="L1210" i="1"/>
  <c r="M1210" i="1" s="1"/>
  <c r="L1211" i="1"/>
  <c r="M1211" i="1" s="1"/>
  <c r="L1212" i="1"/>
  <c r="M1212" i="1" s="1"/>
  <c r="L1213" i="1"/>
  <c r="M1213" i="1" s="1"/>
  <c r="L1214" i="1"/>
  <c r="M1214" i="1" s="1"/>
  <c r="L1215" i="1"/>
  <c r="M1215" i="1" s="1"/>
  <c r="L1216" i="1"/>
  <c r="M1216" i="1" s="1"/>
  <c r="L1217" i="1"/>
  <c r="M1217" i="1" s="1"/>
  <c r="L1218" i="1"/>
  <c r="M1218" i="1" s="1"/>
  <c r="L1219" i="1"/>
  <c r="M1219" i="1" s="1"/>
  <c r="L1220" i="1"/>
  <c r="M1220" i="1" s="1"/>
  <c r="L1221" i="1"/>
  <c r="M1221" i="1" s="1"/>
  <c r="L1222" i="1"/>
  <c r="M1222" i="1" s="1"/>
  <c r="L1223" i="1"/>
  <c r="M1223" i="1" s="1"/>
  <c r="L1224" i="1"/>
  <c r="M1224" i="1" s="1"/>
  <c r="L1225" i="1"/>
  <c r="M1225" i="1" s="1"/>
  <c r="L1226" i="1"/>
  <c r="M1226" i="1" s="1"/>
  <c r="L1227" i="1"/>
  <c r="M1227" i="1" s="1"/>
  <c r="L1228" i="1"/>
  <c r="M1228" i="1" s="1"/>
  <c r="L1229" i="1"/>
  <c r="M1229" i="1" s="1"/>
  <c r="L1230" i="1"/>
  <c r="M1230" i="1" s="1"/>
  <c r="L1231" i="1"/>
  <c r="M1231" i="1" s="1"/>
  <c r="L1232" i="1"/>
  <c r="M1232" i="1" s="1"/>
  <c r="L1233" i="1"/>
  <c r="M1233" i="1" s="1"/>
  <c r="L1234" i="1"/>
  <c r="M1234" i="1" s="1"/>
  <c r="L1235" i="1"/>
  <c r="M1235" i="1" s="1"/>
  <c r="L1236" i="1"/>
  <c r="M1236" i="1" s="1"/>
  <c r="L1237" i="1"/>
  <c r="M1237" i="1" s="1"/>
  <c r="L1238" i="1"/>
  <c r="M1238" i="1" s="1"/>
  <c r="L1239" i="1"/>
  <c r="M1239" i="1" s="1"/>
  <c r="L1240" i="1"/>
  <c r="M1240" i="1" s="1"/>
  <c r="L1241" i="1"/>
  <c r="M1241" i="1" s="1"/>
  <c r="L1242" i="1"/>
  <c r="M1242" i="1" s="1"/>
  <c r="L1243" i="1"/>
  <c r="M1243" i="1" s="1"/>
  <c r="L1244" i="1"/>
  <c r="M1244" i="1" s="1"/>
  <c r="L1245" i="1"/>
  <c r="M1245" i="1" s="1"/>
  <c r="L1246" i="1"/>
  <c r="M1246" i="1" s="1"/>
  <c r="L1247" i="1"/>
  <c r="M1247" i="1" s="1"/>
  <c r="L1248" i="1"/>
  <c r="M1248" i="1" s="1"/>
  <c r="L1249" i="1"/>
  <c r="M1249" i="1" s="1"/>
  <c r="L1250" i="1"/>
  <c r="M1250" i="1" s="1"/>
  <c r="L1251" i="1"/>
  <c r="M1251" i="1" s="1"/>
  <c r="L1252" i="1"/>
  <c r="M1252" i="1" s="1"/>
  <c r="L1253" i="1"/>
  <c r="M1253" i="1" s="1"/>
  <c r="L1254" i="1"/>
  <c r="M1254" i="1" s="1"/>
  <c r="L1255" i="1"/>
  <c r="M1255" i="1" s="1"/>
  <c r="L1256" i="1"/>
  <c r="M1256" i="1" s="1"/>
  <c r="L1257" i="1"/>
  <c r="M1257" i="1" s="1"/>
  <c r="L1258" i="1"/>
  <c r="M1258" i="1" s="1"/>
  <c r="L1259" i="1"/>
  <c r="M1259" i="1" s="1"/>
  <c r="L1260" i="1"/>
  <c r="M1260" i="1" s="1"/>
  <c r="L1261" i="1"/>
  <c r="M1261" i="1" s="1"/>
  <c r="L1262" i="1"/>
  <c r="M1262" i="1" s="1"/>
  <c r="L1263" i="1"/>
  <c r="M1263" i="1" s="1"/>
  <c r="L1264" i="1"/>
  <c r="M1264" i="1" s="1"/>
  <c r="L1265" i="1"/>
  <c r="M1265" i="1" s="1"/>
  <c r="L1266" i="1"/>
  <c r="M1266" i="1" s="1"/>
  <c r="L1267" i="1"/>
  <c r="M1267" i="1" s="1"/>
  <c r="L1268" i="1"/>
  <c r="M1268" i="1" s="1"/>
  <c r="L1269" i="1"/>
  <c r="M1269" i="1" s="1"/>
  <c r="L1270" i="1"/>
  <c r="M1270" i="1" s="1"/>
  <c r="L1271" i="1"/>
  <c r="M1271" i="1" s="1"/>
  <c r="L1272" i="1"/>
  <c r="M1272" i="1" s="1"/>
  <c r="L1273" i="1"/>
  <c r="M1273" i="1" s="1"/>
  <c r="L1274" i="1"/>
  <c r="M1274" i="1" s="1"/>
  <c r="L1275" i="1"/>
  <c r="M1275" i="1" s="1"/>
  <c r="L1276" i="1"/>
  <c r="M1276" i="1" s="1"/>
  <c r="L1277" i="1"/>
  <c r="M1277" i="1" s="1"/>
  <c r="L1278" i="1"/>
  <c r="M1278" i="1" s="1"/>
  <c r="L1279" i="1"/>
  <c r="M1279" i="1" s="1"/>
  <c r="L1280" i="1"/>
  <c r="M1280" i="1" s="1"/>
  <c r="L1281" i="1"/>
  <c r="M1281" i="1" s="1"/>
  <c r="L1282" i="1"/>
  <c r="M1282" i="1" s="1"/>
  <c r="L1283" i="1"/>
  <c r="M1283" i="1" s="1"/>
  <c r="L1284" i="1"/>
  <c r="M1284" i="1" s="1"/>
  <c r="L1285" i="1"/>
  <c r="M1285" i="1" s="1"/>
  <c r="L1286" i="1"/>
  <c r="M1286" i="1" s="1"/>
  <c r="L1287" i="1"/>
  <c r="M1287" i="1" s="1"/>
  <c r="L1288" i="1"/>
  <c r="M1288" i="1" s="1"/>
  <c r="L1289" i="1"/>
  <c r="M1289" i="1" s="1"/>
  <c r="L1290" i="1"/>
  <c r="M1290" i="1" s="1"/>
  <c r="L1291" i="1"/>
  <c r="M1291" i="1" s="1"/>
  <c r="L1292" i="1"/>
  <c r="M1292" i="1" s="1"/>
  <c r="L1293" i="1"/>
  <c r="M1293" i="1" s="1"/>
  <c r="L1294" i="1"/>
  <c r="M1294" i="1" s="1"/>
  <c r="L1295" i="1"/>
  <c r="M1295" i="1" s="1"/>
  <c r="L1296" i="1"/>
  <c r="M1296" i="1" s="1"/>
  <c r="L1297" i="1"/>
  <c r="M1297" i="1" s="1"/>
  <c r="L1298" i="1"/>
  <c r="M1298" i="1" s="1"/>
  <c r="L1299" i="1"/>
  <c r="M1299" i="1" s="1"/>
  <c r="L1300" i="1"/>
  <c r="M1300" i="1" s="1"/>
  <c r="L1301" i="1"/>
  <c r="M1301" i="1" s="1"/>
  <c r="L1302" i="1"/>
  <c r="M1302" i="1" s="1"/>
  <c r="L1303" i="1"/>
  <c r="M1303" i="1" s="1"/>
  <c r="L1304" i="1"/>
  <c r="M1304" i="1" s="1"/>
  <c r="L1305" i="1"/>
  <c r="M1305" i="1" s="1"/>
  <c r="L1306" i="1"/>
  <c r="M1306" i="1" s="1"/>
  <c r="L1307" i="1"/>
  <c r="M1307" i="1" s="1"/>
  <c r="L1308" i="1"/>
  <c r="M1308" i="1" s="1"/>
  <c r="L1309" i="1"/>
  <c r="M1309" i="1" s="1"/>
  <c r="L1310" i="1"/>
  <c r="M1310" i="1" s="1"/>
  <c r="L1311" i="1"/>
  <c r="M1311" i="1" s="1"/>
  <c r="L1312" i="1"/>
  <c r="M1312" i="1" s="1"/>
  <c r="L1313" i="1"/>
  <c r="M1313" i="1" s="1"/>
  <c r="L1314" i="1"/>
  <c r="M1314" i="1" s="1"/>
  <c r="L1315" i="1"/>
  <c r="M1315" i="1" s="1"/>
  <c r="L1316" i="1"/>
  <c r="M1316" i="1" s="1"/>
  <c r="L1317" i="1"/>
  <c r="M1317" i="1" s="1"/>
  <c r="L1318" i="1"/>
  <c r="M1318" i="1" s="1"/>
  <c r="L1319" i="1"/>
  <c r="M1319" i="1" s="1"/>
  <c r="L1320" i="1"/>
  <c r="M1320" i="1" s="1"/>
  <c r="L1321" i="1"/>
  <c r="M1321" i="1" s="1"/>
  <c r="L1322" i="1"/>
  <c r="M1322" i="1" s="1"/>
  <c r="L1323" i="1"/>
  <c r="M1323" i="1" s="1"/>
  <c r="L1324" i="1"/>
  <c r="M1324" i="1" s="1"/>
  <c r="L1325" i="1"/>
  <c r="M1325" i="1" s="1"/>
  <c r="L1326" i="1"/>
  <c r="M1326" i="1" s="1"/>
  <c r="L1327" i="1"/>
  <c r="M1327" i="1" s="1"/>
  <c r="L1328" i="1"/>
  <c r="M1328" i="1" s="1"/>
  <c r="L1329" i="1"/>
  <c r="M1329" i="1" s="1"/>
  <c r="L1330" i="1"/>
  <c r="M1330" i="1" s="1"/>
  <c r="L1331" i="1"/>
  <c r="M1331" i="1" s="1"/>
  <c r="L1332" i="1"/>
  <c r="M1332" i="1" s="1"/>
  <c r="L1333" i="1"/>
  <c r="M1333" i="1" s="1"/>
  <c r="L1334" i="1"/>
  <c r="M1334" i="1" s="1"/>
  <c r="L1335" i="1"/>
  <c r="M1335" i="1" s="1"/>
  <c r="L1336" i="1"/>
  <c r="M1336" i="1" s="1"/>
  <c r="L1337" i="1"/>
  <c r="M1337" i="1" s="1"/>
  <c r="L1338" i="1"/>
  <c r="M1338" i="1" s="1"/>
  <c r="L1339" i="1"/>
  <c r="M1339" i="1" s="1"/>
  <c r="L1340" i="1"/>
  <c r="M1340" i="1" s="1"/>
  <c r="L1341" i="1"/>
  <c r="M1341" i="1" s="1"/>
  <c r="L1342" i="1"/>
  <c r="M1342" i="1" s="1"/>
  <c r="L1343" i="1"/>
  <c r="M1343" i="1" s="1"/>
  <c r="L1344" i="1"/>
  <c r="M1344" i="1" s="1"/>
  <c r="L1345" i="1"/>
  <c r="M1345" i="1" s="1"/>
  <c r="L1346" i="1"/>
  <c r="M1346" i="1" s="1"/>
  <c r="L1347" i="1"/>
  <c r="M1347" i="1" s="1"/>
  <c r="L1348" i="1"/>
  <c r="M1348" i="1" s="1"/>
  <c r="L1349" i="1"/>
  <c r="M1349" i="1" s="1"/>
  <c r="L1350" i="1"/>
  <c r="M1350" i="1" s="1"/>
  <c r="L1351" i="1"/>
  <c r="M1351" i="1" s="1"/>
  <c r="L1352" i="1"/>
  <c r="M1352" i="1" s="1"/>
  <c r="L1353" i="1"/>
  <c r="M1353" i="1" s="1"/>
  <c r="L1354" i="1"/>
  <c r="M1354" i="1" s="1"/>
  <c r="L1355" i="1"/>
  <c r="M1355" i="1" s="1"/>
  <c r="L1356" i="1"/>
  <c r="M1356" i="1" s="1"/>
  <c r="L1357" i="1"/>
  <c r="M1357" i="1" s="1"/>
  <c r="L1358" i="1"/>
  <c r="M1358" i="1" s="1"/>
  <c r="L1359" i="1"/>
  <c r="M1359" i="1" s="1"/>
  <c r="L1360" i="1"/>
  <c r="M1360" i="1" s="1"/>
  <c r="L1361" i="1"/>
  <c r="M1361" i="1" s="1"/>
  <c r="L1362" i="1"/>
  <c r="M1362" i="1" s="1"/>
  <c r="L1363" i="1"/>
  <c r="M1363" i="1" s="1"/>
  <c r="L1364" i="1"/>
  <c r="M1364" i="1" s="1"/>
  <c r="L1365" i="1"/>
  <c r="M1365" i="1" s="1"/>
  <c r="L1366" i="1"/>
  <c r="M1366" i="1" s="1"/>
  <c r="L1367" i="1"/>
  <c r="M1367" i="1" s="1"/>
  <c r="L1368" i="1"/>
  <c r="M1368" i="1" s="1"/>
  <c r="L1369" i="1"/>
  <c r="M1369" i="1" s="1"/>
  <c r="L1370" i="1"/>
  <c r="M1370" i="1" s="1"/>
  <c r="L1371" i="1"/>
  <c r="M1371" i="1" s="1"/>
  <c r="L1372" i="1"/>
  <c r="M1372" i="1" s="1"/>
  <c r="L1373" i="1"/>
  <c r="M1373" i="1" s="1"/>
  <c r="L1374" i="1"/>
  <c r="M1374" i="1" s="1"/>
  <c r="L1375" i="1"/>
  <c r="M1375" i="1" s="1"/>
  <c r="L1376" i="1"/>
  <c r="M1376" i="1" s="1"/>
  <c r="L1377" i="1"/>
  <c r="M1377" i="1" s="1"/>
  <c r="L1378" i="1"/>
  <c r="M1378" i="1" s="1"/>
  <c r="L1379" i="1"/>
  <c r="M1379" i="1" s="1"/>
  <c r="L1380" i="1"/>
  <c r="M1380" i="1" s="1"/>
  <c r="L1381" i="1"/>
  <c r="M1381" i="1" s="1"/>
  <c r="L1382" i="1"/>
  <c r="M1382" i="1" s="1"/>
  <c r="L1383" i="1"/>
  <c r="M1383" i="1" s="1"/>
  <c r="L1384" i="1"/>
  <c r="M1384" i="1" s="1"/>
  <c r="L1385" i="1"/>
  <c r="M1385" i="1" s="1"/>
  <c r="L1386" i="1"/>
  <c r="M1386" i="1" s="1"/>
  <c r="L1387" i="1"/>
  <c r="M1387" i="1" s="1"/>
  <c r="L1388" i="1"/>
  <c r="M1388" i="1" s="1"/>
  <c r="L1389" i="1"/>
  <c r="M1389" i="1" s="1"/>
  <c r="L1390" i="1"/>
  <c r="M1390" i="1" s="1"/>
  <c r="L1391" i="1"/>
  <c r="M1391" i="1" s="1"/>
  <c r="L1392" i="1"/>
  <c r="M1392" i="1" s="1"/>
  <c r="L1393" i="1"/>
  <c r="M1393" i="1" s="1"/>
  <c r="L1394" i="1"/>
  <c r="M1394" i="1" s="1"/>
  <c r="L1395" i="1"/>
  <c r="M1395" i="1" s="1"/>
  <c r="L1396" i="1"/>
  <c r="M1396" i="1" s="1"/>
  <c r="L1397" i="1"/>
  <c r="M1397" i="1" s="1"/>
  <c r="L1398" i="1"/>
  <c r="M1398" i="1" s="1"/>
  <c r="L1399" i="1"/>
  <c r="M1399" i="1" s="1"/>
  <c r="L1400" i="1"/>
  <c r="M1400" i="1" s="1"/>
  <c r="L1401" i="1"/>
  <c r="M1401" i="1" s="1"/>
  <c r="L1402" i="1"/>
  <c r="M1402" i="1" s="1"/>
  <c r="L1403" i="1"/>
  <c r="M1403" i="1" s="1"/>
  <c r="L1404" i="1"/>
  <c r="M1404" i="1" s="1"/>
  <c r="L1405" i="1"/>
  <c r="M1405" i="1" s="1"/>
  <c r="L1406" i="1"/>
  <c r="M1406" i="1" s="1"/>
  <c r="L1407" i="1"/>
  <c r="M1407" i="1" s="1"/>
  <c r="L1408" i="1"/>
  <c r="M1408" i="1" s="1"/>
  <c r="L1409" i="1"/>
  <c r="M1409" i="1" s="1"/>
  <c r="L1410" i="1"/>
  <c r="M1410" i="1" s="1"/>
  <c r="L1411" i="1"/>
  <c r="M1411" i="1" s="1"/>
  <c r="L1412" i="1"/>
  <c r="M1412" i="1" s="1"/>
  <c r="L1413" i="1"/>
  <c r="M1413" i="1" s="1"/>
  <c r="L1414" i="1"/>
  <c r="M1414" i="1" s="1"/>
  <c r="L1415" i="1"/>
  <c r="M1415" i="1" s="1"/>
  <c r="L1416" i="1"/>
  <c r="M1416" i="1" s="1"/>
  <c r="L1417" i="1"/>
  <c r="M1417" i="1" s="1"/>
  <c r="L1418" i="1"/>
  <c r="M1418" i="1" s="1"/>
  <c r="L1419" i="1"/>
  <c r="M1419" i="1" s="1"/>
  <c r="L1420" i="1"/>
  <c r="M1420" i="1" s="1"/>
  <c r="L1421" i="1"/>
  <c r="M1421" i="1" s="1"/>
  <c r="L1422" i="1"/>
  <c r="M1422" i="1" s="1"/>
  <c r="L1423" i="1"/>
  <c r="M1423" i="1" s="1"/>
  <c r="L1424" i="1"/>
  <c r="M1424" i="1" s="1"/>
  <c r="L1425" i="1"/>
  <c r="M1425" i="1" s="1"/>
  <c r="L1426" i="1"/>
  <c r="M1426" i="1" s="1"/>
  <c r="L1427" i="1"/>
  <c r="M1427" i="1" s="1"/>
  <c r="L1428" i="1"/>
  <c r="M1428" i="1" s="1"/>
  <c r="L1429" i="1"/>
  <c r="M1429" i="1" s="1"/>
  <c r="L1430" i="1"/>
  <c r="M1430" i="1" s="1"/>
  <c r="L1431" i="1"/>
  <c r="M1431" i="1" s="1"/>
  <c r="L1432" i="1"/>
  <c r="M1432" i="1" s="1"/>
  <c r="L1433" i="1"/>
  <c r="M1433" i="1" s="1"/>
  <c r="L1434" i="1"/>
  <c r="M1434" i="1" s="1"/>
  <c r="L1435" i="1"/>
  <c r="M1435" i="1" s="1"/>
  <c r="L1436" i="1"/>
  <c r="M1436" i="1" s="1"/>
  <c r="L1437" i="1"/>
  <c r="M1437" i="1" s="1"/>
  <c r="L1438" i="1"/>
  <c r="M1438" i="1" s="1"/>
  <c r="L1439" i="1"/>
  <c r="M1439" i="1" s="1"/>
  <c r="L1440" i="1"/>
  <c r="M1440" i="1" s="1"/>
  <c r="L1441" i="1"/>
  <c r="M1441" i="1" s="1"/>
  <c r="L1442" i="1"/>
  <c r="M1442" i="1" s="1"/>
  <c r="L1443" i="1"/>
  <c r="M1443" i="1" s="1"/>
  <c r="L1444" i="1"/>
  <c r="M1444" i="1" s="1"/>
  <c r="L1445" i="1"/>
  <c r="M1445" i="1" s="1"/>
  <c r="L1446" i="1"/>
  <c r="M1446" i="1" s="1"/>
  <c r="L1447" i="1"/>
  <c r="M1447" i="1" s="1"/>
  <c r="L1448" i="1"/>
  <c r="M1448" i="1" s="1"/>
  <c r="L1449" i="1"/>
  <c r="M1449" i="1" s="1"/>
  <c r="L1450" i="1"/>
  <c r="M1450" i="1" s="1"/>
  <c r="L1451" i="1"/>
  <c r="M1451" i="1" s="1"/>
  <c r="L1452" i="1"/>
  <c r="M1452" i="1" s="1"/>
  <c r="L1453" i="1"/>
  <c r="M1453" i="1" s="1"/>
  <c r="L1454" i="1"/>
  <c r="M1454" i="1" s="1"/>
  <c r="L1455" i="1"/>
  <c r="M1455" i="1" s="1"/>
  <c r="L1456" i="1"/>
  <c r="M1456" i="1" s="1"/>
  <c r="L1457" i="1"/>
  <c r="M1457" i="1" s="1"/>
  <c r="L1458" i="1"/>
  <c r="M1458" i="1" s="1"/>
  <c r="L1459" i="1"/>
  <c r="M1459" i="1" s="1"/>
  <c r="L1460" i="1"/>
  <c r="M1460" i="1" s="1"/>
  <c r="L1461" i="1"/>
  <c r="M1461" i="1" s="1"/>
  <c r="L1462" i="1"/>
  <c r="M1462" i="1" s="1"/>
  <c r="L1463" i="1"/>
  <c r="M1463" i="1" s="1"/>
  <c r="L1464" i="1"/>
  <c r="M1464" i="1" s="1"/>
  <c r="L1465" i="1"/>
  <c r="M1465" i="1" s="1"/>
  <c r="L1466" i="1"/>
  <c r="M1466" i="1" s="1"/>
  <c r="L1467" i="1"/>
  <c r="M1467" i="1" s="1"/>
  <c r="L1468" i="1"/>
  <c r="M1468" i="1" s="1"/>
  <c r="L1469" i="1"/>
  <c r="M1469" i="1" s="1"/>
  <c r="L1470" i="1"/>
  <c r="M1470" i="1" s="1"/>
  <c r="L1471" i="1"/>
  <c r="M1471" i="1" s="1"/>
  <c r="L1472" i="1"/>
  <c r="M1472" i="1" s="1"/>
  <c r="L1473" i="1"/>
  <c r="M1473" i="1" s="1"/>
  <c r="L1474" i="1"/>
  <c r="M1474" i="1" s="1"/>
  <c r="L1475" i="1"/>
  <c r="M1475" i="1" s="1"/>
  <c r="L1476" i="1"/>
  <c r="M1476" i="1" s="1"/>
  <c r="L1477" i="1"/>
  <c r="M1477" i="1" s="1"/>
  <c r="L1478" i="1"/>
  <c r="M1478" i="1" s="1"/>
  <c r="L1479" i="1"/>
  <c r="M1479" i="1" s="1"/>
  <c r="L1480" i="1"/>
  <c r="M1480" i="1" s="1"/>
  <c r="L1481" i="1"/>
  <c r="M1481" i="1" s="1"/>
  <c r="L1482" i="1"/>
  <c r="M1482" i="1" s="1"/>
  <c r="L1483" i="1"/>
  <c r="M1483" i="1" s="1"/>
  <c r="L1484" i="1"/>
  <c r="M1484" i="1" s="1"/>
  <c r="L1485" i="1"/>
  <c r="M1485" i="1" s="1"/>
  <c r="L1486" i="1"/>
  <c r="M1486" i="1" s="1"/>
  <c r="L1487" i="1"/>
  <c r="M1487" i="1" s="1"/>
  <c r="L1488" i="1"/>
  <c r="M1488" i="1" s="1"/>
  <c r="L1489" i="1"/>
  <c r="M1489" i="1" s="1"/>
  <c r="L1490" i="1"/>
  <c r="M1490" i="1" s="1"/>
  <c r="L1491" i="1"/>
  <c r="M1491" i="1" s="1"/>
  <c r="L1492" i="1"/>
  <c r="M1492" i="1" s="1"/>
  <c r="L1493" i="1"/>
  <c r="M1493" i="1" s="1"/>
  <c r="L1494" i="1"/>
  <c r="M1494" i="1" s="1"/>
  <c r="L1495" i="1"/>
  <c r="M1495" i="1" s="1"/>
  <c r="L1496" i="1"/>
  <c r="M1496" i="1" s="1"/>
  <c r="L1497" i="1"/>
  <c r="M1497" i="1" s="1"/>
  <c r="L1498" i="1"/>
  <c r="M1498" i="1" s="1"/>
  <c r="L1499" i="1"/>
  <c r="M1499" i="1" s="1"/>
  <c r="L1500" i="1"/>
  <c r="M1500" i="1" s="1"/>
  <c r="L1501" i="1"/>
  <c r="M1501" i="1" s="1"/>
  <c r="L1502" i="1"/>
  <c r="M1502" i="1" s="1"/>
  <c r="L1503" i="1"/>
  <c r="M1503" i="1" s="1"/>
  <c r="L1504" i="1"/>
  <c r="M1504" i="1" s="1"/>
  <c r="L1505" i="1"/>
  <c r="M1505" i="1" s="1"/>
  <c r="L1506" i="1"/>
  <c r="M1506" i="1" s="1"/>
  <c r="L1507" i="1"/>
  <c r="M1507" i="1" s="1"/>
  <c r="L1508" i="1"/>
  <c r="M1508" i="1" s="1"/>
  <c r="L1509" i="1"/>
  <c r="M1509" i="1" s="1"/>
  <c r="L1510" i="1"/>
  <c r="M1510" i="1" s="1"/>
  <c r="L1511" i="1"/>
  <c r="M1511" i="1" s="1"/>
  <c r="L1512" i="1"/>
  <c r="M1512" i="1" s="1"/>
  <c r="L1513" i="1"/>
  <c r="M1513" i="1" s="1"/>
  <c r="L1514" i="1"/>
  <c r="M1514" i="1" s="1"/>
  <c r="L1515" i="1"/>
  <c r="M1515" i="1" s="1"/>
  <c r="L1516" i="1"/>
  <c r="M1516" i="1" s="1"/>
  <c r="L1517" i="1"/>
  <c r="M1517" i="1" s="1"/>
  <c r="L1518" i="1"/>
  <c r="M1518" i="1" s="1"/>
  <c r="L1519" i="1"/>
  <c r="M1519" i="1" s="1"/>
  <c r="L1520" i="1"/>
  <c r="M1520" i="1" s="1"/>
  <c r="L1521" i="1"/>
  <c r="M1521" i="1" s="1"/>
  <c r="L1522" i="1"/>
  <c r="M1522" i="1" s="1"/>
  <c r="L1523" i="1"/>
  <c r="M1523" i="1" s="1"/>
  <c r="L1524" i="1"/>
  <c r="M1524" i="1" s="1"/>
  <c r="L1525" i="1"/>
  <c r="M1525" i="1" s="1"/>
  <c r="L1526" i="1"/>
  <c r="M1526" i="1" s="1"/>
  <c r="L1527" i="1"/>
  <c r="M1527" i="1" s="1"/>
  <c r="L1528" i="1"/>
  <c r="M1528" i="1" s="1"/>
  <c r="L1529" i="1"/>
  <c r="M1529" i="1" s="1"/>
  <c r="L1530" i="1"/>
  <c r="M1530" i="1" s="1"/>
  <c r="L1531" i="1"/>
  <c r="M1531" i="1" s="1"/>
  <c r="L1532" i="1"/>
  <c r="M1532" i="1" s="1"/>
  <c r="L1533" i="1"/>
  <c r="M1533" i="1" s="1"/>
  <c r="L1534" i="1"/>
  <c r="M1534" i="1" s="1"/>
  <c r="L1535" i="1"/>
  <c r="M1535" i="1" s="1"/>
  <c r="L1536" i="1"/>
  <c r="M1536" i="1" s="1"/>
  <c r="L1537" i="1"/>
  <c r="M1537" i="1" s="1"/>
  <c r="L1538" i="1"/>
  <c r="M1538" i="1" s="1"/>
  <c r="L1539" i="1"/>
  <c r="M1539" i="1" s="1"/>
  <c r="L1540" i="1"/>
  <c r="M1540" i="1" s="1"/>
  <c r="L1541" i="1"/>
  <c r="M1541" i="1" s="1"/>
  <c r="L1542" i="1"/>
  <c r="M1542" i="1" s="1"/>
  <c r="L1543" i="1"/>
  <c r="M1543" i="1" s="1"/>
  <c r="L1544" i="1"/>
  <c r="M1544" i="1" s="1"/>
  <c r="L1545" i="1"/>
  <c r="M1545" i="1" s="1"/>
  <c r="L1546" i="1"/>
  <c r="M1546" i="1" s="1"/>
  <c r="L1547" i="1"/>
  <c r="M1547" i="1" s="1"/>
  <c r="L1548" i="1"/>
  <c r="M1548" i="1" s="1"/>
  <c r="L1549" i="1"/>
  <c r="M1549" i="1" s="1"/>
  <c r="L1550" i="1"/>
  <c r="M1550" i="1" s="1"/>
  <c r="L1551" i="1"/>
  <c r="M1551" i="1" s="1"/>
  <c r="L1552" i="1"/>
  <c r="M1552" i="1" s="1"/>
  <c r="L1553" i="1"/>
  <c r="M1553" i="1" s="1"/>
  <c r="L1554" i="1"/>
  <c r="M1554" i="1" s="1"/>
  <c r="L1555" i="1"/>
  <c r="M1555" i="1" s="1"/>
  <c r="L1556" i="1"/>
  <c r="M1556" i="1" s="1"/>
  <c r="L1557" i="1"/>
  <c r="M1557" i="1" s="1"/>
  <c r="L1558" i="1"/>
  <c r="M1558" i="1" s="1"/>
  <c r="L1559" i="1"/>
  <c r="M1559" i="1" s="1"/>
  <c r="L1560" i="1"/>
  <c r="M1560" i="1" s="1"/>
  <c r="L1561" i="1"/>
  <c r="M1561" i="1" s="1"/>
  <c r="L1562" i="1"/>
  <c r="M1562" i="1" s="1"/>
  <c r="L1563" i="1"/>
  <c r="M1563" i="1" s="1"/>
  <c r="L1564" i="1"/>
  <c r="M1564" i="1" s="1"/>
  <c r="L1565" i="1"/>
  <c r="M1565" i="1" s="1"/>
  <c r="L1566" i="1"/>
  <c r="M1566" i="1" s="1"/>
  <c r="L1567" i="1"/>
  <c r="M1567" i="1" s="1"/>
  <c r="L1568" i="1"/>
  <c r="M1568" i="1" s="1"/>
  <c r="L1569" i="1"/>
  <c r="M1569" i="1" s="1"/>
  <c r="L1570" i="1"/>
  <c r="M1570" i="1" s="1"/>
  <c r="L1571" i="1"/>
  <c r="M1571" i="1" s="1"/>
  <c r="L1572" i="1"/>
  <c r="M1572" i="1" s="1"/>
  <c r="L1573" i="1"/>
  <c r="M1573" i="1" s="1"/>
  <c r="L1574" i="1"/>
  <c r="M1574" i="1" s="1"/>
  <c r="L1575" i="1"/>
  <c r="M1575" i="1" s="1"/>
  <c r="L1576" i="1"/>
  <c r="M1576" i="1" s="1"/>
  <c r="L1577" i="1"/>
  <c r="M1577" i="1" s="1"/>
  <c r="L1578" i="1"/>
  <c r="M1578" i="1" s="1"/>
  <c r="L1579" i="1"/>
  <c r="M1579" i="1" s="1"/>
  <c r="L1580" i="1"/>
  <c r="M1580" i="1" s="1"/>
  <c r="L1581" i="1"/>
  <c r="M1581" i="1" s="1"/>
  <c r="L1582" i="1"/>
  <c r="M1582" i="1" s="1"/>
  <c r="L1583" i="1"/>
  <c r="M1583" i="1" s="1"/>
  <c r="L1584" i="1"/>
  <c r="M1584" i="1" s="1"/>
  <c r="L1585" i="1"/>
  <c r="M1585" i="1" s="1"/>
  <c r="L1586" i="1"/>
  <c r="M1586" i="1" s="1"/>
  <c r="L1587" i="1"/>
  <c r="M1587" i="1" s="1"/>
  <c r="L1588" i="1"/>
  <c r="M1588" i="1" s="1"/>
  <c r="L1589" i="1"/>
  <c r="M1589" i="1" s="1"/>
  <c r="L1590" i="1"/>
  <c r="M1590" i="1" s="1"/>
  <c r="L1591" i="1"/>
  <c r="M1591" i="1" s="1"/>
  <c r="L1592" i="1"/>
  <c r="M1592" i="1" s="1"/>
  <c r="L1593" i="1"/>
  <c r="M1593" i="1" s="1"/>
  <c r="L1594" i="1"/>
  <c r="M1594" i="1" s="1"/>
  <c r="L1595" i="1"/>
  <c r="M1595" i="1" s="1"/>
  <c r="L1596" i="1"/>
  <c r="M1596" i="1" s="1"/>
  <c r="L1597" i="1"/>
  <c r="M1597" i="1" s="1"/>
  <c r="L1598" i="1"/>
  <c r="M1598" i="1" s="1"/>
  <c r="L1599" i="1"/>
  <c r="M1599" i="1" s="1"/>
  <c r="L1600" i="1"/>
  <c r="M1600" i="1" s="1"/>
  <c r="L1601" i="1"/>
  <c r="M1601" i="1" s="1"/>
  <c r="L1602" i="1"/>
  <c r="M1602" i="1" s="1"/>
  <c r="L1603" i="1"/>
  <c r="M1603" i="1" s="1"/>
  <c r="L1604" i="1"/>
  <c r="M1604" i="1" s="1"/>
  <c r="L1605" i="1"/>
  <c r="M1605" i="1" s="1"/>
  <c r="L1606" i="1"/>
  <c r="M1606" i="1" s="1"/>
  <c r="L1607" i="1"/>
  <c r="M1607" i="1" s="1"/>
  <c r="L1608" i="1"/>
  <c r="M1608" i="1" s="1"/>
  <c r="L1609" i="1"/>
  <c r="M1609" i="1" s="1"/>
  <c r="L1610" i="1"/>
  <c r="M1610" i="1" s="1"/>
  <c r="L1611" i="1"/>
  <c r="M1611" i="1" s="1"/>
  <c r="L1612" i="1"/>
  <c r="M1612" i="1" s="1"/>
  <c r="L1613" i="1"/>
  <c r="M1613" i="1" s="1"/>
  <c r="L1614" i="1"/>
  <c r="M1614" i="1" s="1"/>
  <c r="L1615" i="1"/>
  <c r="M1615" i="1" s="1"/>
  <c r="L1616" i="1"/>
  <c r="M1616" i="1" s="1"/>
  <c r="L1617" i="1"/>
  <c r="M1617" i="1" s="1"/>
  <c r="L1618" i="1"/>
  <c r="M1618" i="1" s="1"/>
  <c r="L1619" i="1"/>
  <c r="M1619" i="1" s="1"/>
  <c r="L1620" i="1"/>
  <c r="M1620" i="1" s="1"/>
  <c r="L1621" i="1"/>
  <c r="M1621" i="1" s="1"/>
  <c r="L1622" i="1"/>
  <c r="M1622" i="1" s="1"/>
  <c r="L1623" i="1"/>
  <c r="M1623" i="1" s="1"/>
  <c r="L1624" i="1"/>
  <c r="M1624" i="1" s="1"/>
  <c r="L1625" i="1"/>
  <c r="M1625" i="1" s="1"/>
  <c r="L1626" i="1"/>
  <c r="M1626" i="1" s="1"/>
  <c r="L1627" i="1"/>
  <c r="M1627" i="1" s="1"/>
  <c r="L1628" i="1"/>
  <c r="M1628" i="1" s="1"/>
  <c r="L1629" i="1"/>
  <c r="M1629" i="1" s="1"/>
  <c r="L1630" i="1"/>
  <c r="M1630" i="1" s="1"/>
  <c r="L1631" i="1"/>
  <c r="M1631" i="1" s="1"/>
  <c r="L1632" i="1"/>
  <c r="M1632" i="1" s="1"/>
  <c r="L1633" i="1"/>
  <c r="M1633" i="1" s="1"/>
  <c r="L1634" i="1"/>
  <c r="M1634" i="1" s="1"/>
  <c r="L1635" i="1"/>
  <c r="M1635" i="1" s="1"/>
  <c r="L1636" i="1"/>
  <c r="M1636" i="1" s="1"/>
  <c r="L1637" i="1"/>
  <c r="M1637" i="1" s="1"/>
  <c r="L1638" i="1"/>
  <c r="M1638" i="1" s="1"/>
  <c r="L1639" i="1"/>
  <c r="M1639" i="1" s="1"/>
  <c r="L1640" i="1"/>
  <c r="M1640" i="1" s="1"/>
  <c r="L1641" i="1"/>
  <c r="M1641" i="1" s="1"/>
  <c r="L1642" i="1"/>
  <c r="M1642" i="1" s="1"/>
  <c r="L1643" i="1"/>
  <c r="M1643" i="1" s="1"/>
  <c r="L1644" i="1"/>
  <c r="M1644" i="1" s="1"/>
  <c r="L1645" i="1"/>
  <c r="M1645" i="1" s="1"/>
  <c r="L1646" i="1"/>
  <c r="M1646" i="1" s="1"/>
  <c r="L1647" i="1"/>
  <c r="M1647" i="1" s="1"/>
  <c r="L1648" i="1"/>
  <c r="M1648" i="1" s="1"/>
  <c r="L1649" i="1"/>
  <c r="M1649" i="1" s="1"/>
  <c r="L1650" i="1"/>
  <c r="M1650" i="1" s="1"/>
  <c r="L1651" i="1"/>
  <c r="M1651" i="1" s="1"/>
  <c r="L1652" i="1"/>
  <c r="M1652" i="1" s="1"/>
  <c r="L1653" i="1"/>
  <c r="M1653" i="1" s="1"/>
  <c r="L1654" i="1"/>
  <c r="M1654" i="1" s="1"/>
  <c r="L1655" i="1"/>
  <c r="M1655" i="1" s="1"/>
  <c r="L1656" i="1"/>
  <c r="M1656" i="1" s="1"/>
  <c r="L1657" i="1"/>
  <c r="M1657" i="1" s="1"/>
  <c r="L1658" i="1"/>
  <c r="M1658" i="1" s="1"/>
  <c r="L1659" i="1"/>
  <c r="M1659" i="1" s="1"/>
  <c r="L1660" i="1"/>
  <c r="M1660" i="1" s="1"/>
  <c r="L1661" i="1"/>
  <c r="M1661" i="1" s="1"/>
  <c r="L1662" i="1"/>
  <c r="M1662" i="1" s="1"/>
  <c r="L1663" i="1"/>
  <c r="M1663" i="1" s="1"/>
  <c r="L1664" i="1"/>
  <c r="M1664" i="1" s="1"/>
  <c r="L1665" i="1"/>
  <c r="M1665" i="1" s="1"/>
  <c r="L1666" i="1"/>
  <c r="M1666" i="1" s="1"/>
  <c r="L1667" i="1"/>
  <c r="M1667" i="1" s="1"/>
  <c r="L1668" i="1"/>
  <c r="M1668" i="1" s="1"/>
  <c r="L1669" i="1"/>
  <c r="M1669" i="1" s="1"/>
  <c r="L1670" i="1"/>
  <c r="M1670" i="1" s="1"/>
  <c r="L1671" i="1"/>
  <c r="M1671" i="1" s="1"/>
  <c r="L1672" i="1"/>
  <c r="M1672" i="1" s="1"/>
  <c r="L1673" i="1"/>
  <c r="M1673" i="1" s="1"/>
  <c r="L1674" i="1"/>
  <c r="M1674" i="1" s="1"/>
  <c r="L1675" i="1"/>
  <c r="M1675" i="1" s="1"/>
  <c r="L1676" i="1"/>
  <c r="M1676" i="1" s="1"/>
  <c r="L1677" i="1"/>
  <c r="M1677" i="1" s="1"/>
  <c r="L1678" i="1"/>
  <c r="M1678" i="1" s="1"/>
  <c r="L1679" i="1"/>
  <c r="M1679" i="1" s="1"/>
  <c r="L1680" i="1"/>
  <c r="M1680" i="1" s="1"/>
  <c r="L1681" i="1"/>
  <c r="M1681" i="1" s="1"/>
  <c r="L1682" i="1"/>
  <c r="M1682" i="1" s="1"/>
  <c r="L1683" i="1"/>
  <c r="M1683" i="1" s="1"/>
  <c r="L1684" i="1"/>
  <c r="M1684" i="1" s="1"/>
  <c r="L1685" i="1"/>
  <c r="M1685" i="1" s="1"/>
  <c r="L1686" i="1"/>
  <c r="M1686" i="1" s="1"/>
  <c r="L1687" i="1"/>
  <c r="M1687" i="1" s="1"/>
  <c r="L1688" i="1"/>
  <c r="M1688" i="1" s="1"/>
  <c r="L1689" i="1"/>
  <c r="M1689" i="1" s="1"/>
  <c r="L1690" i="1"/>
  <c r="M1690" i="1" s="1"/>
  <c r="L1691" i="1"/>
  <c r="M1691" i="1" s="1"/>
  <c r="L1692" i="1"/>
  <c r="M1692" i="1" s="1"/>
  <c r="L1693" i="1"/>
  <c r="M1693" i="1" s="1"/>
  <c r="L1694" i="1"/>
  <c r="M1694" i="1" s="1"/>
  <c r="L1695" i="1"/>
  <c r="M1695" i="1" s="1"/>
  <c r="L1696" i="1"/>
  <c r="M1696" i="1" s="1"/>
  <c r="L1697" i="1"/>
  <c r="M1697" i="1" s="1"/>
  <c r="L1698" i="1"/>
  <c r="M1698" i="1" s="1"/>
  <c r="L1699" i="1"/>
  <c r="M1699" i="1" s="1"/>
  <c r="L1700" i="1"/>
  <c r="M1700" i="1" s="1"/>
  <c r="L1701" i="1"/>
  <c r="M1701" i="1" s="1"/>
  <c r="L1702" i="1"/>
  <c r="M1702" i="1" s="1"/>
  <c r="L1703" i="1"/>
  <c r="M1703" i="1" s="1"/>
  <c r="L1704" i="1"/>
  <c r="M1704" i="1" s="1"/>
  <c r="L1705" i="1"/>
  <c r="M1705" i="1" s="1"/>
  <c r="L1706" i="1"/>
  <c r="M1706" i="1" s="1"/>
  <c r="L1707" i="1"/>
  <c r="M1707" i="1" s="1"/>
  <c r="L1708" i="1"/>
  <c r="M1708" i="1" s="1"/>
  <c r="L1709" i="1"/>
  <c r="M1709" i="1" s="1"/>
  <c r="L1710" i="1"/>
  <c r="M1710" i="1" s="1"/>
  <c r="L1711" i="1"/>
  <c r="M1711" i="1" s="1"/>
  <c r="L1712" i="1"/>
  <c r="M1712" i="1" s="1"/>
  <c r="L1713" i="1"/>
  <c r="M1713" i="1" s="1"/>
  <c r="L1714" i="1"/>
  <c r="M1714" i="1" s="1"/>
  <c r="L1715" i="1"/>
  <c r="M1715" i="1" s="1"/>
  <c r="L1716" i="1"/>
  <c r="M1716" i="1" s="1"/>
  <c r="L1717" i="1"/>
  <c r="M1717" i="1" s="1"/>
  <c r="L1718" i="1"/>
  <c r="M1718" i="1" s="1"/>
  <c r="L1719" i="1"/>
  <c r="M1719" i="1" s="1"/>
  <c r="L1720" i="1"/>
  <c r="M1720" i="1" s="1"/>
  <c r="L1721" i="1"/>
  <c r="M1721" i="1" s="1"/>
  <c r="L1722" i="1"/>
  <c r="M1722" i="1" s="1"/>
  <c r="L1723" i="1"/>
  <c r="M1723" i="1" s="1"/>
  <c r="L1724" i="1"/>
  <c r="M1724" i="1" s="1"/>
  <c r="L1725" i="1"/>
  <c r="M1725" i="1" s="1"/>
  <c r="L1726" i="1"/>
  <c r="M1726" i="1" s="1"/>
  <c r="L1727" i="1"/>
  <c r="M1727" i="1" s="1"/>
  <c r="L1728" i="1"/>
  <c r="M1728" i="1" s="1"/>
  <c r="L1729" i="1"/>
  <c r="M1729" i="1" s="1"/>
  <c r="L1730" i="1"/>
  <c r="M1730" i="1" s="1"/>
  <c r="L1731" i="1"/>
  <c r="M1731" i="1" s="1"/>
  <c r="L1732" i="1"/>
  <c r="M1732" i="1" s="1"/>
  <c r="L1733" i="1"/>
  <c r="M1733" i="1" s="1"/>
  <c r="L1734" i="1"/>
  <c r="M1734" i="1" s="1"/>
  <c r="L1735" i="1"/>
  <c r="M1735" i="1" s="1"/>
  <c r="L1736" i="1"/>
  <c r="M1736" i="1" s="1"/>
  <c r="L1737" i="1"/>
  <c r="M1737" i="1" s="1"/>
  <c r="L1738" i="1"/>
  <c r="M1738" i="1" s="1"/>
  <c r="L1739" i="1"/>
  <c r="M1739" i="1" s="1"/>
  <c r="L1740" i="1"/>
  <c r="M1740" i="1" s="1"/>
  <c r="L1741" i="1"/>
  <c r="M1741" i="1" s="1"/>
  <c r="L1742" i="1"/>
  <c r="M1742" i="1" s="1"/>
  <c r="L1743" i="1"/>
  <c r="M1743" i="1" s="1"/>
  <c r="L1744" i="1"/>
  <c r="M1744" i="1" s="1"/>
  <c r="L1745" i="1"/>
  <c r="M1745" i="1" s="1"/>
  <c r="L1746" i="1"/>
  <c r="M1746" i="1" s="1"/>
  <c r="L1747" i="1"/>
  <c r="M1747" i="1" s="1"/>
  <c r="L1748" i="1"/>
  <c r="M1748" i="1" s="1"/>
  <c r="L1749" i="1"/>
  <c r="M1749" i="1" s="1"/>
  <c r="L1750" i="1"/>
  <c r="M1750" i="1" s="1"/>
  <c r="L1751" i="1"/>
  <c r="M1751" i="1" s="1"/>
  <c r="L1752" i="1"/>
  <c r="M1752" i="1" s="1"/>
  <c r="L1753" i="1"/>
  <c r="M1753" i="1" s="1"/>
  <c r="L1754" i="1"/>
  <c r="M1754" i="1" s="1"/>
  <c r="L1755" i="1"/>
  <c r="M1755" i="1" s="1"/>
  <c r="L1756" i="1"/>
  <c r="M1756" i="1" s="1"/>
  <c r="L1757" i="1"/>
  <c r="M1757" i="1" s="1"/>
  <c r="L1758" i="1"/>
  <c r="M1758" i="1" s="1"/>
  <c r="L1759" i="1"/>
  <c r="M1759" i="1" s="1"/>
  <c r="L1760" i="1"/>
  <c r="M1760" i="1" s="1"/>
  <c r="L1761" i="1"/>
  <c r="M1761" i="1" s="1"/>
  <c r="L1762" i="1"/>
  <c r="M1762" i="1" s="1"/>
  <c r="L1763" i="1"/>
  <c r="M1763" i="1" s="1"/>
  <c r="L1764" i="1"/>
  <c r="M1764" i="1" s="1"/>
  <c r="L1765" i="1"/>
  <c r="M1765" i="1" s="1"/>
  <c r="L1766" i="1"/>
  <c r="M1766" i="1" s="1"/>
  <c r="L1767" i="1"/>
  <c r="M1767" i="1" s="1"/>
  <c r="L1768" i="1"/>
  <c r="M1768" i="1" s="1"/>
  <c r="L1769" i="1"/>
  <c r="M1769" i="1" s="1"/>
  <c r="L1770" i="1"/>
  <c r="M1770" i="1" s="1"/>
  <c r="L1771" i="1"/>
  <c r="M1771" i="1" s="1"/>
  <c r="L1772" i="1"/>
  <c r="M1772" i="1" s="1"/>
  <c r="L1773" i="1"/>
  <c r="M1773" i="1" s="1"/>
  <c r="L1774" i="1"/>
  <c r="M1774" i="1" s="1"/>
  <c r="L1775" i="1"/>
  <c r="M1775" i="1" s="1"/>
  <c r="L1776" i="1"/>
  <c r="M1776" i="1" s="1"/>
  <c r="L1777" i="1"/>
  <c r="M1777" i="1" s="1"/>
  <c r="L1778" i="1"/>
  <c r="M1778" i="1" s="1"/>
  <c r="L1779" i="1"/>
  <c r="M1779" i="1" s="1"/>
  <c r="L1780" i="1"/>
  <c r="M1780" i="1" s="1"/>
  <c r="L1781" i="1"/>
  <c r="M1781" i="1" s="1"/>
  <c r="L1782" i="1"/>
  <c r="M1782" i="1" s="1"/>
  <c r="L1783" i="1"/>
  <c r="M1783" i="1" s="1"/>
  <c r="L1784" i="1"/>
  <c r="M1784" i="1" s="1"/>
  <c r="L1785" i="1"/>
  <c r="M1785" i="1" s="1"/>
  <c r="L1786" i="1"/>
  <c r="M1786" i="1" s="1"/>
  <c r="L1787" i="1"/>
  <c r="M1787" i="1" s="1"/>
  <c r="L1788" i="1"/>
  <c r="M1788" i="1" s="1"/>
  <c r="L1789" i="1"/>
  <c r="M1789" i="1" s="1"/>
  <c r="L1790" i="1"/>
  <c r="M1790" i="1" s="1"/>
  <c r="L1791" i="1"/>
  <c r="M1791" i="1" s="1"/>
  <c r="L1792" i="1"/>
  <c r="M1792" i="1" s="1"/>
  <c r="L1793" i="1"/>
  <c r="M1793" i="1" s="1"/>
  <c r="L1794" i="1"/>
  <c r="M1794" i="1" s="1"/>
  <c r="L1795" i="1"/>
  <c r="M1795" i="1" s="1"/>
  <c r="L1796" i="1"/>
  <c r="M1796" i="1" s="1"/>
  <c r="L1797" i="1"/>
  <c r="M1797" i="1" s="1"/>
  <c r="L1798" i="1"/>
  <c r="M1798" i="1" s="1"/>
  <c r="L1799" i="1"/>
  <c r="M1799" i="1" s="1"/>
  <c r="L1800" i="1"/>
  <c r="M1800" i="1" s="1"/>
  <c r="L1801" i="1"/>
  <c r="M1801" i="1" s="1"/>
  <c r="L1802" i="1"/>
  <c r="M1802" i="1" s="1"/>
  <c r="L1803" i="1"/>
  <c r="M1803" i="1" s="1"/>
  <c r="L1804" i="1"/>
  <c r="M1804" i="1" s="1"/>
  <c r="L1805" i="1"/>
  <c r="M1805" i="1" s="1"/>
  <c r="L1806" i="1"/>
  <c r="M1806" i="1" s="1"/>
  <c r="L1807" i="1"/>
  <c r="M1807" i="1" s="1"/>
  <c r="L1808" i="1"/>
  <c r="M1808" i="1" s="1"/>
  <c r="L1809" i="1"/>
  <c r="M1809" i="1" s="1"/>
  <c r="L1810" i="1"/>
  <c r="M1810" i="1" s="1"/>
  <c r="L1811" i="1"/>
  <c r="M1811" i="1" s="1"/>
  <c r="L1812" i="1"/>
  <c r="M1812" i="1" s="1"/>
  <c r="L1813" i="1"/>
  <c r="M1813" i="1" s="1"/>
  <c r="L1814" i="1"/>
  <c r="M1814" i="1" s="1"/>
  <c r="L1815" i="1"/>
  <c r="M1815" i="1" s="1"/>
  <c r="L1816" i="1"/>
  <c r="M1816" i="1" s="1"/>
  <c r="L1817" i="1"/>
  <c r="M1817" i="1" s="1"/>
  <c r="L1818" i="1"/>
  <c r="M1818" i="1" s="1"/>
  <c r="L1819" i="1"/>
  <c r="M1819" i="1" s="1"/>
  <c r="L1820" i="1"/>
  <c r="M1820" i="1" s="1"/>
  <c r="L1821" i="1"/>
  <c r="M1821" i="1" s="1"/>
  <c r="L1822" i="1"/>
  <c r="M1822" i="1" s="1"/>
  <c r="L1823" i="1"/>
  <c r="M1823" i="1" s="1"/>
  <c r="L1824" i="1"/>
  <c r="M1824" i="1" s="1"/>
  <c r="L1825" i="1"/>
  <c r="M1825" i="1" s="1"/>
  <c r="L1826" i="1"/>
  <c r="M1826" i="1" s="1"/>
  <c r="L1827" i="1"/>
  <c r="M1827" i="1" s="1"/>
  <c r="L1828" i="1"/>
  <c r="M1828" i="1" s="1"/>
  <c r="L1829" i="1"/>
  <c r="M1829" i="1" s="1"/>
  <c r="L1830" i="1"/>
  <c r="M1830" i="1" s="1"/>
  <c r="L1831" i="1"/>
  <c r="M1831" i="1" s="1"/>
  <c r="L1832" i="1"/>
  <c r="M1832" i="1" s="1"/>
  <c r="L1833" i="1"/>
  <c r="M1833" i="1" s="1"/>
  <c r="L1834" i="1"/>
  <c r="M1834" i="1" s="1"/>
  <c r="L1835" i="1"/>
  <c r="M1835" i="1" s="1"/>
  <c r="L1836" i="1"/>
  <c r="M1836" i="1" s="1"/>
  <c r="L1837" i="1"/>
  <c r="M1837" i="1" s="1"/>
  <c r="L1838" i="1"/>
  <c r="M1838" i="1" s="1"/>
  <c r="L1839" i="1"/>
  <c r="M1839" i="1" s="1"/>
  <c r="L1840" i="1"/>
  <c r="M1840" i="1" s="1"/>
  <c r="L1841" i="1"/>
  <c r="M1841" i="1" s="1"/>
  <c r="L1842" i="1"/>
  <c r="M1842" i="1" s="1"/>
  <c r="L1843" i="1"/>
  <c r="M1843" i="1" s="1"/>
  <c r="L1844" i="1"/>
  <c r="M1844" i="1" s="1"/>
  <c r="L1845" i="1"/>
  <c r="M1845" i="1" s="1"/>
  <c r="L1846" i="1"/>
  <c r="M1846" i="1" s="1"/>
  <c r="L1847" i="1"/>
  <c r="M1847" i="1" s="1"/>
  <c r="L1848" i="1"/>
  <c r="M1848" i="1" s="1"/>
  <c r="L1849" i="1"/>
  <c r="M1849" i="1" s="1"/>
  <c r="L1850" i="1"/>
  <c r="M1850" i="1" s="1"/>
  <c r="L1851" i="1"/>
  <c r="M1851" i="1" s="1"/>
  <c r="L1852" i="1"/>
  <c r="M1852" i="1" s="1"/>
  <c r="L1853" i="1"/>
  <c r="M1853" i="1" s="1"/>
  <c r="L1854" i="1"/>
  <c r="M1854" i="1" s="1"/>
  <c r="L1855" i="1"/>
  <c r="M1855" i="1" s="1"/>
  <c r="L1856" i="1"/>
  <c r="M1856" i="1" s="1"/>
  <c r="L1857" i="1"/>
  <c r="M1857" i="1" s="1"/>
  <c r="L1858" i="1"/>
  <c r="M1858" i="1" s="1"/>
  <c r="L1859" i="1"/>
  <c r="M1859" i="1" s="1"/>
  <c r="L1860" i="1"/>
  <c r="M1860" i="1" s="1"/>
  <c r="L1861" i="1"/>
  <c r="M1861" i="1" s="1"/>
  <c r="L1862" i="1"/>
  <c r="M1862" i="1" s="1"/>
  <c r="L1863" i="1"/>
  <c r="M1863" i="1" s="1"/>
  <c r="L1864" i="1"/>
  <c r="M1864" i="1" s="1"/>
  <c r="L1865" i="1"/>
  <c r="M1865" i="1" s="1"/>
  <c r="L1866" i="1"/>
  <c r="M1866" i="1" s="1"/>
  <c r="L1867" i="1"/>
  <c r="M1867" i="1" s="1"/>
  <c r="L1868" i="1"/>
  <c r="M1868" i="1" s="1"/>
  <c r="L1869" i="1"/>
  <c r="M1869" i="1" s="1"/>
  <c r="L1870" i="1"/>
  <c r="M1870" i="1" s="1"/>
  <c r="L1871" i="1"/>
  <c r="M1871" i="1" s="1"/>
  <c r="L1872" i="1"/>
  <c r="M1872" i="1" s="1"/>
  <c r="L1873" i="1"/>
  <c r="M1873" i="1" s="1"/>
  <c r="L1874" i="1"/>
  <c r="M1874" i="1" s="1"/>
  <c r="L1875" i="1"/>
  <c r="M1875" i="1" s="1"/>
  <c r="L1876" i="1"/>
  <c r="M1876" i="1" s="1"/>
  <c r="L1877" i="1"/>
  <c r="M1877" i="1" s="1"/>
  <c r="L1878" i="1"/>
  <c r="M1878" i="1" s="1"/>
  <c r="L1879" i="1"/>
  <c r="M1879" i="1" s="1"/>
  <c r="L1880" i="1"/>
  <c r="M1880" i="1" s="1"/>
  <c r="L1881" i="1"/>
  <c r="M1881" i="1" s="1"/>
  <c r="L1882" i="1"/>
  <c r="M1882" i="1" s="1"/>
  <c r="L1883" i="1"/>
  <c r="M1883" i="1" s="1"/>
  <c r="L1884" i="1"/>
  <c r="M1884" i="1" s="1"/>
  <c r="L1885" i="1"/>
  <c r="M1885" i="1" s="1"/>
  <c r="L1886" i="1"/>
  <c r="M1886" i="1" s="1"/>
  <c r="L1887" i="1"/>
  <c r="M1887" i="1" s="1"/>
  <c r="L1888" i="1"/>
  <c r="M1888" i="1" s="1"/>
  <c r="L1889" i="1"/>
  <c r="M1889" i="1" s="1"/>
  <c r="L1890" i="1"/>
  <c r="M1890" i="1" s="1"/>
  <c r="L1891" i="1"/>
  <c r="M1891" i="1" s="1"/>
  <c r="L1892" i="1"/>
  <c r="M1892" i="1" s="1"/>
  <c r="L1893" i="1"/>
  <c r="M1893" i="1" s="1"/>
  <c r="L1894" i="1"/>
  <c r="M1894" i="1" s="1"/>
  <c r="L1895" i="1"/>
  <c r="M1895" i="1" s="1"/>
  <c r="L1896" i="1"/>
  <c r="M1896" i="1" s="1"/>
  <c r="L1897" i="1"/>
  <c r="M1897" i="1" s="1"/>
  <c r="L1898" i="1"/>
  <c r="M1898" i="1" s="1"/>
  <c r="L1899" i="1"/>
  <c r="M1899" i="1" s="1"/>
  <c r="L1900" i="1"/>
  <c r="M1900" i="1" s="1"/>
  <c r="L1901" i="1"/>
  <c r="M1901" i="1" s="1"/>
  <c r="L1902" i="1"/>
  <c r="M1902" i="1" s="1"/>
  <c r="L1903" i="1"/>
  <c r="M1903" i="1" s="1"/>
  <c r="L1904" i="1"/>
  <c r="M1904" i="1" s="1"/>
  <c r="L1905" i="1"/>
  <c r="M1905" i="1" s="1"/>
  <c r="L1906" i="1"/>
  <c r="M1906" i="1" s="1"/>
  <c r="L1907" i="1"/>
  <c r="M1907" i="1" s="1"/>
  <c r="L1908" i="1"/>
  <c r="M1908" i="1" s="1"/>
  <c r="L1909" i="1"/>
  <c r="M1909" i="1" s="1"/>
  <c r="L1910" i="1"/>
  <c r="M1910" i="1" s="1"/>
  <c r="L1911" i="1"/>
  <c r="M1911" i="1" s="1"/>
  <c r="L1912" i="1"/>
  <c r="M1912" i="1" s="1"/>
  <c r="L1913" i="1"/>
  <c r="M1913" i="1" s="1"/>
  <c r="L1914" i="1"/>
  <c r="M1914" i="1" s="1"/>
  <c r="L1915" i="1"/>
  <c r="M1915" i="1" s="1"/>
  <c r="L1916" i="1"/>
  <c r="M1916" i="1" s="1"/>
  <c r="L1917" i="1"/>
  <c r="M1917" i="1" s="1"/>
  <c r="L1918" i="1"/>
  <c r="M1918" i="1" s="1"/>
  <c r="L1919" i="1"/>
  <c r="M1919" i="1" s="1"/>
  <c r="L1920" i="1"/>
  <c r="M1920" i="1" s="1"/>
  <c r="L1921" i="1"/>
  <c r="M1921" i="1" s="1"/>
  <c r="L1922" i="1"/>
  <c r="M1922" i="1" s="1"/>
  <c r="L1923" i="1"/>
  <c r="M1923" i="1" s="1"/>
  <c r="L1924" i="1"/>
  <c r="M1924" i="1" s="1"/>
  <c r="L1925" i="1"/>
  <c r="M1925" i="1" s="1"/>
  <c r="L1926" i="1"/>
  <c r="M1926" i="1" s="1"/>
  <c r="L1927" i="1"/>
  <c r="M1927" i="1" s="1"/>
  <c r="L1928" i="1"/>
  <c r="M1928" i="1" s="1"/>
  <c r="L1929" i="1"/>
  <c r="M1929" i="1" s="1"/>
  <c r="L1930" i="1"/>
  <c r="M1930" i="1" s="1"/>
  <c r="L1931" i="1"/>
  <c r="M1931" i="1" s="1"/>
  <c r="L1932" i="1"/>
  <c r="M1932" i="1" s="1"/>
  <c r="L1933" i="1"/>
  <c r="M1933" i="1" s="1"/>
  <c r="L1934" i="1"/>
  <c r="M1934" i="1" s="1"/>
  <c r="L1935" i="1"/>
  <c r="M1935" i="1" s="1"/>
  <c r="L1936" i="1"/>
  <c r="M1936" i="1" s="1"/>
  <c r="L1937" i="1"/>
  <c r="M1937" i="1" s="1"/>
  <c r="L1938" i="1"/>
  <c r="M1938" i="1" s="1"/>
  <c r="L1939" i="1"/>
  <c r="M1939" i="1" s="1"/>
  <c r="L1940" i="1"/>
  <c r="M1940" i="1" s="1"/>
  <c r="L1941" i="1"/>
  <c r="M1941" i="1" s="1"/>
  <c r="L1942" i="1"/>
  <c r="M1942" i="1" s="1"/>
  <c r="L1943" i="1"/>
  <c r="M1943" i="1" s="1"/>
  <c r="L1944" i="1"/>
  <c r="M1944" i="1" s="1"/>
  <c r="L1945" i="1"/>
  <c r="M1945" i="1" s="1"/>
  <c r="L1946" i="1"/>
  <c r="M1946" i="1" s="1"/>
  <c r="L1947" i="1"/>
  <c r="M1947" i="1" s="1"/>
  <c r="L1948" i="1"/>
  <c r="M1948" i="1" s="1"/>
  <c r="L1949" i="1"/>
  <c r="M1949" i="1" s="1"/>
  <c r="L1950" i="1"/>
  <c r="M1950" i="1" s="1"/>
  <c r="L1951" i="1"/>
  <c r="M1951" i="1" s="1"/>
  <c r="L1952" i="1"/>
  <c r="M1952" i="1" s="1"/>
  <c r="L1953" i="1"/>
  <c r="M1953" i="1" s="1"/>
  <c r="L1954" i="1"/>
  <c r="M1954" i="1" s="1"/>
  <c r="L1955" i="1"/>
  <c r="M1955" i="1" s="1"/>
  <c r="L1956" i="1"/>
  <c r="M1956" i="1" s="1"/>
  <c r="L1957" i="1"/>
  <c r="M1957" i="1" s="1"/>
  <c r="L1958" i="1"/>
  <c r="M1958" i="1" s="1"/>
  <c r="L1959" i="1"/>
  <c r="M1959" i="1" s="1"/>
  <c r="L1960" i="1"/>
  <c r="M1960" i="1" s="1"/>
  <c r="L1961" i="1"/>
  <c r="M1961" i="1" s="1"/>
  <c r="L1962" i="1"/>
  <c r="M1962" i="1" s="1"/>
  <c r="L1963" i="1"/>
  <c r="M1963" i="1" s="1"/>
  <c r="L1964" i="1"/>
  <c r="M1964" i="1" s="1"/>
  <c r="L1965" i="1"/>
  <c r="M1965" i="1" s="1"/>
  <c r="L1966" i="1"/>
  <c r="M1966" i="1" s="1"/>
  <c r="L1967" i="1"/>
  <c r="M1967" i="1" s="1"/>
  <c r="L1968" i="1"/>
  <c r="M1968" i="1" s="1"/>
  <c r="L1969" i="1"/>
  <c r="M1969" i="1" s="1"/>
  <c r="L1970" i="1"/>
  <c r="M1970" i="1" s="1"/>
  <c r="L1971" i="1"/>
  <c r="M1971" i="1" s="1"/>
  <c r="L1972" i="1"/>
  <c r="M1972" i="1" s="1"/>
  <c r="L1973" i="1"/>
  <c r="M1973" i="1" s="1"/>
  <c r="L1974" i="1"/>
  <c r="M1974" i="1" s="1"/>
  <c r="L1975" i="1"/>
  <c r="M1975" i="1" s="1"/>
  <c r="L1976" i="1"/>
  <c r="M1976" i="1" s="1"/>
  <c r="L1977" i="1"/>
  <c r="M1977" i="1" s="1"/>
  <c r="L1978" i="1"/>
  <c r="M1978" i="1" s="1"/>
  <c r="L1979" i="1"/>
  <c r="M1979" i="1" s="1"/>
  <c r="L1980" i="1"/>
  <c r="M1980" i="1" s="1"/>
  <c r="L1981" i="1"/>
  <c r="M1981" i="1" s="1"/>
  <c r="L1982" i="1"/>
  <c r="M1982" i="1" s="1"/>
  <c r="L1983" i="1"/>
  <c r="M1983" i="1" s="1"/>
  <c r="L1984" i="1"/>
  <c r="M1984" i="1" s="1"/>
  <c r="L1985" i="1"/>
  <c r="M1985" i="1" s="1"/>
  <c r="L1986" i="1"/>
  <c r="M1986" i="1" s="1"/>
  <c r="L1987" i="1"/>
  <c r="M1987" i="1" s="1"/>
  <c r="L1988" i="1"/>
  <c r="M1988" i="1" s="1"/>
  <c r="L1989" i="1"/>
  <c r="M1989" i="1" s="1"/>
  <c r="L1990" i="1"/>
  <c r="M1990" i="1" s="1"/>
  <c r="L1991" i="1"/>
  <c r="M1991" i="1" s="1"/>
  <c r="L1992" i="1"/>
  <c r="M1992" i="1" s="1"/>
  <c r="L1993" i="1"/>
  <c r="M1993" i="1" s="1"/>
  <c r="L1994" i="1"/>
  <c r="M1994" i="1" s="1"/>
  <c r="L1995" i="1"/>
  <c r="M1995" i="1" s="1"/>
  <c r="L1996" i="1"/>
  <c r="M1996" i="1" s="1"/>
  <c r="L1997" i="1"/>
  <c r="M1997" i="1" s="1"/>
  <c r="L1998" i="1"/>
  <c r="M1998" i="1" s="1"/>
  <c r="L1999" i="1"/>
  <c r="M1999" i="1" s="1"/>
  <c r="L2000" i="1"/>
  <c r="M2000" i="1" s="1"/>
  <c r="L2001" i="1"/>
  <c r="M2001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5" i="1"/>
  <c r="M5" i="1" s="1"/>
  <c r="L4" i="1"/>
  <c r="M4" i="1" s="1"/>
  <c r="L3" i="1"/>
  <c r="M3" i="1" s="1"/>
</calcChain>
</file>

<file path=xl/sharedStrings.xml><?xml version="1.0" encoding="utf-8"?>
<sst xmlns="http://schemas.openxmlformats.org/spreadsheetml/2006/main" count="14039" uniqueCount="2132">
  <si>
    <t>Row ID</t>
  </si>
  <si>
    <t>Customer ID</t>
  </si>
  <si>
    <t>Customer Name</t>
  </si>
  <si>
    <t>CA-2017-152156</t>
  </si>
  <si>
    <t>CG-12520</t>
  </si>
  <si>
    <t>Claire Gute</t>
  </si>
  <si>
    <t>Consumer</t>
  </si>
  <si>
    <t>CA-2017-138688</t>
  </si>
  <si>
    <t>DV-13045</t>
  </si>
  <si>
    <t>Darrin Van Huff</t>
  </si>
  <si>
    <t>Corporate</t>
  </si>
  <si>
    <t>US-2016-108966</t>
  </si>
  <si>
    <t>SO-20335</t>
  </si>
  <si>
    <t>Sean O'Donnell</t>
  </si>
  <si>
    <t>CA-2015-115812</t>
  </si>
  <si>
    <t>BH-11710</t>
  </si>
  <si>
    <t>Brosina Hoffman</t>
  </si>
  <si>
    <t>CA-2018-114412</t>
  </si>
  <si>
    <t>AA-10480</t>
  </si>
  <si>
    <t>Andrew Allen</t>
  </si>
  <si>
    <t>CA-2017-161389</t>
  </si>
  <si>
    <t>IM-15070</t>
  </si>
  <si>
    <t>Irene Maddox</t>
  </si>
  <si>
    <t>US-2016-118983</t>
  </si>
  <si>
    <t>HP-14815</t>
  </si>
  <si>
    <t>Harold Pawlan</t>
  </si>
  <si>
    <t>Home Office</t>
  </si>
  <si>
    <t>CA-2015-105893</t>
  </si>
  <si>
    <t>PK-19075</t>
  </si>
  <si>
    <t>Pete Kriz</t>
  </si>
  <si>
    <t>CA-2015-167164</t>
  </si>
  <si>
    <t>AG-10270</t>
  </si>
  <si>
    <t>Alejandro Grove</t>
  </si>
  <si>
    <t>CA-2015-143336</t>
  </si>
  <si>
    <t>ZD-21925</t>
  </si>
  <si>
    <t>Zuschuss Donatelli</t>
  </si>
  <si>
    <t>CA-2017-137330</t>
  </si>
  <si>
    <t>KB-16585</t>
  </si>
  <si>
    <t>Ken Black</t>
  </si>
  <si>
    <t>US-2018-156909</t>
  </si>
  <si>
    <t>SF-20065</t>
  </si>
  <si>
    <t>Sandra Flanagan</t>
  </si>
  <si>
    <t>CA-2016-106320</t>
  </si>
  <si>
    <t>EB-13870</t>
  </si>
  <si>
    <t>Emily Burns</t>
  </si>
  <si>
    <t>CA-2017-121755</t>
  </si>
  <si>
    <t>EH-13945</t>
  </si>
  <si>
    <t>Eric Hoffmann</t>
  </si>
  <si>
    <t>US-2016-150630</t>
  </si>
  <si>
    <t>TB-21520</t>
  </si>
  <si>
    <t>Tracy Blumstein</t>
  </si>
  <si>
    <t>CA-2018-107727</t>
  </si>
  <si>
    <t>MA-17560</t>
  </si>
  <si>
    <t>Matt Abelman</t>
  </si>
  <si>
    <t>CA-2017-117590</t>
  </si>
  <si>
    <t>GH-14485</t>
  </si>
  <si>
    <t>Gene Hale</t>
  </si>
  <si>
    <t>CA-2016-117415</t>
  </si>
  <si>
    <t>SN-20710</t>
  </si>
  <si>
    <t>Steve Nguyen</t>
  </si>
  <si>
    <t>CA-2018-120999</t>
  </si>
  <si>
    <t>LC-16930</t>
  </si>
  <si>
    <t>Linda Cazamias</t>
  </si>
  <si>
    <t>CA-2017-101343</t>
  </si>
  <si>
    <t>RA-19885</t>
  </si>
  <si>
    <t>Ruben Ausman</t>
  </si>
  <si>
    <t>CA-2018-139619</t>
  </si>
  <si>
    <t>ES-14080</t>
  </si>
  <si>
    <t>Erin Smith</t>
  </si>
  <si>
    <t>CA-2017-118255</t>
  </si>
  <si>
    <t>ON-18715</t>
  </si>
  <si>
    <t>Odella Nelson</t>
  </si>
  <si>
    <t>CA-2015-146703</t>
  </si>
  <si>
    <t>PO-18865</t>
  </si>
  <si>
    <t>Patrick O'Donnell</t>
  </si>
  <si>
    <t>CA-2017-169194</t>
  </si>
  <si>
    <t>LH-16900</t>
  </si>
  <si>
    <t>Lena Hernandez</t>
  </si>
  <si>
    <t>CA-2016-115742</t>
  </si>
  <si>
    <t>DP-13000</t>
  </si>
  <si>
    <t>Darren Powers</t>
  </si>
  <si>
    <t>CA-2017-105816</t>
  </si>
  <si>
    <t>JM-15265</t>
  </si>
  <si>
    <t>Janet Molinari</t>
  </si>
  <si>
    <t>CA-2017-111682</t>
  </si>
  <si>
    <t>TB-21055</t>
  </si>
  <si>
    <t>Ted Butterfield</t>
  </si>
  <si>
    <t>CA-2016-135545</t>
  </si>
  <si>
    <t>KM-16720</t>
  </si>
  <si>
    <t>Kunst Miller</t>
  </si>
  <si>
    <t>US-2016-164175</t>
  </si>
  <si>
    <t>PS-18970</t>
  </si>
  <si>
    <t>Paul Stevenson</t>
  </si>
  <si>
    <t>CA-2015-106376</t>
  </si>
  <si>
    <t>BS-11590</t>
  </si>
  <si>
    <t>Brendan Sweed</t>
  </si>
  <si>
    <t>CA-2017-119823</t>
  </si>
  <si>
    <t>KD-16270</t>
  </si>
  <si>
    <t>Karen Daniels</t>
  </si>
  <si>
    <t>CA-2017-106075</t>
  </si>
  <si>
    <t>HM-14980</t>
  </si>
  <si>
    <t>Henry MacAllister</t>
  </si>
  <si>
    <t>CA-2018-114440</t>
  </si>
  <si>
    <t>US-2016-134026</t>
  </si>
  <si>
    <t>JE-15745</t>
  </si>
  <si>
    <t>Joel Eaton</t>
  </si>
  <si>
    <t>US-2018-118038</t>
  </si>
  <si>
    <t>KB-16600</t>
  </si>
  <si>
    <t>Ken Brennan</t>
  </si>
  <si>
    <t>US-2015-147606</t>
  </si>
  <si>
    <t>CA-2017-127208</t>
  </si>
  <si>
    <t>SC-20770</t>
  </si>
  <si>
    <t>Stewart Carmichael</t>
  </si>
  <si>
    <t>CA-2015-139451</t>
  </si>
  <si>
    <t>DN-13690</t>
  </si>
  <si>
    <t>Duane Noonan</t>
  </si>
  <si>
    <t>CA-2016-149734</t>
  </si>
  <si>
    <t>JC-16105</t>
  </si>
  <si>
    <t>Julie Creighton</t>
  </si>
  <si>
    <t>US-2018-119662</t>
  </si>
  <si>
    <t>CS-12400</t>
  </si>
  <si>
    <t>Christopher Schild</t>
  </si>
  <si>
    <t>CA-2018-140088</t>
  </si>
  <si>
    <t>CA-2018-155558</t>
  </si>
  <si>
    <t>PG-18895</t>
  </si>
  <si>
    <t>Paul Gonzalez</t>
  </si>
  <si>
    <t>CA-2017-159695</t>
  </si>
  <si>
    <t>GM-14455</t>
  </si>
  <si>
    <t>Gary Mitchum</t>
  </si>
  <si>
    <t>CA-2017-109806</t>
  </si>
  <si>
    <t>JS-15685</t>
  </si>
  <si>
    <t>Jim Sink</t>
  </si>
  <si>
    <t>CA-2016-149587</t>
  </si>
  <si>
    <t>KB-16315</t>
  </si>
  <si>
    <t>Karl Braun</t>
  </si>
  <si>
    <t>US-2018-109484</t>
  </si>
  <si>
    <t>RB-19705</t>
  </si>
  <si>
    <t>Roger Barcio</t>
  </si>
  <si>
    <t>CA-2018-161018</t>
  </si>
  <si>
    <t>PN-18775</t>
  </si>
  <si>
    <t>Parhena Norris</t>
  </si>
  <si>
    <t>CA-2018-157833</t>
  </si>
  <si>
    <t>KD-16345</t>
  </si>
  <si>
    <t>Katherine Ducich</t>
  </si>
  <si>
    <t>CA-2017-149223</t>
  </si>
  <si>
    <t>ER-13855</t>
  </si>
  <si>
    <t>Elpida Rittenbach</t>
  </si>
  <si>
    <t>CA-2017-158568</t>
  </si>
  <si>
    <t>RB-19465</t>
  </si>
  <si>
    <t>Rick Bensley</t>
  </si>
  <si>
    <t>CA-2017-129903</t>
  </si>
  <si>
    <t>GZ-14470</t>
  </si>
  <si>
    <t>Gary Zandusky</t>
  </si>
  <si>
    <t>US-2016-156867</t>
  </si>
  <si>
    <t>LC-16870</t>
  </si>
  <si>
    <t>Lena Cacioppo</t>
  </si>
  <si>
    <t>CA-2018-119004</t>
  </si>
  <si>
    <t>JM-15250</t>
  </si>
  <si>
    <t>Janet Martin</t>
  </si>
  <si>
    <t>CA-2016-129476</t>
  </si>
  <si>
    <t>PA-19060</t>
  </si>
  <si>
    <t>Pete Armstrong</t>
  </si>
  <si>
    <t>CA-2018-146780</t>
  </si>
  <si>
    <t>CV-12805</t>
  </si>
  <si>
    <t>Cynthia Voltz</t>
  </si>
  <si>
    <t>CA-2017-128867</t>
  </si>
  <si>
    <t>CL-12565</t>
  </si>
  <si>
    <t>Clay Ludtke</t>
  </si>
  <si>
    <t>CA-2015-115259</t>
  </si>
  <si>
    <t>RC-19960</t>
  </si>
  <si>
    <t>Ryan Crowe</t>
  </si>
  <si>
    <t>CA-2016-110457</t>
  </si>
  <si>
    <t>DK-13090</t>
  </si>
  <si>
    <t>Dave Kipp</t>
  </si>
  <si>
    <t>US-2016-136476</t>
  </si>
  <si>
    <t>GG-14650</t>
  </si>
  <si>
    <t>Greg Guthrie</t>
  </si>
  <si>
    <t>CA-2017-103730</t>
  </si>
  <si>
    <t>SC-20725</t>
  </si>
  <si>
    <t>Steven Cartwright</t>
  </si>
  <si>
    <t>US-2015-152030</t>
  </si>
  <si>
    <t>AD-10180</t>
  </si>
  <si>
    <t>Alan Dominguez</t>
  </si>
  <si>
    <t>US-2015-134614</t>
  </si>
  <si>
    <t>PF-19165</t>
  </si>
  <si>
    <t>Philip Fox</t>
  </si>
  <si>
    <t>US-2018-107272</t>
  </si>
  <si>
    <t>TS-21610</t>
  </si>
  <si>
    <t>Troy Staebel</t>
  </si>
  <si>
    <t>US-2017-125969</t>
  </si>
  <si>
    <t>LS-16975</t>
  </si>
  <si>
    <t>Lindsay Shagiari</t>
  </si>
  <si>
    <t>US-2018-164147</t>
  </si>
  <si>
    <t>DW-13585</t>
  </si>
  <si>
    <t>Dorothy Wardle</t>
  </si>
  <si>
    <t>CA-2017-145583</t>
  </si>
  <si>
    <t>LC-16885</t>
  </si>
  <si>
    <t>Lena Creighton</t>
  </si>
  <si>
    <t>CA-2017-110366</t>
  </si>
  <si>
    <t>JD-15895</t>
  </si>
  <si>
    <t>Jonathan Doherty</t>
  </si>
  <si>
    <t>CA-2018-106180</t>
  </si>
  <si>
    <t>SH-19975</t>
  </si>
  <si>
    <t>Sally Hughsby</t>
  </si>
  <si>
    <t>CA-2018-155376</t>
  </si>
  <si>
    <t>SG-20080</t>
  </si>
  <si>
    <t>Sandra Glassco</t>
  </si>
  <si>
    <t>CA-2016-110744</t>
  </si>
  <si>
    <t>HA-14920</t>
  </si>
  <si>
    <t>Helen Andreada</t>
  </si>
  <si>
    <t>CA-2015-110072</t>
  </si>
  <si>
    <t>MG-17680</t>
  </si>
  <si>
    <t>Maureen Gastineau</t>
  </si>
  <si>
    <t>CA-2017-114489</t>
  </si>
  <si>
    <t>JE-16165</t>
  </si>
  <si>
    <t>Justin Ellison</t>
  </si>
  <si>
    <t>CA-2017-158834</t>
  </si>
  <si>
    <t>TW-21025</t>
  </si>
  <si>
    <t>Tamara Willingham</t>
  </si>
  <si>
    <t>CA-2016-124919</t>
  </si>
  <si>
    <t>SP-20650</t>
  </si>
  <si>
    <t>Stephanie Phelps</t>
  </si>
  <si>
    <t>CA-2016-118948</t>
  </si>
  <si>
    <t>NK-18490</t>
  </si>
  <si>
    <t>Neil Knudson</t>
  </si>
  <si>
    <t>CA-2015-104269</t>
  </si>
  <si>
    <t>DB-13060</t>
  </si>
  <si>
    <t>Dave Brooks</t>
  </si>
  <si>
    <t>CA-2017-114104</t>
  </si>
  <si>
    <t>NP-18670</t>
  </si>
  <si>
    <t>Nora Paige</t>
  </si>
  <si>
    <t>CA-2017-162733</t>
  </si>
  <si>
    <t>TT-21070</t>
  </si>
  <si>
    <t>Ted Trevino</t>
  </si>
  <si>
    <t>CA-2016-119697</t>
  </si>
  <si>
    <t>EM-13960</t>
  </si>
  <si>
    <t>Eric Murdock</t>
  </si>
  <si>
    <t>CA-2017-154508</t>
  </si>
  <si>
    <t>RD-19900</t>
  </si>
  <si>
    <t>Ruben Dartt</t>
  </si>
  <si>
    <t>CA-2017-113817</t>
  </si>
  <si>
    <t>MJ-17740</t>
  </si>
  <si>
    <t>Max Jones</t>
  </si>
  <si>
    <t>CA-2015-139892</t>
  </si>
  <si>
    <t>BM-11140</t>
  </si>
  <si>
    <t>Becky Martin</t>
  </si>
  <si>
    <t>CA-2015-118962</t>
  </si>
  <si>
    <t>CS-12130</t>
  </si>
  <si>
    <t>Chad Sievert</t>
  </si>
  <si>
    <t>US-2015-100853</t>
  </si>
  <si>
    <t>JB-15400</t>
  </si>
  <si>
    <t>Jennifer Braxton</t>
  </si>
  <si>
    <t>US-2018-152366</t>
  </si>
  <si>
    <t>SJ-20500</t>
  </si>
  <si>
    <t>Shirley Jackson</t>
  </si>
  <si>
    <t>US-2016-101511</t>
  </si>
  <si>
    <t>CA-2016-137225</t>
  </si>
  <si>
    <t>JK-15640</t>
  </si>
  <si>
    <t>Jim Kriz</t>
  </si>
  <si>
    <t>CA-2015-166191</t>
  </si>
  <si>
    <t>DK-13150</t>
  </si>
  <si>
    <t>David Kendrick</t>
  </si>
  <si>
    <t>CA-2015-158274</t>
  </si>
  <si>
    <t>RM-19675</t>
  </si>
  <si>
    <t>Robert Marley</t>
  </si>
  <si>
    <t>CA-2017-105018</t>
  </si>
  <si>
    <t>SK-19990</t>
  </si>
  <si>
    <t>Sally Knutson</t>
  </si>
  <si>
    <t>CA-2015-123260</t>
  </si>
  <si>
    <t>FM-14290</t>
  </si>
  <si>
    <t>Frank Merwin</t>
  </si>
  <si>
    <t>CA-2017-157000</t>
  </si>
  <si>
    <t>AM-10360</t>
  </si>
  <si>
    <t>Alice McCarthy</t>
  </si>
  <si>
    <t>CA-2016-102281</t>
  </si>
  <si>
    <t>MP-17470</t>
  </si>
  <si>
    <t>Mark Packer</t>
  </si>
  <si>
    <t>CA-2016-131457</t>
  </si>
  <si>
    <t>MZ-17515</t>
  </si>
  <si>
    <t>Mary Zewe</t>
  </si>
  <si>
    <t>CA-2015-140004</t>
  </si>
  <si>
    <t>CB-12025</t>
  </si>
  <si>
    <t>Cassandra Brandow</t>
  </si>
  <si>
    <t>CA-2018-107720</t>
  </si>
  <si>
    <t>VM-21685</t>
  </si>
  <si>
    <t>Valerie Mitchum</t>
  </si>
  <si>
    <t>US-2018-124303</t>
  </si>
  <si>
    <t>FH-14365</t>
  </si>
  <si>
    <t>Fred Hopkins</t>
  </si>
  <si>
    <t>CA-2018-105074</t>
  </si>
  <si>
    <t>MB-17305</t>
  </si>
  <si>
    <t>Maria Bertelson</t>
  </si>
  <si>
    <t>CA-2015-133690</t>
  </si>
  <si>
    <t>BS-11755</t>
  </si>
  <si>
    <t>Bruce Stewart</t>
  </si>
  <si>
    <t>US-2018-116701</t>
  </si>
  <si>
    <t>LC-17140</t>
  </si>
  <si>
    <t>Logan Currie</t>
  </si>
  <si>
    <t>CA-2018-126382</t>
  </si>
  <si>
    <t>HK-14890</t>
  </si>
  <si>
    <t>Heather Kirkland</t>
  </si>
  <si>
    <t>CA-2018-108329</t>
  </si>
  <si>
    <t>LE-16810</t>
  </si>
  <si>
    <t>Laurel Elliston</t>
  </si>
  <si>
    <t>CA-2018-135860</t>
  </si>
  <si>
    <t>JH-15985</t>
  </si>
  <si>
    <t>Joseph Holt</t>
  </si>
  <si>
    <t>CA-2016-101007</t>
  </si>
  <si>
    <t>MS-17980</t>
  </si>
  <si>
    <t>Michael Stewart</t>
  </si>
  <si>
    <t>CA-2016-146262</t>
  </si>
  <si>
    <t>VW-21775</t>
  </si>
  <si>
    <t>Victoria Wilson</t>
  </si>
  <si>
    <t>CA-2017-130162</t>
  </si>
  <si>
    <t>JH-15910</t>
  </si>
  <si>
    <t>Jonathan Howell</t>
  </si>
  <si>
    <t>CA-2016-169397</t>
  </si>
  <si>
    <t>JB-15925</t>
  </si>
  <si>
    <t>Joni Blumstein</t>
  </si>
  <si>
    <t>CA-2016-163055</t>
  </si>
  <si>
    <t>DS-13180</t>
  </si>
  <si>
    <t>David Smith</t>
  </si>
  <si>
    <t>US-2016-145436</t>
  </si>
  <si>
    <t>VD-21670</t>
  </si>
  <si>
    <t>Valerie Dominguez</t>
  </si>
  <si>
    <t>US-2015-156216</t>
  </si>
  <si>
    <t>EA-14035</t>
  </si>
  <si>
    <t>Erin Ashbrook</t>
  </si>
  <si>
    <t>US-2018-100930</t>
  </si>
  <si>
    <t>CA-2018-160514</t>
  </si>
  <si>
    <t>DB-13120</t>
  </si>
  <si>
    <t>David Bremer</t>
  </si>
  <si>
    <t>CA-2017-157749</t>
  </si>
  <si>
    <t>KL-16645</t>
  </si>
  <si>
    <t>Ken Lonsdale</t>
  </si>
  <si>
    <t>CA-2015-131926</t>
  </si>
  <si>
    <t>DW-13480</t>
  </si>
  <si>
    <t>Dianna Wilson</t>
  </si>
  <si>
    <t>CA-2017-154739</t>
  </si>
  <si>
    <t>LH-17155</t>
  </si>
  <si>
    <t>Logan Haushalter</t>
  </si>
  <si>
    <t>CA-2017-145625</t>
  </si>
  <si>
    <t>KC-16540</t>
  </si>
  <si>
    <t>Kelly Collister</t>
  </si>
  <si>
    <t>CA-2017-146941</t>
  </si>
  <si>
    <t>DL-13315</t>
  </si>
  <si>
    <t>Delfina Latchford</t>
  </si>
  <si>
    <t>US-2016-159982</t>
  </si>
  <si>
    <t>DR-12880</t>
  </si>
  <si>
    <t>Dan Reichenbach</t>
  </si>
  <si>
    <t>CA-2018-163139</t>
  </si>
  <si>
    <t>CC-12670</t>
  </si>
  <si>
    <t>Craig Carreira</t>
  </si>
  <si>
    <t>US-2018-155299</t>
  </si>
  <si>
    <t>Dl-13600</t>
  </si>
  <si>
    <t>Dorris liebe</t>
  </si>
  <si>
    <t>US-2015-106992</t>
  </si>
  <si>
    <t>SB-20290</t>
  </si>
  <si>
    <t>Sean Braxton</t>
  </si>
  <si>
    <t>CA-2017-125318</t>
  </si>
  <si>
    <t>RC-19825</t>
  </si>
  <si>
    <t>Roy Collins</t>
  </si>
  <si>
    <t>CA-2016-155040</t>
  </si>
  <si>
    <t>AH-10210</t>
  </si>
  <si>
    <t>Alan Hwang</t>
  </si>
  <si>
    <t>CA-2018-136826</t>
  </si>
  <si>
    <t>CB-12535</t>
  </si>
  <si>
    <t>Claudia Bergmann</t>
  </si>
  <si>
    <t>CA-2017-111010</t>
  </si>
  <si>
    <t>US-2018-145366</t>
  </si>
  <si>
    <t>CA-12310</t>
  </si>
  <si>
    <t>Christine Abelman</t>
  </si>
  <si>
    <t>CA-2018-163979</t>
  </si>
  <si>
    <t>KH-16690</t>
  </si>
  <si>
    <t>Kristen Hastings</t>
  </si>
  <si>
    <t>CA-2016-155334</t>
  </si>
  <si>
    <t>CA-2018-118136</t>
  </si>
  <si>
    <t>BB-10990</t>
  </si>
  <si>
    <t>Barry Blumstein</t>
  </si>
  <si>
    <t>CA-2018-132976</t>
  </si>
  <si>
    <t>AG-10495</t>
  </si>
  <si>
    <t>Andrew Gjertsen</t>
  </si>
  <si>
    <t>US-2016-161991</t>
  </si>
  <si>
    <t>CA-2016-130890</t>
  </si>
  <si>
    <t>JO-15280</t>
  </si>
  <si>
    <t>Jas O'Carroll</t>
  </si>
  <si>
    <t>CA-2016-130883</t>
  </si>
  <si>
    <t>CA-2017-112697</t>
  </si>
  <si>
    <t>AH-10195</t>
  </si>
  <si>
    <t>Alan Haines</t>
  </si>
  <si>
    <t>CA-2017-110772</t>
  </si>
  <si>
    <t>NZ-18565</t>
  </si>
  <si>
    <t>Nick Zandusky</t>
  </si>
  <si>
    <t>CA-2015-111451</t>
  </si>
  <si>
    <t>KL-16555</t>
  </si>
  <si>
    <t>Kelly Lampkin</t>
  </si>
  <si>
    <t>CA-2017-142545</t>
  </si>
  <si>
    <t>US-2018-152380</t>
  </si>
  <si>
    <t>CA-2016-144253</t>
  </si>
  <si>
    <t>AS-10225</t>
  </si>
  <si>
    <t>Alan Schoenberger</t>
  </si>
  <si>
    <t>CA-2015-130960</t>
  </si>
  <si>
    <t>CA-2015-111003</t>
  </si>
  <si>
    <t>CR-12625</t>
  </si>
  <si>
    <t>Corey Roper</t>
  </si>
  <si>
    <t>CA-2018-126774</t>
  </si>
  <si>
    <t>SH-20395</t>
  </si>
  <si>
    <t>Shahid Hopkins</t>
  </si>
  <si>
    <t>CA-2017-142902</t>
  </si>
  <si>
    <t>BP-11185</t>
  </si>
  <si>
    <t>Ben Peterman</t>
  </si>
  <si>
    <t>CA-2015-120887</t>
  </si>
  <si>
    <t>TS-21205</t>
  </si>
  <si>
    <t>Thomas Seio</t>
  </si>
  <si>
    <t>CA-2015-167850</t>
  </si>
  <si>
    <t>AG-10525</t>
  </si>
  <si>
    <t>Andy Gerbode</t>
  </si>
  <si>
    <t>CA-2015-164259</t>
  </si>
  <si>
    <t>SP-20860</t>
  </si>
  <si>
    <t>Sung Pak</t>
  </si>
  <si>
    <t>CA-2015-164973</t>
  </si>
  <si>
    <t>NM-18445</t>
  </si>
  <si>
    <t>Nathan Mautz</t>
  </si>
  <si>
    <t>CA-2015-156601</t>
  </si>
  <si>
    <t>FA-14230</t>
  </si>
  <si>
    <t>Frank Atkinson</t>
  </si>
  <si>
    <t>CA-2017-162138</t>
  </si>
  <si>
    <t>GK-14620</t>
  </si>
  <si>
    <t>Grace Kelly</t>
  </si>
  <si>
    <t>CA-2018-153339</t>
  </si>
  <si>
    <t>DJ-13510</t>
  </si>
  <si>
    <t>Don Jones</t>
  </si>
  <si>
    <t>US-2017-141544</t>
  </si>
  <si>
    <t>PO-18850</t>
  </si>
  <si>
    <t>Patrick O'Brill</t>
  </si>
  <si>
    <t>US-2017-150147</t>
  </si>
  <si>
    <t>JL-15850</t>
  </si>
  <si>
    <t>John Lucas</t>
  </si>
  <si>
    <t>CA-2016-137946</t>
  </si>
  <si>
    <t>DB-13615</t>
  </si>
  <si>
    <t>Doug Bickford</t>
  </si>
  <si>
    <t>CA-2015-129924</t>
  </si>
  <si>
    <t>AC-10420</t>
  </si>
  <si>
    <t>Alyssa Crouse</t>
  </si>
  <si>
    <t>CA-2016-128167</t>
  </si>
  <si>
    <t>CA-2015-122336</t>
  </si>
  <si>
    <t>US-2016-120712</t>
  </si>
  <si>
    <t>CA-2018-169901</t>
  </si>
  <si>
    <t>CC-12550</t>
  </si>
  <si>
    <t>Clay Cheatham</t>
  </si>
  <si>
    <t>CA-2018-134306</t>
  </si>
  <si>
    <t>TD-20995</t>
  </si>
  <si>
    <t>Tamara Dahlen</t>
  </si>
  <si>
    <t>CA-2017-129714</t>
  </si>
  <si>
    <t>AB-10060</t>
  </si>
  <si>
    <t>Adam Bellavance</t>
  </si>
  <si>
    <t>CA-2017-138520</t>
  </si>
  <si>
    <t>JL-15505</t>
  </si>
  <si>
    <t>Jeremy Lonsdale</t>
  </si>
  <si>
    <t>CA-2017-130001</t>
  </si>
  <si>
    <t>CA-2018-155698</t>
  </si>
  <si>
    <t>VB-21745</t>
  </si>
  <si>
    <t>Victoria Brennan</t>
  </si>
  <si>
    <t>CA-2018-144904</t>
  </si>
  <si>
    <t>KW-16435</t>
  </si>
  <si>
    <t>Katrina Willman</t>
  </si>
  <si>
    <t>CA-2015-123344</t>
  </si>
  <si>
    <t>JD-16060</t>
  </si>
  <si>
    <t>Julia Dunbar</t>
  </si>
  <si>
    <t>CA-2017-155516</t>
  </si>
  <si>
    <t>MK-17905</t>
  </si>
  <si>
    <t>Michael Kennedy</t>
  </si>
  <si>
    <t>CA-2018-104745</t>
  </si>
  <si>
    <t>GT-14755</t>
  </si>
  <si>
    <t>Guy Thornton</t>
  </si>
  <si>
    <t>US-2015-119137</t>
  </si>
  <si>
    <t>AG-10900</t>
  </si>
  <si>
    <t>Arthur Gainer</t>
  </si>
  <si>
    <t>US-2017-134656</t>
  </si>
  <si>
    <t>MM-18280</t>
  </si>
  <si>
    <t>Muhammed MacIntyre</t>
  </si>
  <si>
    <t>US-2018-134481</t>
  </si>
  <si>
    <t>AR-10405</t>
  </si>
  <si>
    <t>Allen Rosenblatt</t>
  </si>
  <si>
    <t>CA-2016-130792</t>
  </si>
  <si>
    <t>RA-19915</t>
  </si>
  <si>
    <t>Russell Applegate</t>
  </si>
  <si>
    <t>CA-2017-134775</t>
  </si>
  <si>
    <t>AS-10285</t>
  </si>
  <si>
    <t>Alejandro Savely</t>
  </si>
  <si>
    <t>CA-2016-125395</t>
  </si>
  <si>
    <t>LA-16780</t>
  </si>
  <si>
    <t>Laura Armstrong</t>
  </si>
  <si>
    <t>US-2016-168935</t>
  </si>
  <si>
    <t>DO-13435</t>
  </si>
  <si>
    <t>Denny Ordway</t>
  </si>
  <si>
    <t>CA-2016-122756</t>
  </si>
  <si>
    <t>DK-13225</t>
  </si>
  <si>
    <t>Dean Katz</t>
  </si>
  <si>
    <t>CA-2015-115973</t>
  </si>
  <si>
    <t>NG-18430</t>
  </si>
  <si>
    <t>Nathan Gelder</t>
  </si>
  <si>
    <t>CA-2018-101798</t>
  </si>
  <si>
    <t>MV-18190</t>
  </si>
  <si>
    <t>Mike Vittorini</t>
  </si>
  <si>
    <t>US-2015-135972</t>
  </si>
  <si>
    <t>JG-15115</t>
  </si>
  <si>
    <t>Jack Garza</t>
  </si>
  <si>
    <t>US-2015-134971</t>
  </si>
  <si>
    <t>BP-11095</t>
  </si>
  <si>
    <t>Bart Pistole</t>
  </si>
  <si>
    <t>CA-2018-102946</t>
  </si>
  <si>
    <t>VP-21730</t>
  </si>
  <si>
    <t>Victor Preis</t>
  </si>
  <si>
    <t>CA-2018-165603</t>
  </si>
  <si>
    <t>SS-20140</t>
  </si>
  <si>
    <t>Saphhira Shifley</t>
  </si>
  <si>
    <t>CA-2016-122259</t>
  </si>
  <si>
    <t>CA-2017-108987</t>
  </si>
  <si>
    <t>AG-10675</t>
  </si>
  <si>
    <t>Anna Gayman</t>
  </si>
  <si>
    <t>CA-2015-113166</t>
  </si>
  <si>
    <t>LF-17185</t>
  </si>
  <si>
    <t>Luke Foster</t>
  </si>
  <si>
    <t>CA-2015-155208</t>
  </si>
  <si>
    <t>CA-2018-117933</t>
  </si>
  <si>
    <t>RF-19840</t>
  </si>
  <si>
    <t>Roy FranzÃ¶sisch</t>
  </si>
  <si>
    <t>CA-2018-117457</t>
  </si>
  <si>
    <t>KH-16510</t>
  </si>
  <si>
    <t>Keith Herrera</t>
  </si>
  <si>
    <t>CA-2018-142636</t>
  </si>
  <si>
    <t>KC-16675</t>
  </si>
  <si>
    <t>Kimberly Carter</t>
  </si>
  <si>
    <t>CA-2018-122105</t>
  </si>
  <si>
    <t>CJ-12010</t>
  </si>
  <si>
    <t>Caroline Jumper</t>
  </si>
  <si>
    <t>CA-2017-148796</t>
  </si>
  <si>
    <t>PB-19150</t>
  </si>
  <si>
    <t>Philip Brown</t>
  </si>
  <si>
    <t>CA-2018-154816</t>
  </si>
  <si>
    <t>CA-2018-110478</t>
  </si>
  <si>
    <t>CA-2015-142048</t>
  </si>
  <si>
    <t>CA-2018-125388</t>
  </si>
  <si>
    <t>MP-17965</t>
  </si>
  <si>
    <t>Michael Paige</t>
  </si>
  <si>
    <t>CA-2018-155705</t>
  </si>
  <si>
    <t>NF-18385</t>
  </si>
  <si>
    <t>Natalie Fritzler</t>
  </si>
  <si>
    <t>CA-2018-149160</t>
  </si>
  <si>
    <t>CA-2015-101476</t>
  </si>
  <si>
    <t>SD-20485</t>
  </si>
  <si>
    <t>Shirley Daniels</t>
  </si>
  <si>
    <t>CA-2018-152275</t>
  </si>
  <si>
    <t>KH-16630</t>
  </si>
  <si>
    <t>Ken Heidel</t>
  </si>
  <si>
    <t>US-2017-123750</t>
  </si>
  <si>
    <t>RB-19795</t>
  </si>
  <si>
    <t>Ross Baird</t>
  </si>
  <si>
    <t>CA-2017-127369</t>
  </si>
  <si>
    <t>US-2015-150574</t>
  </si>
  <si>
    <t>MK-18160</t>
  </si>
  <si>
    <t>Mike Kennedy</t>
  </si>
  <si>
    <t>CA-2017-147375</t>
  </si>
  <si>
    <t>PO-19180</t>
  </si>
  <si>
    <t>Philisse Overcash</t>
  </si>
  <si>
    <t>CA-2018-130043</t>
  </si>
  <si>
    <t>BB-11545</t>
  </si>
  <si>
    <t>Brenda Bowman</t>
  </si>
  <si>
    <t>CA-2018-157252</t>
  </si>
  <si>
    <t>CA-2017-115756</t>
  </si>
  <si>
    <t>CA-2018-154214</t>
  </si>
  <si>
    <t>TB-21595</t>
  </si>
  <si>
    <t>Troy Blackwell</t>
  </si>
  <si>
    <t>CA-2017-166674</t>
  </si>
  <si>
    <t>RB-19360</t>
  </si>
  <si>
    <t>Raymond Buch</t>
  </si>
  <si>
    <t>CA-2018-147277</t>
  </si>
  <si>
    <t>EB-13705</t>
  </si>
  <si>
    <t>Ed Braxton</t>
  </si>
  <si>
    <t>CA-2017-100153</t>
  </si>
  <si>
    <t>US-2015-110674</t>
  </si>
  <si>
    <t>SC-20095</t>
  </si>
  <si>
    <t>Sanjit Chand</t>
  </si>
  <si>
    <t>US-2017-157945</t>
  </si>
  <si>
    <t>CA-2016-109638</t>
  </si>
  <si>
    <t>CA-2017-109869</t>
  </si>
  <si>
    <t>TN-21040</t>
  </si>
  <si>
    <t>Tanja Norvell</t>
  </si>
  <si>
    <t>US-2016-101399</t>
  </si>
  <si>
    <t>JS-15940</t>
  </si>
  <si>
    <t>Joni Sundaresam</t>
  </si>
  <si>
    <t>CA-2018-154907</t>
  </si>
  <si>
    <t>US-2017-100419</t>
  </si>
  <si>
    <t>CA-2016-154144</t>
  </si>
  <si>
    <t>MH-17785</t>
  </si>
  <si>
    <t>Maya Herman</t>
  </si>
  <si>
    <t>CA-2015-144666</t>
  </si>
  <si>
    <t>JP-15520</t>
  </si>
  <si>
    <t>Jeremy Pistek</t>
  </si>
  <si>
    <t>CA-2017-103891</t>
  </si>
  <si>
    <t>CA-2017-152632</t>
  </si>
  <si>
    <t>JE-15475</t>
  </si>
  <si>
    <t>Jeremy Ellison</t>
  </si>
  <si>
    <t>CA-2017-100790</t>
  </si>
  <si>
    <t>JG-15805</t>
  </si>
  <si>
    <t>John Grady</t>
  </si>
  <si>
    <t>CA-2015-134677</t>
  </si>
  <si>
    <t>XP-21865</t>
  </si>
  <si>
    <t>Xylona Preis</t>
  </si>
  <si>
    <t>CA-2015-127691</t>
  </si>
  <si>
    <t>EM-14065</t>
  </si>
  <si>
    <t>Erin Mull</t>
  </si>
  <si>
    <t>CA-2018-140963</t>
  </si>
  <si>
    <t>MT-18070</t>
  </si>
  <si>
    <t>Michelle Tran</t>
  </si>
  <si>
    <t>CA-2015-154627</t>
  </si>
  <si>
    <t>SA-20830</t>
  </si>
  <si>
    <t>Sue Ann Reed</t>
  </si>
  <si>
    <t>CA-2015-133753</t>
  </si>
  <si>
    <t>CW-11905</t>
  </si>
  <si>
    <t>Carl Weiss</t>
  </si>
  <si>
    <t>CA-2015-113362</t>
  </si>
  <si>
    <t>AJ-10960</t>
  </si>
  <si>
    <t>Astrea Jones</t>
  </si>
  <si>
    <t>CA-2017-169166</t>
  </si>
  <si>
    <t>SS-20590</t>
  </si>
  <si>
    <t>Sonia Sunley</t>
  </si>
  <si>
    <t>US-2017-120929</t>
  </si>
  <si>
    <t>RO-19780</t>
  </si>
  <si>
    <t>Rose O'Brian</t>
  </si>
  <si>
    <t>CA-2016-134782</t>
  </si>
  <si>
    <t>MD-17350</t>
  </si>
  <si>
    <t>Maribeth Dona</t>
  </si>
  <si>
    <t>CA-2017-126158</t>
  </si>
  <si>
    <t>US-2017-105578</t>
  </si>
  <si>
    <t>MY-17380</t>
  </si>
  <si>
    <t>Maribeth Yedwab</t>
  </si>
  <si>
    <t>CA-2018-134978</t>
  </si>
  <si>
    <t>CA-2016-145352</t>
  </si>
  <si>
    <t>CM-12385</t>
  </si>
  <si>
    <t>Christopher Martinez</t>
  </si>
  <si>
    <t>CA-2018-135307</t>
  </si>
  <si>
    <t>LS-17245</t>
  </si>
  <si>
    <t>Lynn Smith</t>
  </si>
  <si>
    <t>CA-2017-106341</t>
  </si>
  <si>
    <t>CA-2018-163405</t>
  </si>
  <si>
    <t>BN-11515</t>
  </si>
  <si>
    <t>Bradley Nguyen</t>
  </si>
  <si>
    <t>CA-2018-127432</t>
  </si>
  <si>
    <t>CA-2016-157812</t>
  </si>
  <si>
    <t>DB-13210</t>
  </si>
  <si>
    <t>Dean Braden</t>
  </si>
  <si>
    <t>CA-2018-145142</t>
  </si>
  <si>
    <t>MC-17605</t>
  </si>
  <si>
    <t>Matt Connell</t>
  </si>
  <si>
    <t>US-2017-139486</t>
  </si>
  <si>
    <t>CA-2016-158792</t>
  </si>
  <si>
    <t>BD-11605</t>
  </si>
  <si>
    <t>Brian Dahlen</t>
  </si>
  <si>
    <t>CA-2018-113558</t>
  </si>
  <si>
    <t>PH-18790</t>
  </si>
  <si>
    <t>Patricia Hirasaki</t>
  </si>
  <si>
    <t>US-2016-138303</t>
  </si>
  <si>
    <t>MG-18145</t>
  </si>
  <si>
    <t>Mike Gockenbach</t>
  </si>
  <si>
    <t>CA-2016-102848</t>
  </si>
  <si>
    <t>KB-16240</t>
  </si>
  <si>
    <t>Karen Bern</t>
  </si>
  <si>
    <t>US-2018-129441</t>
  </si>
  <si>
    <t>JC-15340</t>
  </si>
  <si>
    <t>Jasper Cacioppo</t>
  </si>
  <si>
    <t>CA-2017-168753</t>
  </si>
  <si>
    <t>RL-19615</t>
  </si>
  <si>
    <t>Rob Lucas</t>
  </si>
  <si>
    <t>CA-2017-126613</t>
  </si>
  <si>
    <t>AA-10375</t>
  </si>
  <si>
    <t>Allen Armold</t>
  </si>
  <si>
    <t>US-2018-122637</t>
  </si>
  <si>
    <t>EP-13915</t>
  </si>
  <si>
    <t>Emily Phan</t>
  </si>
  <si>
    <t>CA-2016-147851</t>
  </si>
  <si>
    <t>CA-2016-134894</t>
  </si>
  <si>
    <t>DK-12985</t>
  </si>
  <si>
    <t>Darren Koutras</t>
  </si>
  <si>
    <t>CA-2015-140795</t>
  </si>
  <si>
    <t>BD-11500</t>
  </si>
  <si>
    <t>Bradley Drucker</t>
  </si>
  <si>
    <t>CA-2017-136924</t>
  </si>
  <si>
    <t>US-2016-120161</t>
  </si>
  <si>
    <t>LM-17065</t>
  </si>
  <si>
    <t>Liz MacKendrick</t>
  </si>
  <si>
    <t>CA-2015-103849</t>
  </si>
  <si>
    <t>CA-2018-162929</t>
  </si>
  <si>
    <t>AS-10135</t>
  </si>
  <si>
    <t>Adrian Shami</t>
  </si>
  <si>
    <t>CA-2016-113173</t>
  </si>
  <si>
    <t>CA-2017-136406</t>
  </si>
  <si>
    <t>BD-11320</t>
  </si>
  <si>
    <t>Bill Donatelli</t>
  </si>
  <si>
    <t>CA-2018-112774</t>
  </si>
  <si>
    <t>CA-2018-101945</t>
  </si>
  <si>
    <t>GT-14710</t>
  </si>
  <si>
    <t>Greg Tran</t>
  </si>
  <si>
    <t>CA-2018-100650</t>
  </si>
  <si>
    <t>CA-2015-155852</t>
  </si>
  <si>
    <t>AJ-10945</t>
  </si>
  <si>
    <t>Ashley Jarboe</t>
  </si>
  <si>
    <t>CA-2017-113243</t>
  </si>
  <si>
    <t>OT-18730</t>
  </si>
  <si>
    <t>Olvera Toch</t>
  </si>
  <si>
    <t>CA-2018-118731</t>
  </si>
  <si>
    <t>LP-17080</t>
  </si>
  <si>
    <t>Liz Pelletier</t>
  </si>
  <si>
    <t>CA-2015-145576</t>
  </si>
  <si>
    <t>CA-12775</t>
  </si>
  <si>
    <t>Cynthia Arntzen</t>
  </si>
  <si>
    <t>CA-2016-130736</t>
  </si>
  <si>
    <t>JF-15490</t>
  </si>
  <si>
    <t>Jeremy Farry</t>
  </si>
  <si>
    <t>CA-2018-137099</t>
  </si>
  <si>
    <t>FP-14320</t>
  </si>
  <si>
    <t>Frank Preis</t>
  </si>
  <si>
    <t>CA-2018-156951</t>
  </si>
  <si>
    <t>EB-13840</t>
  </si>
  <si>
    <t>Ellis Ballard</t>
  </si>
  <si>
    <t>CA-2018-164826</t>
  </si>
  <si>
    <t>JF-15415</t>
  </si>
  <si>
    <t>Jennifer Ferguson</t>
  </si>
  <si>
    <t>CA-2017-127250</t>
  </si>
  <si>
    <t>SF-20200</t>
  </si>
  <si>
    <t>Sarah Foster</t>
  </si>
  <si>
    <t>CA-2016-149713</t>
  </si>
  <si>
    <t>TG-21640</t>
  </si>
  <si>
    <t>Trudy Glocke</t>
  </si>
  <si>
    <t>CA-2018-118640</t>
  </si>
  <si>
    <t>CS-11950</t>
  </si>
  <si>
    <t>Carlos Soltero</t>
  </si>
  <si>
    <t>CA-2016-132906</t>
  </si>
  <si>
    <t>CC-12145</t>
  </si>
  <si>
    <t>Charles Crestani</t>
  </si>
  <si>
    <t>CA-2018-145233</t>
  </si>
  <si>
    <t>DV-13465</t>
  </si>
  <si>
    <t>Dianna Vittorini</t>
  </si>
  <si>
    <t>CA-2016-128139</t>
  </si>
  <si>
    <t>BD-11725</t>
  </si>
  <si>
    <t>Bruce Degenhardt</t>
  </si>
  <si>
    <t>US-2017-156986</t>
  </si>
  <si>
    <t>ZC-21910</t>
  </si>
  <si>
    <t>Zuschuss Carroll</t>
  </si>
  <si>
    <t>CA-2015-135405</t>
  </si>
  <si>
    <t>MS-17830</t>
  </si>
  <si>
    <t>Melanie Seite</t>
  </si>
  <si>
    <t>CA-2015-131450</t>
  </si>
  <si>
    <t>LR-16915</t>
  </si>
  <si>
    <t>Lena Radford</t>
  </si>
  <si>
    <t>CA-2017-120180</t>
  </si>
  <si>
    <t>TP-21130</t>
  </si>
  <si>
    <t>Theone Pippenger</t>
  </si>
  <si>
    <t>US-2017-100720</t>
  </si>
  <si>
    <t>CK-12205</t>
  </si>
  <si>
    <t>Chloris Kastensmidt</t>
  </si>
  <si>
    <t>CA-2015-149958</t>
  </si>
  <si>
    <t>AS-10240</t>
  </si>
  <si>
    <t>Alan Shonely</t>
  </si>
  <si>
    <t>US-2015-105767</t>
  </si>
  <si>
    <t>AR-10510</t>
  </si>
  <si>
    <t>Andrew Roberts</t>
  </si>
  <si>
    <t>CA-2017-161816</t>
  </si>
  <si>
    <t>NB-18655</t>
  </si>
  <si>
    <t>Nona Balk</t>
  </si>
  <si>
    <t>CA-2017-121223</t>
  </si>
  <si>
    <t>GD-14590</t>
  </si>
  <si>
    <t>Giulietta Dortch</t>
  </si>
  <si>
    <t>CA-2018-138611</t>
  </si>
  <si>
    <t>CK-12595</t>
  </si>
  <si>
    <t>Clytie Kelty</t>
  </si>
  <si>
    <t>CA-2018-117947</t>
  </si>
  <si>
    <t>NG-18355</t>
  </si>
  <si>
    <t>Nat Gilpin</t>
  </si>
  <si>
    <t>US-2015-111171</t>
  </si>
  <si>
    <t>CA-12265</t>
  </si>
  <si>
    <t>Christina Anderson</t>
  </si>
  <si>
    <t>CA-2016-138009</t>
  </si>
  <si>
    <t>SF-20965</t>
  </si>
  <si>
    <t>Sylvia Foulston</t>
  </si>
  <si>
    <t>CA-2018-163020</t>
  </si>
  <si>
    <t>MO-17800</t>
  </si>
  <si>
    <t>Meg O'Connel</t>
  </si>
  <si>
    <t>CA-2018-153787</t>
  </si>
  <si>
    <t>AT-10735</t>
  </si>
  <si>
    <t>Annie Thurman</t>
  </si>
  <si>
    <t>CA-2018-133431</t>
  </si>
  <si>
    <t>US-2017-135720</t>
  </si>
  <si>
    <t>FM-14380</t>
  </si>
  <si>
    <t>Fred McMath</t>
  </si>
  <si>
    <t>CA-2018-144694</t>
  </si>
  <si>
    <t>CA-2016-168004</t>
  </si>
  <si>
    <t>DJ-13420</t>
  </si>
  <si>
    <t>Denny Joy</t>
  </si>
  <si>
    <t>US-2017-123470</t>
  </si>
  <si>
    <t>ME-17725</t>
  </si>
  <si>
    <t>Max Engle</t>
  </si>
  <si>
    <t>CA-2017-115917</t>
  </si>
  <si>
    <t>CA-2017-147067</t>
  </si>
  <si>
    <t>JD-16150</t>
  </si>
  <si>
    <t>Justin Deggeller</t>
  </si>
  <si>
    <t>CA-2018-167913</t>
  </si>
  <si>
    <t>JL-15835</t>
  </si>
  <si>
    <t>John Lee</t>
  </si>
  <si>
    <t>CA-2018-106103</t>
  </si>
  <si>
    <t>SC-20305</t>
  </si>
  <si>
    <t>Sean Christensen</t>
  </si>
  <si>
    <t>US-2018-127719</t>
  </si>
  <si>
    <t>CA-2018-126221</t>
  </si>
  <si>
    <t>CC-12430</t>
  </si>
  <si>
    <t>Chuck Clark</t>
  </si>
  <si>
    <t>CA-2017-103947</t>
  </si>
  <si>
    <t>CA-2017-160745</t>
  </si>
  <si>
    <t>AR-10825</t>
  </si>
  <si>
    <t>Anthony Rawles</t>
  </si>
  <si>
    <t>CA-2017-132661</t>
  </si>
  <si>
    <t>SR-20740</t>
  </si>
  <si>
    <t>Steven Roelle</t>
  </si>
  <si>
    <t>CA-2018-140844</t>
  </si>
  <si>
    <t>CA-2017-137239</t>
  </si>
  <si>
    <t>CR-12730</t>
  </si>
  <si>
    <t>Craig Reiter</t>
  </si>
  <si>
    <t>US-2017-156097</t>
  </si>
  <si>
    <t>EH-14125</t>
  </si>
  <si>
    <t>Eugene Hildebrand</t>
  </si>
  <si>
    <t>CA-2016-146563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</si>
  <si>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</si>
  <si>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</si>
  <si>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</si>
  <si>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</si>
  <si>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</si>
  <si>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</si>
  <si>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</si>
  <si>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CA-2015-156314</t>
  </si>
  <si>
    <t>RP-19390</t>
  </si>
  <si>
    <t>Resi PÃ¶lking</t>
  </si>
  <si>
    <t>US-2018-106663</t>
  </si>
  <si>
    <t>CA-2018-111178</t>
  </si>
  <si>
    <t>CA-2018-130351</t>
  </si>
  <si>
    <t>RB-19570</t>
  </si>
  <si>
    <t>Rob Beeghly</t>
  </si>
  <si>
    <t>US-2018-119438</t>
  </si>
  <si>
    <t>CD-11980</t>
  </si>
  <si>
    <t>Carol Darley</t>
  </si>
  <si>
    <t>CA-2017-164511</t>
  </si>
  <si>
    <t>DJ-13630</t>
  </si>
  <si>
    <t>Doug Jacobs</t>
  </si>
  <si>
    <t>US-2018-168116</t>
  </si>
  <si>
    <t>GT-14635</t>
  </si>
  <si>
    <t>Grant Thornton</t>
  </si>
  <si>
    <t>CA-2015-157784</t>
  </si>
  <si>
    <t>MC-17845</t>
  </si>
  <si>
    <t>Michael Chen</t>
  </si>
  <si>
    <t>CA-2018-161480</t>
  </si>
  <si>
    <t>RA-19285</t>
  </si>
  <si>
    <t>Ralph Arnett</t>
  </si>
  <si>
    <t>US-2015-117135</t>
  </si>
  <si>
    <t>NP-18325</t>
  </si>
  <si>
    <t>Naresj Patel</t>
  </si>
  <si>
    <t>CA-2016-131534</t>
  </si>
  <si>
    <t>AB-10165</t>
  </si>
  <si>
    <t>Alan Barnes</t>
  </si>
  <si>
    <t>CA-2016-119291</t>
  </si>
  <si>
    <t>JO-15550</t>
  </si>
  <si>
    <t>Jesus Ocampo</t>
  </si>
  <si>
    <t>CA-2018-114552</t>
  </si>
  <si>
    <t>CA-2017-163755</t>
  </si>
  <si>
    <t>CA-2016-142027</t>
  </si>
  <si>
    <t>JK-15370</t>
  </si>
  <si>
    <t>Jay Kimmel</t>
  </si>
  <si>
    <t>CA-2015-138527</t>
  </si>
  <si>
    <t>BN-11470</t>
  </si>
  <si>
    <t>Brad Norvell</t>
  </si>
  <si>
    <t>CA-2015-112158</t>
  </si>
  <si>
    <t>DP-13165</t>
  </si>
  <si>
    <t>David Philippe</t>
  </si>
  <si>
    <t>CA-2015-113887</t>
  </si>
  <si>
    <t>TH-21550</t>
  </si>
  <si>
    <t>Tracy Hopkins</t>
  </si>
  <si>
    <t>CA-2018-146136</t>
  </si>
  <si>
    <t>AP-10915</t>
  </si>
  <si>
    <t>Arthur Prichep</t>
  </si>
  <si>
    <t>US-2018-100048</t>
  </si>
  <si>
    <t>RS-19765</t>
  </si>
  <si>
    <t>Roland Schwarz</t>
  </si>
  <si>
    <t>CA-2015-153150</t>
  </si>
  <si>
    <t>CA-2015-130092</t>
  </si>
  <si>
    <t>SV-20365</t>
  </si>
  <si>
    <t>Seth Vernon</t>
  </si>
  <si>
    <t>CA-2018-108910</t>
  </si>
  <si>
    <t>CA-2015-104472</t>
  </si>
  <si>
    <t>CK-12325</t>
  </si>
  <si>
    <t>Christine Kargatis</t>
  </si>
  <si>
    <t>CA-2017-112942</t>
  </si>
  <si>
    <t>RD-19810</t>
  </si>
  <si>
    <t>Ross DeVincentis</t>
  </si>
  <si>
    <t>CA-2017-142335</t>
  </si>
  <si>
    <t>CA-2015-117429</t>
  </si>
  <si>
    <t>MR-17545</t>
  </si>
  <si>
    <t>Mathew Reese</t>
  </si>
  <si>
    <t>CA-2017-114713</t>
  </si>
  <si>
    <t>SC-20695</t>
  </si>
  <si>
    <t>Steve Chapman</t>
  </si>
  <si>
    <t>CA-2018-144113</t>
  </si>
  <si>
    <t>JF-15355</t>
  </si>
  <si>
    <t>Jay Fein</t>
  </si>
  <si>
    <t>US-2017-150861</t>
  </si>
  <si>
    <t>EG-13900</t>
  </si>
  <si>
    <t>Emily Grady</t>
  </si>
  <si>
    <t>CA-2018-131954</t>
  </si>
  <si>
    <t>DS-13030</t>
  </si>
  <si>
    <t>Darrin Sayre</t>
  </si>
  <si>
    <t>CA-2015-132500</t>
  </si>
  <si>
    <t>CA-2015-112326</t>
  </si>
  <si>
    <t>PO-19195</t>
  </si>
  <si>
    <t>Phillina Ober</t>
  </si>
  <si>
    <t>US-2017-146710</t>
  </si>
  <si>
    <t>SS-20875</t>
  </si>
  <si>
    <t>Sung Shariari</t>
  </si>
  <si>
    <t>CA-2015-124429</t>
  </si>
  <si>
    <t>CA-2017-150889</t>
  </si>
  <si>
    <t>PB-19105</t>
  </si>
  <si>
    <t>Peter BÃ¼hler</t>
  </si>
  <si>
    <t>CA-2018-126074</t>
  </si>
  <si>
    <t>RF-19735</t>
  </si>
  <si>
    <t>Roland Fjeld</t>
  </si>
  <si>
    <t>CA-2017-110499</t>
  </si>
  <si>
    <t>YC-21895</t>
  </si>
  <si>
    <t>Yoseph Carroll</t>
  </si>
  <si>
    <t>CA-2016-135272</t>
  </si>
  <si>
    <t>CA-2017-140928</t>
  </si>
  <si>
    <t>CA-2015-106803</t>
  </si>
  <si>
    <t>DC-13285</t>
  </si>
  <si>
    <t>Debra Catini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</si>
  <si>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</si>
  <si>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</si>
  <si>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</si>
  <si>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</si>
  <si>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</si>
  <si>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</si>
  <si>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</si>
  <si>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</si>
  <si>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CA-2016-114923</t>
  </si>
  <si>
    <t>LH-17020</t>
  </si>
  <si>
    <t>Lisa Hazard</t>
  </si>
  <si>
    <t>CA-2015-162775</t>
  </si>
  <si>
    <t>CS-12250</t>
  </si>
  <si>
    <t>Chris Selesnick</t>
  </si>
  <si>
    <t>CA-2015-106810</t>
  </si>
  <si>
    <t>AJ-10795</t>
  </si>
  <si>
    <t>Anthony Johnson</t>
  </si>
  <si>
    <t>CA-2017-157245</t>
  </si>
  <si>
    <t>CA-2018-104220</t>
  </si>
  <si>
    <t>BV-11245</t>
  </si>
  <si>
    <t>Benjamin Venier</t>
  </si>
  <si>
    <t>CA-2015-165974</t>
  </si>
  <si>
    <t>DL-12865</t>
  </si>
  <si>
    <t>Dan Lawera</t>
  </si>
  <si>
    <t>CA-2016-144267</t>
  </si>
  <si>
    <t>US-2016-157014</t>
  </si>
  <si>
    <t>BM-11785</t>
  </si>
  <si>
    <t>Bryan Mills</t>
  </si>
  <si>
    <t>CA-2016-154921</t>
  </si>
  <si>
    <t>CA-2018-129567</t>
  </si>
  <si>
    <t>CA-2016-154620</t>
  </si>
  <si>
    <t>LT-17110</t>
  </si>
  <si>
    <t>Liz Thompson</t>
  </si>
  <si>
    <t>CA-2016-115938</t>
  </si>
  <si>
    <t>CA-2017-105256</t>
  </si>
  <si>
    <t>JK-15730</t>
  </si>
  <si>
    <t>Joe Kamberova</t>
  </si>
  <si>
    <t>CA-2015-156433</t>
  </si>
  <si>
    <t>ES-14020</t>
  </si>
  <si>
    <t>Erica Smith</t>
  </si>
  <si>
    <t>CA-2018-151428</t>
  </si>
  <si>
    <t>RH-19495</t>
  </si>
  <si>
    <t>Rick Hansen</t>
  </si>
  <si>
    <t>CA-2016-124653</t>
  </si>
  <si>
    <t>CA-2016-101910</t>
  </si>
  <si>
    <t>CD-11920</t>
  </si>
  <si>
    <t>Carlos Daly</t>
  </si>
  <si>
    <t>CA-2018-105809</t>
  </si>
  <si>
    <t>HW-14935</t>
  </si>
  <si>
    <t>Helen Wasserman</t>
  </si>
  <si>
    <t>CA-2017-136133</t>
  </si>
  <si>
    <t>CA-2017-115504</t>
  </si>
  <si>
    <t>MC-18130</t>
  </si>
  <si>
    <t>Mike Caudle</t>
  </si>
  <si>
    <t>CA-2018-135783</t>
  </si>
  <si>
    <t>GM-14440</t>
  </si>
  <si>
    <t>Gary McGarr</t>
  </si>
  <si>
    <t>CA-2015-134313</t>
  </si>
  <si>
    <t>CA-2016-140921</t>
  </si>
  <si>
    <t>CA-2015-151995</t>
  </si>
  <si>
    <t>CA-2018-143686</t>
  </si>
  <si>
    <t>PJ-19015</t>
  </si>
  <si>
    <t>Pauline Johnson</t>
  </si>
  <si>
    <t>CA-2016-106565</t>
  </si>
  <si>
    <t>BW-11110</t>
  </si>
  <si>
    <t>Bart Watters</t>
  </si>
  <si>
    <t>CA-2017-149370</t>
  </si>
  <si>
    <t>CA-2015-140858</t>
  </si>
  <si>
    <t>CA-2018-101434</t>
  </si>
  <si>
    <t>TR-21325</t>
  </si>
  <si>
    <t>Toby Ritter</t>
  </si>
  <si>
    <t>US-2015-102071</t>
  </si>
  <si>
    <t>PG-18820</t>
  </si>
  <si>
    <t>Patrick Gardner</t>
  </si>
  <si>
    <t>CA-2018-126956</t>
  </si>
  <si>
    <t>CA-2018-129462</t>
  </si>
  <si>
    <t>CA-2017-165316</t>
  </si>
  <si>
    <t>US-2015-115987</t>
  </si>
  <si>
    <t>US-2018-156083</t>
  </si>
  <si>
    <t>JL-15175</t>
  </si>
  <si>
    <t>James Lanier</t>
  </si>
  <si>
    <t>US-2017-137547</t>
  </si>
  <si>
    <t>CA-2016-100454</t>
  </si>
  <si>
    <t>BM-11650</t>
  </si>
  <si>
    <t>Brian Moss</t>
  </si>
  <si>
    <t>CA-2017-161669</t>
  </si>
  <si>
    <t>EM-14095</t>
  </si>
  <si>
    <t>Eudokia Martin</t>
  </si>
  <si>
    <t>CA-2016-114300</t>
  </si>
  <si>
    <t>AF-10885</t>
  </si>
  <si>
    <t>Art Foster</t>
  </si>
  <si>
    <t>CA-2018-107503</t>
  </si>
  <si>
    <t>GA-14725</t>
  </si>
  <si>
    <t>Guy Armstrong</t>
  </si>
  <si>
    <t>CA-2015-107755</t>
  </si>
  <si>
    <t>CK-12760</t>
  </si>
  <si>
    <t>Cyma Kinney</t>
  </si>
  <si>
    <t>CA-2017-152534</t>
  </si>
  <si>
    <t>DP-13105</t>
  </si>
  <si>
    <t>Dave Poirier</t>
  </si>
  <si>
    <t>CA-2017-113747</t>
  </si>
  <si>
    <t>CA-2017-123274</t>
  </si>
  <si>
    <t>CA-2015-125612</t>
  </si>
  <si>
    <t>BK-11260</t>
  </si>
  <si>
    <t>Berenike Kampe</t>
  </si>
  <si>
    <t>CA-2018-161984</t>
  </si>
  <si>
    <t>SJ-20125</t>
  </si>
  <si>
    <t>Sanjit Jacobs</t>
  </si>
  <si>
    <t>CA-2015-133851</t>
  </si>
  <si>
    <t>CM-12445</t>
  </si>
  <si>
    <t>Chuck Magee</t>
  </si>
  <si>
    <t>CA-2017-134474</t>
  </si>
  <si>
    <t>CA-2015-149020</t>
  </si>
  <si>
    <t>AJ-10780</t>
  </si>
  <si>
    <t>Anthony Jacobs</t>
  </si>
  <si>
    <t>CA-2017-134362</t>
  </si>
  <si>
    <t>LS-16945</t>
  </si>
  <si>
    <t>CA-2015-136742</t>
  </si>
  <si>
    <t>GP-14740</t>
  </si>
  <si>
    <t>Guy Phonely</t>
  </si>
  <si>
    <t>CA-2017-158099</t>
  </si>
  <si>
    <t>PK-18910</t>
  </si>
  <si>
    <t>Paul Knutson</t>
  </si>
  <si>
    <t>CA-2016-131128</t>
  </si>
  <si>
    <t>CA-2015-148488</t>
  </si>
  <si>
    <t>SM-20005</t>
  </si>
  <si>
    <t>Sally Matthias</t>
  </si>
  <si>
    <t>CA-2018-114636</t>
  </si>
  <si>
    <t>CA-2017-116736</t>
  </si>
  <si>
    <t>US-2015-158638</t>
  </si>
  <si>
    <t>AG-10765</t>
  </si>
  <si>
    <t>Anthony Garverick</t>
  </si>
  <si>
    <t>CA-2018-111689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</si>
  <si>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</si>
  <si>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</si>
  <si>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</si>
  <si>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</si>
  <si>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</si>
  <si>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</si>
  <si>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</si>
  <si>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</si>
  <si>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CA-2016-143602</t>
  </si>
  <si>
    <t>JS-15595</t>
  </si>
  <si>
    <t>Jill Stevenson</t>
  </si>
  <si>
    <t>CA-2018-115364</t>
  </si>
  <si>
    <t>CA-2018-150707</t>
  </si>
  <si>
    <t>EL-13735</t>
  </si>
  <si>
    <t>Ed Ludwig</t>
  </si>
  <si>
    <t>CA-2015-104976</t>
  </si>
  <si>
    <t>CA-2018-132934</t>
  </si>
  <si>
    <t>CA-2018-133256</t>
  </si>
  <si>
    <t>CA-2017-105494</t>
  </si>
  <si>
    <t>PC-18745</t>
  </si>
  <si>
    <t>Pamela Coakley</t>
  </si>
  <si>
    <t>CA-2017-140634</t>
  </si>
  <si>
    <t>HL-15040</t>
  </si>
  <si>
    <t>Hunter Lopez</t>
  </si>
  <si>
    <t>CA-2015-144407</t>
  </si>
  <si>
    <t>MS-17365</t>
  </si>
  <si>
    <t>Maribeth Schnelling</t>
  </si>
  <si>
    <t>CA-2018-160983</t>
  </si>
  <si>
    <t>GB-14530</t>
  </si>
  <si>
    <t>George Bell</t>
  </si>
  <si>
    <t>US-2017-114622</t>
  </si>
  <si>
    <t>JR-16210</t>
  </si>
  <si>
    <t>Justin Ritter</t>
  </si>
  <si>
    <t>CA-2018-150959</t>
  </si>
  <si>
    <t>CA-2018-132353</t>
  </si>
  <si>
    <t>CA-2017-130477</t>
  </si>
  <si>
    <t>CA-2018-143259</t>
  </si>
  <si>
    <t>CA-2018-137596</t>
  </si>
  <si>
    <t>BE-11335</t>
  </si>
  <si>
    <t>Bill Eplett</t>
  </si>
  <si>
    <t>CA-2016-133627</t>
  </si>
  <si>
    <t>SC-20050</t>
  </si>
  <si>
    <t>Sample Company A</t>
  </si>
  <si>
    <t>CA-2018-102519</t>
  </si>
  <si>
    <t>US-2015-141215</t>
  </si>
  <si>
    <t>CA-2017-165218</t>
  </si>
  <si>
    <t>RW-19630</t>
  </si>
  <si>
    <t>Rob Williams</t>
  </si>
  <si>
    <t>CA-2015-138296</t>
  </si>
  <si>
    <t>CA-2016-111164</t>
  </si>
  <si>
    <t>SE-20110</t>
  </si>
  <si>
    <t>Sanjit Engle</t>
  </si>
  <si>
    <t>CA-2017-149797</t>
  </si>
  <si>
    <t>AH-10075</t>
  </si>
  <si>
    <t>Adam Hart</t>
  </si>
  <si>
    <t>CA-2015-132962</t>
  </si>
  <si>
    <t>JM-15535</t>
  </si>
  <si>
    <t>Jessica Myrick</t>
  </si>
  <si>
    <t>CA-2016-115091</t>
  </si>
  <si>
    <t>JJ-15760</t>
  </si>
  <si>
    <t>Joel Jenkins</t>
  </si>
  <si>
    <t>CA-2018-144932</t>
  </si>
  <si>
    <t>CA-2018-114216</t>
  </si>
  <si>
    <t>RK-19300</t>
  </si>
  <si>
    <t>Ralph Kennedy</t>
  </si>
  <si>
    <t>CA-2017-140081</t>
  </si>
  <si>
    <t>CG-12040</t>
  </si>
  <si>
    <t>Catherine Glotzbach</t>
  </si>
  <si>
    <t>US-2018-111745</t>
  </si>
  <si>
    <t>CA-2016-148250</t>
  </si>
  <si>
    <t>RP-19270</t>
  </si>
  <si>
    <t>Rachel Payne</t>
  </si>
  <si>
    <t>CA-2017-105760</t>
  </si>
  <si>
    <t>KC-16255</t>
  </si>
  <si>
    <t>Karen Carlisle</t>
  </si>
  <si>
    <t>CA-2017-142958</t>
  </si>
  <si>
    <t>CA-2016-120880</t>
  </si>
  <si>
    <t>US-2016-140200</t>
  </si>
  <si>
    <t>US-2018-110576</t>
  </si>
  <si>
    <t>CA-2018-131156</t>
  </si>
  <si>
    <t>KH-16360</t>
  </si>
  <si>
    <t>Katherine Hughes</t>
  </si>
  <si>
    <t>CA-2018-136539</t>
  </si>
  <si>
    <t>GH-14665</t>
  </si>
  <si>
    <t>Greg Hansen</t>
  </si>
  <si>
    <t>CA-2018-119305</t>
  </si>
  <si>
    <t>SW-20275</t>
  </si>
  <si>
    <t>Scott Williamson</t>
  </si>
  <si>
    <t>CA-2018-102414</t>
  </si>
  <si>
    <t>JA-15970</t>
  </si>
  <si>
    <t>Joseph Airdo</t>
  </si>
  <si>
    <t>CA-2016-112571</t>
  </si>
  <si>
    <t>DL-12925</t>
  </si>
  <si>
    <t>Daniel Lacy</t>
  </si>
  <si>
    <t>CA-2018-152142</t>
  </si>
  <si>
    <t>LW-16990</t>
  </si>
  <si>
    <t>Lindsay Williams</t>
  </si>
  <si>
    <t>CA-2016-160059</t>
  </si>
  <si>
    <t>TB-21190</t>
  </si>
  <si>
    <t>Thomas Brumley</t>
  </si>
  <si>
    <t>CA-2017-120859</t>
  </si>
  <si>
    <t>CA-2015-127488</t>
  </si>
  <si>
    <t>CA-2018-135279</t>
  </si>
  <si>
    <t>BS-11800</t>
  </si>
  <si>
    <t>Bryan Spruell</t>
  </si>
  <si>
    <t>CA-2015-115791</t>
  </si>
  <si>
    <t>US-2018-103247</t>
  </si>
  <si>
    <t>US-2018-100209</t>
  </si>
  <si>
    <t>CA-2018-159366</t>
  </si>
  <si>
    <t>CA-2017-145499</t>
  </si>
  <si>
    <t>RW-19690</t>
  </si>
  <si>
    <t>Robert Waldorf</t>
  </si>
  <si>
    <t>CA-2016-157035</t>
  </si>
  <si>
    <t>CA-2017-144939</t>
  </si>
  <si>
    <t>CA-2015-163419</t>
  </si>
  <si>
    <t>TZ-21580</t>
  </si>
  <si>
    <t>Tracy Zic</t>
  </si>
  <si>
    <t>CA-2018-100314</t>
  </si>
  <si>
    <t>AS-10630</t>
  </si>
  <si>
    <t>Ann Steele</t>
  </si>
  <si>
    <t>CA-2016-146829</t>
  </si>
  <si>
    <t>TS-21340</t>
  </si>
  <si>
    <t>Toby Swindell</t>
  </si>
  <si>
    <t>CA-2018-167899</t>
  </si>
  <si>
    <t>CA-2016-153549</t>
  </si>
  <si>
    <t>SL-20155</t>
  </si>
  <si>
    <t>Sara Luxemburg</t>
  </si>
  <si>
    <t>CA-2017-110023</t>
  </si>
  <si>
    <t>CA-2017-105585</t>
  </si>
  <si>
    <t>CA-2015-117639</t>
  </si>
  <si>
    <t>MW-18235</t>
  </si>
  <si>
    <t>Mitch Willingham</t>
  </si>
  <si>
    <t>CA-2016-162537</t>
  </si>
  <si>
    <t>RD-19585</t>
  </si>
  <si>
    <t>Rob Dowd</t>
  </si>
  <si>
    <t>CA-2017-155488</t>
  </si>
  <si>
    <t>CA-2016-124891</t>
  </si>
  <si>
    <t>CA-2016-126445</t>
  </si>
  <si>
    <t>RA-19945</t>
  </si>
  <si>
    <t>Ryan Akin</t>
  </si>
  <si>
    <t>CA-2016-111199</t>
  </si>
  <si>
    <t>CA-2016-105312</t>
  </si>
  <si>
    <t>MT-17815</t>
  </si>
  <si>
    <t>Meg Tillman</t>
  </si>
  <si>
    <t>US-2018-106705</t>
  </si>
  <si>
    <t>CA-2018-135034</t>
  </si>
  <si>
    <t>CA-2015-158540</t>
  </si>
  <si>
    <t>VG-21790</t>
  </si>
  <si>
    <t>Vivek Gonzalez</t>
  </si>
  <si>
    <t>CA-2018-118437</t>
  </si>
  <si>
    <t>US-2016-126214</t>
  </si>
  <si>
    <t>JS-15880</t>
  </si>
  <si>
    <t>John Stevenson</t>
  </si>
  <si>
    <t>CA-2016-133025</t>
  </si>
  <si>
    <t>CA-2016-108665</t>
  </si>
  <si>
    <t>KM-16225</t>
  </si>
  <si>
    <t>Kalyca Meade</t>
  </si>
  <si>
    <t>CA-2016-124450</t>
  </si>
  <si>
    <t>CA-2016-167269</t>
  </si>
  <si>
    <t>CA-2018-106964</t>
  </si>
  <si>
    <t>HR-14770</t>
  </si>
  <si>
    <t>Hallie Redmond</t>
  </si>
  <si>
    <t>CA-2017-126529</t>
  </si>
  <si>
    <t>DE-13255</t>
  </si>
  <si>
    <t>Deanra Eno</t>
  </si>
  <si>
    <t>CA-2015-163552</t>
  </si>
  <si>
    <t>CA-2017-109820</t>
  </si>
  <si>
    <t>AG-10390</t>
  </si>
  <si>
    <t>Allen Goldenen</t>
  </si>
  <si>
    <t>CA-2017-113061</t>
  </si>
  <si>
    <t>CA-2016-127418</t>
  </si>
  <si>
    <t>JJ-15445</t>
  </si>
  <si>
    <t>Jennifer Jackson</t>
  </si>
  <si>
    <t>CA-2018-121818</t>
  </si>
  <si>
    <t>JH-15430</t>
  </si>
  <si>
    <t>Jennifer Halladay</t>
  </si>
  <si>
    <t>CA-2017-127670</t>
  </si>
  <si>
    <t>RD-19660</t>
  </si>
  <si>
    <t>Robert Dilbeck</t>
  </si>
  <si>
    <t>CA-2017-102981</t>
  </si>
  <si>
    <t>MO-17500</t>
  </si>
  <si>
    <t>Mary O'Rourke</t>
  </si>
  <si>
    <t>CA-2018-115651</t>
  </si>
  <si>
    <t>NS-18640</t>
  </si>
  <si>
    <t>Noel Staavos</t>
  </si>
  <si>
    <t>CA-2018-152702</t>
  </si>
  <si>
    <t>CA-2017-169103</t>
  </si>
  <si>
    <t>CA-2015-139192</t>
  </si>
  <si>
    <t>US-2016-153500</t>
  </si>
  <si>
    <t>DG-13300</t>
  </si>
  <si>
    <t>Deirdre Greer</t>
  </si>
  <si>
    <t>CA-2016-110667</t>
  </si>
  <si>
    <t>NF-18595</t>
  </si>
  <si>
    <t>Nicole Fjeld</t>
  </si>
  <si>
    <t>CA-2018-167150</t>
  </si>
  <si>
    <t>CA-2017-105284</t>
  </si>
  <si>
    <t>MG-17650</t>
  </si>
  <si>
    <t>Matthew Grinstein</t>
  </si>
  <si>
    <t>US-2016-125374</t>
  </si>
  <si>
    <t>CA-2016-161263</t>
  </si>
  <si>
    <t>TS-21160</t>
  </si>
  <si>
    <t>Theresa Swint</t>
  </si>
  <si>
    <t>CA-2017-157686</t>
  </si>
  <si>
    <t>BD-11620</t>
  </si>
  <si>
    <t>Brian DeCherney</t>
  </si>
  <si>
    <t>US-2018-139955</t>
  </si>
  <si>
    <t>CM-12160</t>
  </si>
  <si>
    <t>Charles McCrossin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</si>
  <si>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</si>
  <si>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</si>
  <si>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</si>
  <si>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</si>
  <si>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</si>
  <si>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</si>
  <si>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</si>
  <si>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</si>
  <si>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</si>
  <si>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</si>
  <si>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CA-2017-134348</t>
  </si>
  <si>
    <t>MS-17710</t>
  </si>
  <si>
    <t>Maurice Satty</t>
  </si>
  <si>
    <t>CA-2017-161781</t>
  </si>
  <si>
    <t>CC-12100</t>
  </si>
  <si>
    <t>Chad Cunningham</t>
  </si>
  <si>
    <t>CA-2018-132521</t>
  </si>
  <si>
    <t>DW-13540</t>
  </si>
  <si>
    <t>Don Weiss</t>
  </si>
  <si>
    <t>CA-2016-110016</t>
  </si>
  <si>
    <t>BT-11395</t>
  </si>
  <si>
    <t>Bill Tyler</t>
  </si>
  <si>
    <t>US-2017-143819</t>
  </si>
  <si>
    <t>CA-2017-167584</t>
  </si>
  <si>
    <t>CA-2017-166163</t>
  </si>
  <si>
    <t>CY-12745</t>
  </si>
  <si>
    <t>Craig Yedwab</t>
  </si>
  <si>
    <t>CA-2018-158407</t>
  </si>
  <si>
    <t>CA-2016-143490</t>
  </si>
  <si>
    <t>CA-2016-165085</t>
  </si>
  <si>
    <t>BT-11485</t>
  </si>
  <si>
    <t>Brad Thomas</t>
  </si>
  <si>
    <t>CA-2018-160423</t>
  </si>
  <si>
    <t>PS-19045</t>
  </si>
  <si>
    <t>Penelope Sewall</t>
  </si>
  <si>
    <t>CA-2015-159338</t>
  </si>
  <si>
    <t>CA-2017-107216</t>
  </si>
  <si>
    <t>PV-18985</t>
  </si>
  <si>
    <t>Paul Van Hugh</t>
  </si>
  <si>
    <t>US-2018-145863</t>
  </si>
  <si>
    <t>CA-2017-112340</t>
  </si>
  <si>
    <t>NM-18520</t>
  </si>
  <si>
    <t>Neoma Murray</t>
  </si>
  <si>
    <t>US-2017-110156</t>
  </si>
  <si>
    <t>CA-2018-140585</t>
  </si>
  <si>
    <t>CA-2017-144855</t>
  </si>
  <si>
    <t>DL-13495</t>
  </si>
  <si>
    <t>Dionis Lloyd</t>
  </si>
  <si>
    <t>CA-2016-142755</t>
  </si>
  <si>
    <t>CS-12355</t>
  </si>
  <si>
    <t>Christine Sundaresam</t>
  </si>
  <si>
    <t>US-2015-147627</t>
  </si>
  <si>
    <t>CA-2016-105970</t>
  </si>
  <si>
    <t>CA-2017-112102</t>
  </si>
  <si>
    <t>US-2017-114776</t>
  </si>
  <si>
    <t>US-2017-134908</t>
  </si>
  <si>
    <t>US-2017-148803</t>
  </si>
  <si>
    <t>CA-2017-152170</t>
  </si>
  <si>
    <t>FH-14275</t>
  </si>
  <si>
    <t>Frank Hawley</t>
  </si>
  <si>
    <t>CA-2015-146969</t>
  </si>
  <si>
    <t>CA-2016-112452</t>
  </si>
  <si>
    <t>NC-18340</t>
  </si>
  <si>
    <t>Nat Carroll</t>
  </si>
  <si>
    <t>CA-2016-113971</t>
  </si>
  <si>
    <t>CA-2017-160395</t>
  </si>
  <si>
    <t>CA-2015-136567</t>
  </si>
  <si>
    <t>CA-2017-149314</t>
  </si>
  <si>
    <t>CA-2018-147039</t>
  </si>
  <si>
    <t>AA-10315</t>
  </si>
  <si>
    <t>Alex Avila</t>
  </si>
  <si>
    <t>CA-2015-126522</t>
  </si>
  <si>
    <t>LT-16765</t>
  </si>
  <si>
    <t>Larry Tron</t>
  </si>
  <si>
    <t>CA-2015-127964</t>
  </si>
  <si>
    <t>AP-10720</t>
  </si>
  <si>
    <t>Anne Pryor</t>
  </si>
  <si>
    <t>CA-2015-117709</t>
  </si>
  <si>
    <t>PM-18940</t>
  </si>
  <si>
    <t>Paul MacIntyre</t>
  </si>
  <si>
    <t>CA-2016-125416</t>
  </si>
  <si>
    <t>CA-2018-145226</t>
  </si>
  <si>
    <t>US-2015-100279</t>
  </si>
  <si>
    <t>CA-2015-158064</t>
  </si>
  <si>
    <t>US-2016-104430</t>
  </si>
  <si>
    <t>CA-2016-132080</t>
  </si>
  <si>
    <t>CA-2017-161207</t>
  </si>
  <si>
    <t>CA-2015-120243</t>
  </si>
  <si>
    <t>AT-10435</t>
  </si>
  <si>
    <t>Alyssa Tate</t>
  </si>
  <si>
    <t>CA-2017-113621</t>
  </si>
  <si>
    <t>CA-2017-168081</t>
  </si>
  <si>
    <t>CA-12055</t>
  </si>
  <si>
    <t>Cathy Armstrong</t>
  </si>
  <si>
    <t>CA-2015-128146</t>
  </si>
  <si>
    <t>CA-2018-138779</t>
  </si>
  <si>
    <t>CA-2015-127131</t>
  </si>
  <si>
    <t>HR-14830</t>
  </si>
  <si>
    <t>Harold Ryan</t>
  </si>
  <si>
    <t>CA-2018-117212</t>
  </si>
  <si>
    <t>BT-11530</t>
  </si>
  <si>
    <t>Bradley Talbott</t>
  </si>
  <si>
    <t>US-2016-130519</t>
  </si>
  <si>
    <t>CA-2017-130946</t>
  </si>
  <si>
    <t>CA-2017-114727</t>
  </si>
  <si>
    <t>CA-2018-133235</t>
  </si>
  <si>
    <t>LH-16750</t>
  </si>
  <si>
    <t>Larry Hughes</t>
  </si>
  <si>
    <t>CA-2017-137050</t>
  </si>
  <si>
    <t>SW-20755</t>
  </si>
  <si>
    <t>Steven Ward</t>
  </si>
  <si>
    <t>US-2018-118087</t>
  </si>
  <si>
    <t>SP-20620</t>
  </si>
  <si>
    <t>Stefania Perrino</t>
  </si>
  <si>
    <t>CA-2015-110184</t>
  </si>
  <si>
    <t>BF-11170</t>
  </si>
  <si>
    <t>Ben Ferrer</t>
  </si>
  <si>
    <t>CA-2017-126004</t>
  </si>
  <si>
    <t>CA-2018-100013</t>
  </si>
  <si>
    <t>CA-2016-132570</t>
  </si>
  <si>
    <t>KT-16480</t>
  </si>
  <si>
    <t>Kean Thornton</t>
  </si>
  <si>
    <t>CA-2017-153682</t>
  </si>
  <si>
    <t>BG-11695</t>
  </si>
  <si>
    <t>Brooke Gillingham</t>
  </si>
  <si>
    <t>CA-2017-144344</t>
  </si>
  <si>
    <t>CA-2015-127012</t>
  </si>
  <si>
    <t>GM-14680</t>
  </si>
  <si>
    <t>Greg Matthias</t>
  </si>
  <si>
    <t>CA-2017-128727</t>
  </si>
  <si>
    <t>US-2017-162859</t>
  </si>
  <si>
    <t>CA-2018-133641</t>
  </si>
  <si>
    <t>EJ-14155</t>
  </si>
  <si>
    <t>Eva Jacobs</t>
  </si>
  <si>
    <t>CA-2015-168494</t>
  </si>
  <si>
    <t>NP-18700</t>
  </si>
  <si>
    <t>Nora Preis</t>
  </si>
  <si>
    <t>CA-2018-115602</t>
  </si>
  <si>
    <t>CA-2016-154956</t>
  </si>
  <si>
    <t>CA-2018-144638</t>
  </si>
  <si>
    <t>MH-18115</t>
  </si>
  <si>
    <t>Mick Hernandez</t>
  </si>
  <si>
    <t>US-2017-168620</t>
  </si>
  <si>
    <t>CA-2018-117079</t>
  </si>
  <si>
    <t>JR-15700</t>
  </si>
  <si>
    <t>Jocasta Rupert</t>
  </si>
  <si>
    <t>US-2017-144393</t>
  </si>
  <si>
    <t>SM-20950</t>
  </si>
  <si>
    <t>Suzanne McNair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</si>
  <si>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</si>
  <si>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</si>
  <si>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</si>
  <si>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</si>
  <si>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</si>
  <si>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</si>
  <si>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</si>
  <si>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US-2015-167738</t>
  </si>
  <si>
    <t>CA-2018-121412</t>
  </si>
  <si>
    <t>CA-2018-100426</t>
  </si>
  <si>
    <t>DC-12850</t>
  </si>
  <si>
    <t>Dan Campbell</t>
  </si>
  <si>
    <t>US-2017-103646</t>
  </si>
  <si>
    <t>CA-2017-119186</t>
  </si>
  <si>
    <t>CA-2017-148698</t>
  </si>
  <si>
    <t>BD-11770</t>
  </si>
  <si>
    <t>Bryan Davis</t>
  </si>
  <si>
    <t>CA-2015-163293</t>
  </si>
  <si>
    <t>CA-2017-160815</t>
  </si>
  <si>
    <t>CA-2018-122154</t>
  </si>
  <si>
    <t>US-2016-149692</t>
  </si>
  <si>
    <t>CA-2017-119445</t>
  </si>
  <si>
    <t>GM-14500</t>
  </si>
  <si>
    <t>Gene McClure</t>
  </si>
  <si>
    <t>CA-2016-124268</t>
  </si>
  <si>
    <t>CA-2017-154711</t>
  </si>
  <si>
    <t>TB-21355</t>
  </si>
  <si>
    <t>Todd Boyes</t>
  </si>
  <si>
    <t>CA-2017-163384</t>
  </si>
  <si>
    <t>CA-2016-101707</t>
  </si>
  <si>
    <t>CA-2016-138898</t>
  </si>
  <si>
    <t>JH-16180</t>
  </si>
  <si>
    <t>Justin Hirsh</t>
  </si>
  <si>
    <t>CA-2018-115427</t>
  </si>
  <si>
    <t>EB-13975</t>
  </si>
  <si>
    <t>Erica Bern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</si>
  <si>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</si>
  <si>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</si>
  <si>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</si>
  <si>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</si>
  <si>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</si>
  <si>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</si>
  <si>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</si>
  <si>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</si>
  <si>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US-2018-126179</t>
  </si>
  <si>
    <t>CS-12460</t>
  </si>
  <si>
    <t>Chuck Sachs</t>
  </si>
  <si>
    <t>CA-2017-101966</t>
  </si>
  <si>
    <t>CA-2017-141397</t>
  </si>
  <si>
    <t>CA-2017-141082</t>
  </si>
  <si>
    <t>US-2017-134488</t>
  </si>
  <si>
    <t>CA-2017-145919</t>
  </si>
  <si>
    <t>HG-14965</t>
  </si>
  <si>
    <t>Henry Goldwyn</t>
  </si>
  <si>
    <t>CA-2018-157651</t>
  </si>
  <si>
    <t>CA-2015-160773</t>
  </si>
  <si>
    <t>LW-16825</t>
  </si>
  <si>
    <t>Laurel Workman</t>
  </si>
  <si>
    <t>CA-2018-167703</t>
  </si>
  <si>
    <t>MC-17575</t>
  </si>
  <si>
    <t>Matt Collins</t>
  </si>
  <si>
    <t>CA-2018-121804</t>
  </si>
  <si>
    <t>LP-17095</t>
  </si>
  <si>
    <t>Liz Preis</t>
  </si>
  <si>
    <t>CA-2018-162635</t>
  </si>
  <si>
    <t>EB-14170</t>
  </si>
  <si>
    <t>Evan Bailliet</t>
  </si>
  <si>
    <t>CA-2015-107153</t>
  </si>
  <si>
    <t>GZ-14545</t>
  </si>
  <si>
    <t>George Zrebassa</t>
  </si>
  <si>
    <t>US-2015-117058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</si>
  <si>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</si>
  <si>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</si>
  <si>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</si>
  <si>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</si>
  <si>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</si>
  <si>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</si>
  <si>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</si>
  <si>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</si>
  <si>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</si>
  <si>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</si>
  <si>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</si>
  <si>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</si>
  <si>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</si>
  <si>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</si>
  <si>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</si>
  <si>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</si>
  <si>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CA-2015-121664</t>
  </si>
  <si>
    <t>CA-2017-122133</t>
  </si>
  <si>
    <t>JR-15670</t>
  </si>
  <si>
    <t>Jim Radford</t>
  </si>
  <si>
    <t>US-2018-123281</t>
  </si>
  <si>
    <t>JF-15190</t>
  </si>
  <si>
    <t>Jamie Frazer</t>
  </si>
  <si>
    <t>CA-2018-100524</t>
  </si>
  <si>
    <t>CM-12115</t>
  </si>
  <si>
    <t>Chad McGuire</t>
  </si>
  <si>
    <t>CA-2018-113481</t>
  </si>
  <si>
    <t>AS-10045</t>
  </si>
  <si>
    <t>Aaron Smayling</t>
  </si>
  <si>
    <t>CA-2016-131758</t>
  </si>
  <si>
    <t>CA-2015-118339</t>
  </si>
  <si>
    <t>CA-2015-153976</t>
  </si>
  <si>
    <t>BP-11290</t>
  </si>
  <si>
    <t>Beth Paige</t>
  </si>
  <si>
    <t>CA-2017-162901</t>
  </si>
  <si>
    <t>CA-2018-162978</t>
  </si>
  <si>
    <t>US-2015-160444</t>
  </si>
  <si>
    <t>CA-2017-145247</t>
  </si>
  <si>
    <t>ND-18370</t>
  </si>
  <si>
    <t>Natalie DeCherney</t>
  </si>
  <si>
    <t>CA-2018-160045</t>
  </si>
  <si>
    <t>LB-16735</t>
  </si>
  <si>
    <t>Larry Blacks</t>
  </si>
  <si>
    <t>US-2015-151925</t>
  </si>
  <si>
    <t>KT-16465</t>
  </si>
  <si>
    <t>Kean Takahito</t>
  </si>
  <si>
    <t>CA-2018-125199</t>
  </si>
  <si>
    <t>HM-14860</t>
  </si>
  <si>
    <t>Harry Marie</t>
  </si>
  <si>
    <t>US-2018-155425</t>
  </si>
  <si>
    <t>AB-10600</t>
  </si>
  <si>
    <t>Ann Blume</t>
  </si>
  <si>
    <t>CA-2018-133249</t>
  </si>
  <si>
    <t>SZ-20035</t>
  </si>
  <si>
    <t>Sam Zeldin</t>
  </si>
  <si>
    <t>US-2016-103471</t>
  </si>
  <si>
    <t>CA-2018-136672</t>
  </si>
  <si>
    <t>MG-17890</t>
  </si>
  <si>
    <t>Michael Granlund</t>
  </si>
  <si>
    <t>US-2015-157021</t>
  </si>
  <si>
    <t>CA-2016-120362</t>
  </si>
  <si>
    <t>CA-2015-126361</t>
  </si>
  <si>
    <t>US-2017-100566</t>
  </si>
  <si>
    <t>JK-16120</t>
  </si>
  <si>
    <t>Julie Kriz</t>
  </si>
  <si>
    <t>US-2017-108504</t>
  </si>
  <si>
    <t>PP-18955</t>
  </si>
  <si>
    <t>Paul Prost</t>
  </si>
  <si>
    <t>CA-2018-124828</t>
  </si>
  <si>
    <t>YS-21880</t>
  </si>
  <si>
    <t>Yana Sorensen</t>
  </si>
  <si>
    <t>US-2018-117247</t>
  </si>
  <si>
    <t>CA-2017-124485</t>
  </si>
  <si>
    <t>CA-2017-159212</t>
  </si>
  <si>
    <t>KM-16375</t>
  </si>
  <si>
    <t>Katherine Murray</t>
  </si>
  <si>
    <t>US-2017-161396</t>
  </si>
  <si>
    <t>US-2015-118486</t>
  </si>
  <si>
    <t>CA-2017-130407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</si>
  <si>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</si>
  <si>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</si>
  <si>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</si>
  <si>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</si>
  <si>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</si>
  <si>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</si>
  <si>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</si>
  <si>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</si>
  <si>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CA-2018-115994</t>
  </si>
  <si>
    <t>BT-11305</t>
  </si>
  <si>
    <t>Beth Thompson</t>
  </si>
  <si>
    <t>CA-2016-126697</t>
  </si>
  <si>
    <t>SV-20815</t>
  </si>
  <si>
    <t>Stuart Van</t>
  </si>
  <si>
    <t>CA-2016-124800</t>
  </si>
  <si>
    <t>RW-19540</t>
  </si>
  <si>
    <t>Rick Wilson</t>
  </si>
  <si>
    <t>US-2016-164448</t>
  </si>
  <si>
    <t>DK-12835</t>
  </si>
  <si>
    <t>Damala Kotsonis</t>
  </si>
  <si>
    <t>CA-2018-122700</t>
  </si>
  <si>
    <t>CA-2015-120768</t>
  </si>
  <si>
    <t>US-2017-153129</t>
  </si>
  <si>
    <t>CA-2018-106852</t>
  </si>
  <si>
    <t>ST-20530</t>
  </si>
  <si>
    <t>Shui Tom</t>
  </si>
  <si>
    <t>CA-2016-139731</t>
  </si>
  <si>
    <t>CA-2018-122735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</si>
  <si>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</si>
  <si>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</si>
  <si>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</si>
  <si>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</si>
  <si>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</si>
  <si>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</si>
  <si>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</si>
  <si>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</si>
  <si>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</si>
  <si>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</si>
  <si>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</si>
  <si>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US-2015-112564</t>
  </si>
  <si>
    <t>CA-2016-145821</t>
  </si>
  <si>
    <t>US-2016-160150</t>
  </si>
  <si>
    <t>TS-21085</t>
  </si>
  <si>
    <t>Thais Sissman</t>
  </si>
  <si>
    <t>CA-2017-133711</t>
  </si>
  <si>
    <t>MC-17425</t>
  </si>
  <si>
    <t>Mark Cousins</t>
  </si>
  <si>
    <t>CA-2018-148474</t>
  </si>
  <si>
    <t>ME-17320</t>
  </si>
  <si>
    <t>Maria Etezadi</t>
  </si>
  <si>
    <t>CA-2016-111297</t>
  </si>
  <si>
    <t>CA-2017-123722</t>
  </si>
  <si>
    <t>NH-18610</t>
  </si>
  <si>
    <t>Nicole Hansen</t>
  </si>
  <si>
    <t>CA-2015-155271</t>
  </si>
  <si>
    <t>CA-2016-119907</t>
  </si>
  <si>
    <t>US-2017-128902</t>
  </si>
  <si>
    <t>MB-18085</t>
  </si>
  <si>
    <t>Mick Brown</t>
  </si>
  <si>
    <t>CA-2017-152289</t>
  </si>
  <si>
    <t>US-2017-104794</t>
  </si>
  <si>
    <t>KD-16495</t>
  </si>
  <si>
    <t>Keith Dawkins</t>
  </si>
  <si>
    <t>CA-2015-151708</t>
  </si>
  <si>
    <t>CA-2016-100769</t>
  </si>
  <si>
    <t>CA-2018-139199</t>
  </si>
  <si>
    <t>US-2016-161466</t>
  </si>
  <si>
    <t>CA-2018-164959</t>
  </si>
  <si>
    <t>KN-16390</t>
  </si>
  <si>
    <t>Katherine Nockton</t>
  </si>
  <si>
    <t>US-2016-105676</t>
  </si>
  <si>
    <t>CA-2017-113138</t>
  </si>
  <si>
    <t>NP-18685</t>
  </si>
  <si>
    <t>Nora Pelletier</t>
  </si>
  <si>
    <t>US-2018-104955</t>
  </si>
  <si>
    <t>CA-2017-121958</t>
  </si>
  <si>
    <t>CS-12505</t>
  </si>
  <si>
    <t>Cindy Stewart</t>
  </si>
  <si>
    <t>CA-2018-121468</t>
  </si>
  <si>
    <t>US-2017-108455</t>
  </si>
  <si>
    <t>CA-2018-101210</t>
  </si>
  <si>
    <t>US-2017-108098</t>
  </si>
  <si>
    <t>CA-2015-119032</t>
  </si>
  <si>
    <t>MS-17770</t>
  </si>
  <si>
    <t>Maxwell Schwartz</t>
  </si>
  <si>
    <t>CA-2016-140410</t>
  </si>
  <si>
    <t>CM-12655</t>
  </si>
  <si>
    <t>Corinna Mitchell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</si>
  <si>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</si>
  <si>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</si>
  <si>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</si>
  <si>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</si>
  <si>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</si>
  <si>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</si>
  <si>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</si>
  <si>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</si>
  <si>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</si>
  <si>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</si>
  <si>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</si>
  <si>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</si>
  <si>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</si>
  <si>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</si>
  <si>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CA-2017-141586</t>
  </si>
  <si>
    <t>CA-2018-130386</t>
  </si>
  <si>
    <t>CA-2017-100468</t>
  </si>
  <si>
    <t>CA-2016-153388</t>
  </si>
  <si>
    <t>PC-19000</t>
  </si>
  <si>
    <t>Pauline Chand</t>
  </si>
  <si>
    <t>CA-2018-154935</t>
  </si>
  <si>
    <t>AR-10540</t>
  </si>
  <si>
    <t>Andy Reiter</t>
  </si>
  <si>
    <t>CA-2017-134208</t>
  </si>
  <si>
    <t>CA-2018-108294</t>
  </si>
  <si>
    <t>CA-2018-103611</t>
  </si>
  <si>
    <t>CA-2018-100384</t>
  </si>
  <si>
    <t>CA-2018-112809</t>
  </si>
  <si>
    <t>US-2018-160759</t>
  </si>
  <si>
    <t>AI-10855</t>
  </si>
  <si>
    <t>Arianne Irving</t>
  </si>
  <si>
    <t>CA-2018-148446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</si>
  <si>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</si>
  <si>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</si>
  <si>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</si>
  <si>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</si>
  <si>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</si>
  <si>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</si>
  <si>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</si>
  <si>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CA-2016-144806</t>
  </si>
  <si>
    <t>GH-14425</t>
  </si>
  <si>
    <t>Gary Hwang</t>
  </si>
  <si>
    <t>CA-2017-122392</t>
  </si>
  <si>
    <t>CA-2016-148432</t>
  </si>
  <si>
    <t>CA-2016-103793</t>
  </si>
  <si>
    <t>CA-2018-159884</t>
  </si>
  <si>
    <t>CA-2017-139885</t>
  </si>
  <si>
    <t>CA-2018-124086</t>
  </si>
  <si>
    <t>MP-18175</t>
  </si>
  <si>
    <t>Mike Pelletier</t>
  </si>
  <si>
    <t>CA-2017-112389</t>
  </si>
  <si>
    <t>JM-15655</t>
  </si>
  <si>
    <t>Jim Mitchum</t>
  </si>
  <si>
    <t>CA-2018-121888</t>
  </si>
  <si>
    <t>CL-11890</t>
  </si>
  <si>
    <t>Carl Ludwig</t>
  </si>
  <si>
    <t>CA-2015-166884</t>
  </si>
  <si>
    <t>CA-2015-107181</t>
  </si>
  <si>
    <t>DB-13270</t>
  </si>
  <si>
    <t>Deborah Brumfield</t>
  </si>
  <si>
    <t>CA-2015-150245</t>
  </si>
  <si>
    <t>CA-2016-111395</t>
  </si>
  <si>
    <t>CA-2015-134278</t>
  </si>
  <si>
    <t>US-2018-124926</t>
  </si>
  <si>
    <t>CA-2017-159345</t>
  </si>
  <si>
    <t>IG-15085</t>
  </si>
  <si>
    <t>Ivan Gibson</t>
  </si>
  <si>
    <t>CA-2015-130274</t>
  </si>
  <si>
    <t>CA-2018-158386</t>
  </si>
  <si>
    <t>BO-11425</t>
  </si>
  <si>
    <t>Bobby Odegard</t>
  </si>
  <si>
    <t>CA-2016-111507</t>
  </si>
  <si>
    <t>CA-2018-120761</t>
  </si>
  <si>
    <t>AB-10150</t>
  </si>
  <si>
    <t>Aimee Bixby</t>
  </si>
  <si>
    <t>CA-2017-109176</t>
  </si>
  <si>
    <t>JW-16075</t>
  </si>
  <si>
    <t>CA-2016-112116</t>
  </si>
  <si>
    <t>CA-2017-126809</t>
  </si>
  <si>
    <t>EB-13750</t>
  </si>
  <si>
    <t>Edward Becker</t>
  </si>
  <si>
    <t>CA-2015-105172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</si>
  <si>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</si>
  <si>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</si>
  <si>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</si>
  <si>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</si>
  <si>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</si>
  <si>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</si>
  <si>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</si>
  <si>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</si>
  <si>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CA-2016-132101</t>
  </si>
  <si>
    <t>CA-2016-129112</t>
  </si>
  <si>
    <t>AW-10840</t>
  </si>
  <si>
    <t>Anthony Witt</t>
  </si>
  <si>
    <t>US-2018-152002</t>
  </si>
  <si>
    <t>CA-2018-165029</t>
  </si>
  <si>
    <t>US-2015-157385</t>
  </si>
  <si>
    <t>CA-2015-101602</t>
  </si>
  <si>
    <t>MC-18100</t>
  </si>
  <si>
    <t>Mick Crebagga</t>
  </si>
  <si>
    <t>CA-2017-109057</t>
  </si>
  <si>
    <t>TT-21460</t>
  </si>
  <si>
    <t>Tonja Turnell</t>
  </si>
  <si>
    <t>CA-2017-154403</t>
  </si>
  <si>
    <t>CA-2017-102456</t>
  </si>
  <si>
    <t>CA-2016-131338</t>
  </si>
  <si>
    <t>CA-2017-109911</t>
  </si>
  <si>
    <t>VG-21805</t>
  </si>
  <si>
    <t>Vivek Grady</t>
  </si>
  <si>
    <t>US-2017-132423</t>
  </si>
  <si>
    <t>MY-18295</t>
  </si>
  <si>
    <t>Muhammed Yedwab</t>
  </si>
  <si>
    <t>CA-2016-122826</t>
  </si>
  <si>
    <t>RD-19480</t>
  </si>
  <si>
    <t>Rick Duston</t>
  </si>
  <si>
    <t>CA-2015-117317</t>
  </si>
  <si>
    <t>CA-2016-118423</t>
  </si>
  <si>
    <t>DP-13390</t>
  </si>
  <si>
    <t>Dennis Pardue</t>
  </si>
  <si>
    <t>CA-2018-149181</t>
  </si>
  <si>
    <t>CA-2018-132234</t>
  </si>
  <si>
    <t>CA-2018-158876</t>
  </si>
  <si>
    <t>CA-2017-164672</t>
  </si>
  <si>
    <t>US-2017-132857</t>
  </si>
  <si>
    <t>CA-2018-116645</t>
  </si>
  <si>
    <t>US-2017-115819</t>
  </si>
  <si>
    <t>CA-2015-156349</t>
  </si>
  <si>
    <t>ML-17395</t>
  </si>
  <si>
    <t>Marina Lichtenstein</t>
  </si>
  <si>
    <t>CA-2018-138380</t>
  </si>
  <si>
    <t>US-2017-113509</t>
  </si>
  <si>
    <t>CA-2016-130022</t>
  </si>
  <si>
    <t>US-2017-118780</t>
  </si>
  <si>
    <t>CA-2018-108560</t>
  </si>
  <si>
    <t>JC-15385</t>
  </si>
  <si>
    <t>Jenna Caffey</t>
  </si>
  <si>
    <t>CA-2016-157084</t>
  </si>
  <si>
    <t>JG-15160</t>
  </si>
  <si>
    <t>James Galang</t>
  </si>
  <si>
    <t>CA-2016-164539</t>
  </si>
  <si>
    <t>CA-2016-143119</t>
  </si>
  <si>
    <t>MC-17275</t>
  </si>
  <si>
    <t>Marc Crier</t>
  </si>
  <si>
    <t>CA-2018-101049</t>
  </si>
  <si>
    <t>CA-2017-106530</t>
  </si>
  <si>
    <t>CA-2015-168984</t>
  </si>
  <si>
    <t>NW-18400</t>
  </si>
  <si>
    <t>Natalie Webber</t>
  </si>
  <si>
    <t>CA-2017-157266</t>
  </si>
  <si>
    <t>TB-21280</t>
  </si>
  <si>
    <t>Toby Braunhardt</t>
  </si>
  <si>
    <t>US-2015-134712</t>
  </si>
  <si>
    <t>BS-11380</t>
  </si>
  <si>
    <t>Bill Stewart</t>
  </si>
  <si>
    <t>CA-2016-111829</t>
  </si>
  <si>
    <t>CA-2016-105221</t>
  </si>
  <si>
    <t>CA-2016-120341</t>
  </si>
  <si>
    <t>CA-2015-135699</t>
  </si>
  <si>
    <t>HH-15010</t>
  </si>
  <si>
    <t>Hilary Holden</t>
  </si>
  <si>
    <t>US-2018-132444</t>
  </si>
  <si>
    <t>CD-12280</t>
  </si>
  <si>
    <t>Christina DeMoss</t>
  </si>
  <si>
    <t>CA-2015-127159</t>
  </si>
  <si>
    <t>CA-2018-161809</t>
  </si>
  <si>
    <t>TH-21100</t>
  </si>
  <si>
    <t>Thea Hendricks</t>
  </si>
  <si>
    <t>CA-2018-127285</t>
  </si>
  <si>
    <t>MM-18055</t>
  </si>
  <si>
    <t>Michelle Moray</t>
  </si>
  <si>
    <t>CA-2018-144526</t>
  </si>
  <si>
    <t>CA-2017-128531</t>
  </si>
  <si>
    <t>NS-18505</t>
  </si>
  <si>
    <t>Neola Schneider</t>
  </si>
  <si>
    <t>US-2016-157154</t>
  </si>
  <si>
    <t>CA-2018-159457</t>
  </si>
  <si>
    <t>CA-2017-107615</t>
  </si>
  <si>
    <t>RB-19645</t>
  </si>
  <si>
    <t>Robert Barroso</t>
  </si>
  <si>
    <t>CA-2018-111647</t>
  </si>
  <si>
    <t>CA-2016-150560</t>
  </si>
  <si>
    <t>SW-20455</t>
  </si>
  <si>
    <t>Shaun Weien</t>
  </si>
  <si>
    <t>CA-2016-143077</t>
  </si>
  <si>
    <t>CA-2017-122728</t>
  </si>
  <si>
    <t>EB-13930</t>
  </si>
  <si>
    <t>Eric Barreto</t>
  </si>
  <si>
    <t>CA-2015-122882</t>
  </si>
  <si>
    <t>US-2017-101497</t>
  </si>
  <si>
    <t>PS-18760</t>
  </si>
  <si>
    <t>Pamela Stobb</t>
  </si>
  <si>
    <t>CA-2017-147585</t>
  </si>
  <si>
    <t>CA-2018-149489</t>
  </si>
  <si>
    <t>CA-2018-143798</t>
  </si>
  <si>
    <t>CA-2015-142839</t>
  </si>
  <si>
    <t>CA-2018-129833</t>
  </si>
  <si>
    <t>HF-14995</t>
  </si>
  <si>
    <t>Herbert Flentye</t>
  </si>
  <si>
    <t>US-2017-154361</t>
  </si>
  <si>
    <t>HZ-14950</t>
  </si>
  <si>
    <t>Henia Zydlo</t>
  </si>
  <si>
    <t>US-2017-158708</t>
  </si>
  <si>
    <t>CA-2016-156335</t>
  </si>
  <si>
    <t>CA-2016-148376</t>
  </si>
  <si>
    <t>CA-2015-135657</t>
  </si>
  <si>
    <t>CA-2016-114069</t>
  </si>
  <si>
    <t>CA-2015-139857</t>
  </si>
  <si>
    <t>CD-12790</t>
  </si>
  <si>
    <t>Cynthia Delaney</t>
  </si>
  <si>
    <t>CA-2017-106306</t>
  </si>
  <si>
    <t>CA-2016-100545</t>
  </si>
  <si>
    <t>CA-2018-123491</t>
  </si>
  <si>
    <t>JK-15205</t>
  </si>
  <si>
    <t>Jamie Kunitz</t>
  </si>
  <si>
    <t>CA-2016-145401</t>
  </si>
  <si>
    <t>US-2018-124968</t>
  </si>
  <si>
    <t>CA-2018-104003</t>
  </si>
  <si>
    <t>CA-2017-154788</t>
  </si>
  <si>
    <t>CA-2017-169943</t>
  </si>
  <si>
    <t>US-2016-123218</t>
  </si>
  <si>
    <t>CA-2016-127453</t>
  </si>
  <si>
    <t>US-2018-164056</t>
  </si>
  <si>
    <t>FM-14215</t>
  </si>
  <si>
    <t>Filia McAdams</t>
  </si>
  <si>
    <t>CA-2017-106894</t>
  </si>
  <si>
    <t>CA-2015-125136</t>
  </si>
  <si>
    <t>US-2017-131149</t>
  </si>
  <si>
    <t>CA-2018-101483</t>
  </si>
  <si>
    <t>CA-2016-130204</t>
  </si>
  <si>
    <t>CA-2015-110527</t>
  </si>
  <si>
    <t>ED-13885</t>
  </si>
  <si>
    <t>Emily Ducich</t>
  </si>
  <si>
    <t>CA-2018-152807</t>
  </si>
  <si>
    <t>CA-2015-133270</t>
  </si>
  <si>
    <t>CA-2017-155670</t>
  </si>
  <si>
    <t>US-2015-157406</t>
  </si>
  <si>
    <t>DA-13450</t>
  </si>
  <si>
    <t>Dianna Arnett</t>
  </si>
  <si>
    <t>CA-2016-139094</t>
  </si>
  <si>
    <t>CA-2018-168837</t>
  </si>
  <si>
    <t>JW-15955</t>
  </si>
  <si>
    <t>Joni Wasserman</t>
  </si>
  <si>
    <t>CA-2018-116715</t>
  </si>
  <si>
    <t>CA-2016-135622</t>
  </si>
  <si>
    <t>US-2016-107349</t>
  </si>
  <si>
    <t>CA-2015-139017</t>
  </si>
  <si>
    <t>RM-19375</t>
  </si>
  <si>
    <t>Raymond Messe</t>
  </si>
  <si>
    <t>CA-2015-141817</t>
  </si>
  <si>
    <t>CA-2016-130785</t>
  </si>
  <si>
    <t>CA-2017-110254</t>
  </si>
  <si>
    <t>ML-17755</t>
  </si>
  <si>
    <t>Max Ludwig</t>
  </si>
  <si>
    <t>US-2015-158057</t>
  </si>
  <si>
    <t>CC-12685</t>
  </si>
  <si>
    <t>Craig Carroll</t>
  </si>
  <si>
    <t>CA-2018-146024</t>
  </si>
  <si>
    <t>CA-2017-129686</t>
  </si>
  <si>
    <t>CA-2015-118976</t>
  </si>
  <si>
    <t>CA-2016-105347</t>
  </si>
  <si>
    <t>CA-2017-124667</t>
  </si>
  <si>
    <t>CA-2016-111094</t>
  </si>
  <si>
    <t>CA-2018-166317</t>
  </si>
  <si>
    <t>JE-15610</t>
  </si>
  <si>
    <t>Jim Epp</t>
  </si>
  <si>
    <t>CA-2016-154326</t>
  </si>
  <si>
    <t>RP-19855</t>
  </si>
  <si>
    <t>Roy Phan</t>
  </si>
  <si>
    <t>CA-2015-102008</t>
  </si>
  <si>
    <t>CA-2015-120474</t>
  </si>
  <si>
    <t>CA-2015-104773</t>
  </si>
  <si>
    <t>TB-21175</t>
  </si>
  <si>
    <t>Thomas Boland</t>
  </si>
  <si>
    <t>CA-2017-140774</t>
  </si>
  <si>
    <t>BE-11455</t>
  </si>
  <si>
    <t>Brad Eason</t>
  </si>
  <si>
    <t>US-2018-139465</t>
  </si>
  <si>
    <t>CA-2017-100965</t>
  </si>
  <si>
    <t>CA-2017-121034</t>
  </si>
  <si>
    <t>JF-15565</t>
  </si>
  <si>
    <t>Jill Fjeld</t>
  </si>
  <si>
    <t>CA-2017-149461</t>
  </si>
  <si>
    <t>CA-2018-158379</t>
  </si>
  <si>
    <t>US-2017-116729</t>
  </si>
  <si>
    <t>CA-2017-164938</t>
  </si>
  <si>
    <t>PB-19210</t>
  </si>
  <si>
    <t>Phillip Breyer</t>
  </si>
  <si>
    <t>CA-2017-165484</t>
  </si>
  <si>
    <t>CA-2015-132612</t>
  </si>
  <si>
    <t>US-2018-161193</t>
  </si>
  <si>
    <t>BT-11680</t>
  </si>
  <si>
    <t>Brian Thompson</t>
  </si>
  <si>
    <t>CA-2016-131597</t>
  </si>
  <si>
    <t>CA-2016-164833</t>
  </si>
  <si>
    <t>CA-2016-125423</t>
  </si>
  <si>
    <t>US-2015-130379</t>
  </si>
  <si>
    <t>JL-15235</t>
  </si>
  <si>
    <t>Janet Lee</t>
  </si>
  <si>
    <t>CA-2017-168956</t>
  </si>
  <si>
    <t>CA-2017-167507</t>
  </si>
  <si>
    <t>CA-2017-109344</t>
  </si>
  <si>
    <t>CH-12070</t>
  </si>
  <si>
    <t>Cathy Hwang</t>
  </si>
  <si>
    <t>US-2016-140851</t>
  </si>
  <si>
    <t>ND-18460</t>
  </si>
  <si>
    <t>Neil Ducich</t>
  </si>
  <si>
    <t>CA-2015-103373</t>
  </si>
  <si>
    <t>CA-2018-145884</t>
  </si>
  <si>
    <t>CA-2016-131422</t>
  </si>
  <si>
    <t>CA-2018-162691</t>
  </si>
  <si>
    <t>CA-2015-141278</t>
  </si>
  <si>
    <t>CA-2018-122693</t>
  </si>
  <si>
    <t>CA-2015-117345</t>
  </si>
  <si>
    <t>BF-10975</t>
  </si>
  <si>
    <t>Barbara Fisher</t>
  </si>
  <si>
    <t>CA-2017-157763</t>
  </si>
  <si>
    <t>KH-16330</t>
  </si>
  <si>
    <t>Katharine Harms</t>
  </si>
  <si>
    <t>CA-2016-135391</t>
  </si>
  <si>
    <t>US-2018-113852</t>
  </si>
  <si>
    <t>GW-14605</t>
  </si>
  <si>
    <t>Giulietta Weimer</t>
  </si>
  <si>
    <t>US-2018-158512</t>
  </si>
  <si>
    <t>CA-2018-128370</t>
  </si>
  <si>
    <t>CA-2016-160472</t>
  </si>
  <si>
    <t>CA-2015-114643</t>
  </si>
  <si>
    <t>US-2018-158218</t>
  </si>
  <si>
    <t>CA-2016-121608</t>
  </si>
  <si>
    <t>US-2018-121251</t>
  </si>
  <si>
    <t>CA-2015-151078</t>
  </si>
  <si>
    <t>US-2017-100839</t>
  </si>
  <si>
    <t>NC-18625</t>
  </si>
  <si>
    <t>Noah Childs</t>
  </si>
  <si>
    <t>US-2018-116659</t>
  </si>
  <si>
    <t>CA-2018-118857</t>
  </si>
  <si>
    <t>CA-2016-127110</t>
  </si>
  <si>
    <t>CA-2017-148201</t>
  </si>
  <si>
    <t>CA-2015-116932</t>
  </si>
  <si>
    <t>ME-18010</t>
  </si>
  <si>
    <t>Michelle Ellison</t>
  </si>
  <si>
    <t>CA-2018-142888</t>
  </si>
  <si>
    <t>BP-11230</t>
  </si>
  <si>
    <t>Benjamin Patterson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</si>
  <si>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</si>
  <si>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</si>
  <si>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</si>
  <si>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</si>
  <si>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</si>
  <si>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</si>
  <si>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</si>
  <si>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</si>
  <si>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CA-2017-118570</t>
  </si>
  <si>
    <t>CA-2018-154718</t>
  </si>
  <si>
    <t>CA-2017-147578</t>
  </si>
  <si>
    <t>CA-2015-140165</t>
  </si>
  <si>
    <t>CA-2015-142587</t>
  </si>
  <si>
    <t>CA-2015-157623</t>
  </si>
  <si>
    <t>CA-2018-145310</t>
  </si>
  <si>
    <t>CA-2017-100083</t>
  </si>
  <si>
    <t>US-2018-108063</t>
  </si>
  <si>
    <t>AS-10090</t>
  </si>
  <si>
    <t>Adam Shillingsburg</t>
  </si>
  <si>
    <t>CA-2016-109197</t>
  </si>
  <si>
    <t>CA-2018-141789</t>
  </si>
  <si>
    <t>AC-10450</t>
  </si>
  <si>
    <t>Amy Cox</t>
  </si>
  <si>
    <t>CA-2015-169775</t>
  </si>
  <si>
    <t>CA-2017-140543</t>
  </si>
  <si>
    <t>CA-2017-151141</t>
  </si>
  <si>
    <t>CA-2018-167094</t>
  </si>
  <si>
    <t>CA-2018-154410</t>
  </si>
  <si>
    <t>MD-17860</t>
  </si>
  <si>
    <t>Michael Dominguez</t>
  </si>
  <si>
    <t>US-2017-150567</t>
  </si>
  <si>
    <t>CA-2016-157959</t>
  </si>
  <si>
    <t>CA-2018-105886</t>
  </si>
  <si>
    <t>DB-13660</t>
  </si>
  <si>
    <t>Duane Benoit</t>
  </si>
  <si>
    <t>CA-2017-105963</t>
  </si>
  <si>
    <t>CA-2018-121503</t>
  </si>
  <si>
    <t>CA-2015-103366</t>
  </si>
  <si>
    <t>EH-13990</t>
  </si>
  <si>
    <t>Erica Hackney</t>
  </si>
  <si>
    <t>CA-2018-124597</t>
  </si>
  <si>
    <t>CA-2016-105634</t>
  </si>
  <si>
    <t>CA-2016-123673</t>
  </si>
  <si>
    <t>US-2018-111423</t>
  </si>
  <si>
    <t>EH-13765</t>
  </si>
  <si>
    <t>Edward Hooks</t>
  </si>
  <si>
    <t>CA-2016-125178</t>
  </si>
  <si>
    <t>CA-2017-156685</t>
  </si>
  <si>
    <t>SC-20230</t>
  </si>
  <si>
    <t>Scot Coram</t>
  </si>
  <si>
    <t>CA-2018-126865</t>
  </si>
  <si>
    <t>CA-2018-102834</t>
  </si>
  <si>
    <t>US-2017-139710</t>
  </si>
  <si>
    <t>CA-2018-121538</t>
  </si>
  <si>
    <t>US-2018-101539</t>
  </si>
  <si>
    <t>CA-2017-152121</t>
  </si>
  <si>
    <t>CA-2018-161200</t>
  </si>
  <si>
    <t>CA-2018-101245</t>
  </si>
  <si>
    <t>CA-2016-141768</t>
  </si>
  <si>
    <t>CA-2017-112109</t>
  </si>
  <si>
    <t>JE-15715</t>
  </si>
  <si>
    <t>Joe Elijah</t>
  </si>
  <si>
    <t>CA-2018-144064</t>
  </si>
  <si>
    <t>CA-2017-108581</t>
  </si>
  <si>
    <t>CA-2018-157987</t>
  </si>
  <si>
    <t>AC-10615</t>
  </si>
  <si>
    <t>Ann Chong</t>
  </si>
  <si>
    <t>CA-2018-110905</t>
  </si>
  <si>
    <t>CA-2018-165841</t>
  </si>
  <si>
    <t>CA-2018-117485</t>
  </si>
  <si>
    <t>CA-2018-140242</t>
  </si>
  <si>
    <t>CA-2015-148950</t>
  </si>
  <si>
    <t>JD-16015</t>
  </si>
  <si>
    <t>Joy Daniels</t>
  </si>
  <si>
    <t>CA-2015-110408</t>
  </si>
  <si>
    <t>CA-2016-109939</t>
  </si>
  <si>
    <t>CA-2017-112669</t>
  </si>
  <si>
    <t>CA-2016-119592</t>
  </si>
  <si>
    <t>CA-2015-122749</t>
  </si>
  <si>
    <t>CA-2015-164721</t>
  </si>
  <si>
    <t>CA-2017-147417</t>
  </si>
  <si>
    <t>CB-12415</t>
  </si>
  <si>
    <t>Christy Brittain</t>
  </si>
  <si>
    <t>CA-2016-127509</t>
  </si>
  <si>
    <t>CA-2018-111374</t>
  </si>
  <si>
    <t>CA-2018-133648</t>
  </si>
  <si>
    <t>US-2018-147221</t>
  </si>
  <si>
    <t>JS-16030</t>
  </si>
  <si>
    <t>Joy Smith</t>
  </si>
  <si>
    <t>CA-2015-131905</t>
  </si>
  <si>
    <t>Booking Date</t>
  </si>
  <si>
    <t>Booking ID</t>
  </si>
  <si>
    <t>Travel End Date</t>
  </si>
  <si>
    <t>Travel Mode (Flight/Train/Bus)</t>
  </si>
  <si>
    <t>Customer Type (Regular/Corporate)</t>
  </si>
  <si>
    <t>Destination</t>
  </si>
  <si>
    <t>Package Type</t>
  </si>
  <si>
    <t>Revenue</t>
  </si>
  <si>
    <t>Luxury</t>
  </si>
  <si>
    <t>Budget</t>
  </si>
  <si>
    <t>Honeymoon</t>
  </si>
  <si>
    <t>Goa</t>
  </si>
  <si>
    <t>Julia Goa</t>
  </si>
  <si>
    <t>Manali</t>
  </si>
  <si>
    <t>Kerela</t>
  </si>
  <si>
    <t>Linda Kerelaworth</t>
  </si>
  <si>
    <t>Jaipur</t>
  </si>
  <si>
    <t>Bus</t>
  </si>
  <si>
    <t>Train</t>
  </si>
  <si>
    <t>Flight</t>
  </si>
  <si>
    <t>Final Revenue</t>
  </si>
  <si>
    <t>Profit</t>
  </si>
  <si>
    <t>Row Labels</t>
  </si>
  <si>
    <t>Grand Total</t>
  </si>
  <si>
    <t>Sum of Final Revenue</t>
  </si>
  <si>
    <t>Sum of Profit</t>
  </si>
  <si>
    <t>2015</t>
  </si>
  <si>
    <t>2016</t>
  </si>
  <si>
    <t>2017</t>
  </si>
  <si>
    <t>2018</t>
  </si>
  <si>
    <t>Count of Booking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</si>
</sst>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ishya anjana" refreshedDate="46105.783581249998" createdVersion="8" refreshedVersion="8" minRefreshableVersion="3" recordCount="2000" xr:uid="{D192709A-3417-44F7-842E-65278598A7AF}">
  <cacheSource type="worksheet">
    <worksheetSource ref="A1:M2001" sheet="Raw Data"/>
  </cacheSource>
  <cacheFields count="16">
    <cacheField name="Row ID" numFmtId="0">
      <sharedItems containsSemiMixedTypes="0" containsString="0" containsNumber="1" containsInteger="1" minValue="1" maxValue="2000"/>
    </cacheField>
    <cacheField name="Booking ID" numFmtId="0">
      <sharedItems/>
    </cacheField>
    <cacheField name="Booking Date" numFmtId="14">
      <sharedItems containsSemiMixedTypes="0" containsNonDate="0" containsDate="1" containsString="0" minDate="2015-01-04T00:00:00" maxDate="2018-12-31T00:00:00" count="645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</sharedItems>
      <fieldGroup par="15"/>
    </cacheField>
    <cacheField name="Travel End Date" numFmtId="14">
      <sharedItems containsSemiMixedTypes="0" containsNonDate="0" containsDate="1" containsString="0" minDate="2015-01-08T00:00:00" maxDate="2019-01-06T00:00:00"/>
    </cacheField>
    <cacheField name="Travel Mode (Flight/Train/Bus)" numFmtId="0">
      <sharedItems count="4">
        <s v="Train"/>
        <s v="Bus"/>
        <s v="Flight"/>
        <s v="Same Day"/>
      </sharedItems>
    </cacheField>
    <cacheField name="Customer ID" numFmtId="0">
      <sharedItems/>
    </cacheField>
    <cacheField name="Customer Name" numFmtId="0">
      <sharedItems/>
    </cacheField>
    <cacheField name="Customer Type (Regular/Corporate)" numFmtId="0">
      <sharedItems/>
    </cacheField>
    <cacheField name="Destination" numFmtId="0">
      <sharedItems count="4">
        <s v="Kerela"/>
        <s v="Goa"/>
        <s v="Jaipur"/>
        <s v="Manali"/>
      </sharedItems>
    </cacheField>
    <cacheField name="Package Type" numFmtId="0">
      <sharedItems count="3">
        <s v="Luxury"/>
        <s v="Budget"/>
        <s v="Honeymoon"/>
      </sharedItems>
    </cacheField>
    <cacheField name="Revenue" numFmtId="0">
      <sharedItems containsSemiMixedTypes="0" containsString="0" containsNumber="1" minValue="1.08" maxValue="8159.9520000000002"/>
    </cacheField>
    <cacheField name="Final Revenue" numFmtId="0">
      <sharedItems containsSemiMixedTypes="0" containsString="0" containsNumber="1" minValue="108" maxValue="815995.20000000007"/>
    </cacheField>
    <cacheField name="Profit" numFmtId="0">
      <sharedItems containsSemiMixedTypes="0" containsString="0" containsNumber="1" minValue="21.6" maxValue="163199.04000000004"/>
    </cacheField>
    <cacheField name="Months (Booking Date)" numFmtId="0" databaseField="0">
      <fieldGroup base="2">
        <rangePr groupBy="months" startDate="2015-01-04T00:00:00" endDate="2018-12-31T00:00:00"/>
        <groupItems count="14">
          <s v="&lt;04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Booking Date)" numFmtId="0" databaseField="0">
      <fieldGroup base="2">
        <rangePr groupBy="quarters" startDate="2015-01-04T00:00:00" endDate="2018-12-31T00:00:00"/>
        <groupItems count="6">
          <s v="&lt;04-01-2015"/>
          <s v="Qtr1"/>
          <s v="Qtr2"/>
          <s v="Qtr3"/>
          <s v="Qtr4"/>
          <s v="&gt;31-12-2018"/>
        </groupItems>
      </fieldGroup>
    </cacheField>
    <cacheField name="Years (Booking Date)" numFmtId="0" databaseField="0">
      <fieldGroup base="2">
        <rangePr groupBy="years" startDate="2015-01-04T00:00:00" endDate="2018-12-31T00:00:00"/>
        <groupItems count="6">
          <s v="&lt;04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CA-2017-152156"/>
    <x v="0"/>
    <d v="2017-11-11T00:00:00"/>
    <x v="0"/>
    <s v="CG-12520"/>
    <s v="Claire Gute"/>
    <s v="Consumer"/>
    <x v="0"/>
    <x v="0"/>
    <n v="261.95999999999998"/>
    <n v="26195.999999999996"/>
    <n v="5239.2"/>
  </r>
  <r>
    <n v="2"/>
    <s v="CA-2017-152156"/>
    <x v="0"/>
    <d v="2017-11-11T00:00:00"/>
    <x v="0"/>
    <s v="CG-12520"/>
    <s v="Claire Gute"/>
    <s v="Consumer"/>
    <x v="0"/>
    <x v="0"/>
    <n v="731.94"/>
    <n v="73194"/>
    <n v="14638.800000000001"/>
  </r>
  <r>
    <n v="3"/>
    <s v="CA-2017-138688"/>
    <x v="1"/>
    <d v="2017-06-16T00:00:00"/>
    <x v="0"/>
    <s v="DV-13045"/>
    <s v="Darrin Van Huff"/>
    <s v="Corporate"/>
    <x v="1"/>
    <x v="1"/>
    <n v="14.62"/>
    <n v="1462"/>
    <n v="292.40000000000003"/>
  </r>
  <r>
    <n v="4"/>
    <s v="US-2016-108966"/>
    <x v="2"/>
    <d v="2016-10-18T00:00:00"/>
    <x v="1"/>
    <s v="SO-20335"/>
    <s v="Sean O'Donnell"/>
    <s v="Consumer"/>
    <x v="0"/>
    <x v="0"/>
    <n v="957.57749999999999"/>
    <n v="95757.75"/>
    <n v="19151.55"/>
  </r>
  <r>
    <n v="5"/>
    <s v="US-2016-108966"/>
    <x v="2"/>
    <d v="2016-10-18T00:00:00"/>
    <x v="1"/>
    <s v="SO-20335"/>
    <s v="Sean O'Donnell"/>
    <s v="Consumer"/>
    <x v="0"/>
    <x v="1"/>
    <n v="22.367999999999999"/>
    <n v="2236.7999999999997"/>
    <n v="447.35999999999996"/>
  </r>
  <r>
    <n v="6"/>
    <s v="CA-2015-115812"/>
    <x v="3"/>
    <d v="2015-06-14T00:00:00"/>
    <x v="1"/>
    <s v="BH-11710"/>
    <s v="Brosina Hoffman"/>
    <s v="Consumer"/>
    <x v="1"/>
    <x v="0"/>
    <n v="48.86"/>
    <n v="4886"/>
    <n v="977.2"/>
  </r>
  <r>
    <n v="7"/>
    <s v="CA-2015-115812"/>
    <x v="3"/>
    <d v="2015-06-14T00:00:00"/>
    <x v="1"/>
    <s v="BH-11710"/>
    <s v="Brosina Hoffman"/>
    <s v="Consumer"/>
    <x v="1"/>
    <x v="1"/>
    <n v="7.28"/>
    <n v="728"/>
    <n v="145.6"/>
  </r>
  <r>
    <n v="8"/>
    <s v="CA-2015-115812"/>
    <x v="3"/>
    <d v="2015-06-14T00:00:00"/>
    <x v="1"/>
    <s v="BH-11710"/>
    <s v="Brosina Hoffman"/>
    <s v="Consumer"/>
    <x v="1"/>
    <x v="2"/>
    <n v="907.15200000000004"/>
    <n v="90715.200000000012"/>
    <n v="18143.040000000005"/>
  </r>
  <r>
    <n v="9"/>
    <s v="CA-2015-115812"/>
    <x v="3"/>
    <d v="2015-06-14T00:00:00"/>
    <x v="1"/>
    <s v="BH-11710"/>
    <s v="Brosina Hoffman"/>
    <s v="Consumer"/>
    <x v="1"/>
    <x v="1"/>
    <n v="18.504000000000001"/>
    <n v="1850.4"/>
    <n v="370.08000000000004"/>
  </r>
  <r>
    <n v="10"/>
    <s v="CA-2015-115812"/>
    <x v="3"/>
    <d v="2015-06-14T00:00:00"/>
    <x v="1"/>
    <s v="BH-11710"/>
    <s v="Brosina Hoffman"/>
    <s v="Consumer"/>
    <x v="1"/>
    <x v="1"/>
    <n v="114.9"/>
    <n v="11490"/>
    <n v="2298"/>
  </r>
  <r>
    <n v="11"/>
    <s v="CA-2015-115812"/>
    <x v="3"/>
    <d v="2015-06-14T00:00:00"/>
    <x v="1"/>
    <s v="BH-11710"/>
    <s v="Brosina Hoffman"/>
    <s v="Consumer"/>
    <x v="1"/>
    <x v="0"/>
    <n v="1706.184"/>
    <n v="170618.4"/>
    <n v="34123.68"/>
  </r>
  <r>
    <n v="12"/>
    <s v="CA-2015-115812"/>
    <x v="3"/>
    <d v="2015-06-14T00:00:00"/>
    <x v="1"/>
    <s v="BH-11710"/>
    <s v="Brosina Hoffman"/>
    <s v="Consumer"/>
    <x v="1"/>
    <x v="0"/>
    <n v="911.42399999999998"/>
    <n v="91142.399999999994"/>
    <n v="18228.48"/>
  </r>
  <r>
    <n v="13"/>
    <s v="CA-2018-114412"/>
    <x v="4"/>
    <d v="2018-04-20T00:00:00"/>
    <x v="1"/>
    <s v="AA-10480"/>
    <s v="Andrew Allen"/>
    <s v="Consumer"/>
    <x v="0"/>
    <x v="1"/>
    <n v="15.552"/>
    <n v="1555.2"/>
    <n v="311.04000000000002"/>
  </r>
  <r>
    <n v="14"/>
    <s v="CA-2017-161389"/>
    <x v="5"/>
    <d v="2017-12-10T00:00:00"/>
    <x v="1"/>
    <s v="IM-15070"/>
    <s v="Irene Maddox"/>
    <s v="Consumer"/>
    <x v="1"/>
    <x v="1"/>
    <n v="407.976"/>
    <n v="40797.599999999999"/>
    <n v="8159.52"/>
  </r>
  <r>
    <n v="15"/>
    <s v="US-2016-118983"/>
    <x v="6"/>
    <d v="2016-11-26T00:00:00"/>
    <x v="1"/>
    <s v="HP-14815"/>
    <s v="Harold Pawlan"/>
    <s v="Home Office"/>
    <x v="2"/>
    <x v="1"/>
    <n v="68.81"/>
    <n v="6881"/>
    <n v="1376.2"/>
  </r>
  <r>
    <n v="16"/>
    <s v="US-2016-118983"/>
    <x v="6"/>
    <d v="2016-11-26T00:00:00"/>
    <x v="1"/>
    <s v="HP-14815"/>
    <s v="Harold Pawlan"/>
    <s v="Home Office"/>
    <x v="2"/>
    <x v="1"/>
    <n v="2.544"/>
    <n v="254.4"/>
    <n v="50.88"/>
  </r>
  <r>
    <n v="17"/>
    <s v="CA-2015-105893"/>
    <x v="7"/>
    <d v="2015-11-18T00:00:00"/>
    <x v="1"/>
    <s v="PK-19075"/>
    <s v="Pete Kriz"/>
    <s v="Consumer"/>
    <x v="2"/>
    <x v="1"/>
    <n v="665.88"/>
    <n v="66588"/>
    <n v="13317.6"/>
  </r>
  <r>
    <n v="18"/>
    <s v="CA-2015-167164"/>
    <x v="8"/>
    <d v="2015-05-15T00:00:00"/>
    <x v="0"/>
    <s v="AG-10270"/>
    <s v="Alejandro Grove"/>
    <s v="Consumer"/>
    <x v="1"/>
    <x v="1"/>
    <n v="55.5"/>
    <n v="5550"/>
    <n v="1110"/>
  </r>
  <r>
    <n v="19"/>
    <s v="CA-2015-143336"/>
    <x v="9"/>
    <d v="2015-09-01T00:00:00"/>
    <x v="0"/>
    <s v="ZD-21925"/>
    <s v="Zuschuss Donatelli"/>
    <s v="Consumer"/>
    <x v="1"/>
    <x v="1"/>
    <n v="8.56"/>
    <n v="856"/>
    <n v="171.20000000000002"/>
  </r>
  <r>
    <n v="20"/>
    <s v="CA-2015-143336"/>
    <x v="9"/>
    <d v="2015-09-01T00:00:00"/>
    <x v="0"/>
    <s v="ZD-21925"/>
    <s v="Zuschuss Donatelli"/>
    <s v="Consumer"/>
    <x v="1"/>
    <x v="2"/>
    <n v="213.48"/>
    <n v="21348"/>
    <n v="4269.6000000000004"/>
  </r>
  <r>
    <n v="21"/>
    <s v="CA-2015-143336"/>
    <x v="9"/>
    <d v="2015-09-01T00:00:00"/>
    <x v="0"/>
    <s v="ZD-21925"/>
    <s v="Zuschuss Donatelli"/>
    <s v="Consumer"/>
    <x v="1"/>
    <x v="1"/>
    <n v="22.72"/>
    <n v="2272"/>
    <n v="454.40000000000003"/>
  </r>
  <r>
    <n v="22"/>
    <s v="CA-2017-137330"/>
    <x v="10"/>
    <d v="2017-12-13T00:00:00"/>
    <x v="1"/>
    <s v="KB-16585"/>
    <s v="Ken Black"/>
    <s v="Corporate"/>
    <x v="2"/>
    <x v="1"/>
    <n v="19.46"/>
    <n v="1946"/>
    <n v="389.20000000000005"/>
  </r>
  <r>
    <n v="23"/>
    <s v="CA-2017-137330"/>
    <x v="10"/>
    <d v="2017-12-13T00:00:00"/>
    <x v="1"/>
    <s v="KB-16585"/>
    <s v="Ken Black"/>
    <s v="Corporate"/>
    <x v="2"/>
    <x v="1"/>
    <n v="60.34"/>
    <n v="6034"/>
    <n v="1206.8"/>
  </r>
  <r>
    <n v="24"/>
    <s v="US-2018-156909"/>
    <x v="11"/>
    <d v="2018-07-18T00:00:00"/>
    <x v="0"/>
    <s v="SF-20065"/>
    <s v="Sandra Flanagan"/>
    <s v="Consumer"/>
    <x v="3"/>
    <x v="0"/>
    <n v="71.372"/>
    <n v="7137.2"/>
    <n v="1427.44"/>
  </r>
  <r>
    <n v="25"/>
    <s v="CA-2016-106320"/>
    <x v="12"/>
    <d v="2016-09-30T00:00:00"/>
    <x v="1"/>
    <s v="EB-13870"/>
    <s v="Emily Burns"/>
    <s v="Consumer"/>
    <x v="1"/>
    <x v="0"/>
    <n v="1044.6300000000001"/>
    <n v="104463.00000000001"/>
    <n v="20892.600000000006"/>
  </r>
  <r>
    <n v="26"/>
    <s v="CA-2017-121755"/>
    <x v="13"/>
    <d v="2017-01-20T00:00:00"/>
    <x v="0"/>
    <s v="EH-13945"/>
    <s v="Eric Hoffmann"/>
    <s v="Consumer"/>
    <x v="1"/>
    <x v="1"/>
    <n v="11.648"/>
    <n v="1164.8"/>
    <n v="232.96"/>
  </r>
  <r>
    <n v="27"/>
    <s v="CA-2017-121755"/>
    <x v="13"/>
    <d v="2017-01-20T00:00:00"/>
    <x v="0"/>
    <s v="EH-13945"/>
    <s v="Eric Hoffmann"/>
    <s v="Consumer"/>
    <x v="1"/>
    <x v="2"/>
    <n v="90.57"/>
    <n v="9057"/>
    <n v="1811.4"/>
  </r>
  <r>
    <n v="28"/>
    <s v="US-2016-150630"/>
    <x v="14"/>
    <d v="2016-09-21T00:00:00"/>
    <x v="1"/>
    <s v="TB-21520"/>
    <s v="Tracy Blumstein"/>
    <s v="Consumer"/>
    <x v="3"/>
    <x v="0"/>
    <n v="3083.43"/>
    <n v="308343"/>
    <n v="61668.600000000006"/>
  </r>
  <r>
    <n v="29"/>
    <s v="US-2016-150630"/>
    <x v="14"/>
    <d v="2016-09-21T00:00:00"/>
    <x v="1"/>
    <s v="TB-21520"/>
    <s v="Tracy Blumstein"/>
    <s v="Consumer"/>
    <x v="3"/>
    <x v="1"/>
    <n v="9.6180000000000003"/>
    <n v="961.80000000000007"/>
    <n v="192.36"/>
  </r>
  <r>
    <n v="30"/>
    <s v="US-2016-150630"/>
    <x v="14"/>
    <d v="2016-09-21T00:00:00"/>
    <x v="1"/>
    <s v="TB-21520"/>
    <s v="Tracy Blumstein"/>
    <s v="Consumer"/>
    <x v="3"/>
    <x v="0"/>
    <n v="124.2"/>
    <n v="12420"/>
    <n v="2484"/>
  </r>
  <r>
    <n v="31"/>
    <s v="US-2016-150630"/>
    <x v="14"/>
    <d v="2016-09-21T00:00:00"/>
    <x v="1"/>
    <s v="TB-21520"/>
    <s v="Tracy Blumstein"/>
    <s v="Consumer"/>
    <x v="3"/>
    <x v="1"/>
    <n v="3.2639999999999998"/>
    <n v="326.39999999999998"/>
    <n v="65.28"/>
  </r>
  <r>
    <n v="32"/>
    <s v="US-2016-150630"/>
    <x v="14"/>
    <d v="2016-09-21T00:00:00"/>
    <x v="1"/>
    <s v="TB-21520"/>
    <s v="Tracy Blumstein"/>
    <s v="Consumer"/>
    <x v="3"/>
    <x v="1"/>
    <n v="86.304000000000002"/>
    <n v="8630.4"/>
    <n v="1726.08"/>
  </r>
  <r>
    <n v="33"/>
    <s v="US-2016-150630"/>
    <x v="14"/>
    <d v="2016-09-21T00:00:00"/>
    <x v="1"/>
    <s v="TB-21520"/>
    <s v="Tracy Blumstein"/>
    <s v="Consumer"/>
    <x v="3"/>
    <x v="1"/>
    <n v="6.8579999999999997"/>
    <n v="685.8"/>
    <n v="137.16"/>
  </r>
  <r>
    <n v="34"/>
    <s v="US-2016-150630"/>
    <x v="14"/>
    <d v="2016-09-21T00:00:00"/>
    <x v="1"/>
    <s v="TB-21520"/>
    <s v="Tracy Blumstein"/>
    <s v="Consumer"/>
    <x v="3"/>
    <x v="1"/>
    <n v="15.76"/>
    <n v="1576"/>
    <n v="315.20000000000005"/>
  </r>
  <r>
    <n v="35"/>
    <s v="CA-2018-107727"/>
    <x v="15"/>
    <d v="2018-10-23T00:00:00"/>
    <x v="0"/>
    <s v="MA-17560"/>
    <s v="Matt Abelman"/>
    <s v="Home Office"/>
    <x v="2"/>
    <x v="1"/>
    <n v="29.472000000000001"/>
    <n v="2947.2000000000003"/>
    <n v="589.44000000000005"/>
  </r>
  <r>
    <n v="36"/>
    <s v="CA-2017-117590"/>
    <x v="16"/>
    <d v="2017-12-10T00:00:00"/>
    <x v="2"/>
    <s v="GH-14485"/>
    <s v="Gene Hale"/>
    <s v="Corporate"/>
    <x v="2"/>
    <x v="2"/>
    <n v="1097.5440000000001"/>
    <n v="109754.40000000001"/>
    <n v="21950.880000000005"/>
  </r>
  <r>
    <n v="37"/>
    <s v="CA-2017-117590"/>
    <x v="16"/>
    <d v="2017-12-10T00:00:00"/>
    <x v="2"/>
    <s v="GH-14485"/>
    <s v="Gene Hale"/>
    <s v="Corporate"/>
    <x v="2"/>
    <x v="0"/>
    <n v="190.92"/>
    <n v="19092"/>
    <n v="3818.4"/>
  </r>
  <r>
    <n v="38"/>
    <s v="CA-2016-117415"/>
    <x v="17"/>
    <d v="2016-12-31T00:00:00"/>
    <x v="1"/>
    <s v="SN-20710"/>
    <s v="Steve Nguyen"/>
    <s v="Home Office"/>
    <x v="2"/>
    <x v="1"/>
    <n v="113.328"/>
    <n v="11332.800000000001"/>
    <n v="2266.5600000000004"/>
  </r>
  <r>
    <n v="39"/>
    <s v="CA-2016-117415"/>
    <x v="17"/>
    <d v="2016-12-31T00:00:00"/>
    <x v="1"/>
    <s v="SN-20710"/>
    <s v="Steve Nguyen"/>
    <s v="Home Office"/>
    <x v="2"/>
    <x v="0"/>
    <n v="532.39919999999995"/>
    <n v="53239.92"/>
    <n v="10647.984"/>
  </r>
  <r>
    <n v="40"/>
    <s v="CA-2016-117415"/>
    <x v="17"/>
    <d v="2016-12-31T00:00:00"/>
    <x v="1"/>
    <s v="SN-20710"/>
    <s v="Steve Nguyen"/>
    <s v="Home Office"/>
    <x v="2"/>
    <x v="0"/>
    <n v="212.05799999999999"/>
    <n v="21205.8"/>
    <n v="4241.16"/>
  </r>
  <r>
    <n v="41"/>
    <s v="CA-2016-117415"/>
    <x v="17"/>
    <d v="2016-12-31T00:00:00"/>
    <x v="1"/>
    <s v="SN-20710"/>
    <s v="Steve Nguyen"/>
    <s v="Home Office"/>
    <x v="2"/>
    <x v="2"/>
    <n v="371.16800000000001"/>
    <n v="37116.800000000003"/>
    <n v="7423.3600000000006"/>
  </r>
  <r>
    <n v="42"/>
    <s v="CA-2018-120999"/>
    <x v="18"/>
    <d v="2018-09-15T00:00:00"/>
    <x v="1"/>
    <s v="LC-16930"/>
    <s v="Linda Cazamias"/>
    <s v="Corporate"/>
    <x v="2"/>
    <x v="2"/>
    <n v="147.16800000000001"/>
    <n v="14716.800000000001"/>
    <n v="2943.3600000000006"/>
  </r>
  <r>
    <n v="43"/>
    <s v="CA-2017-101343"/>
    <x v="19"/>
    <d v="2017-07-22T00:00:00"/>
    <x v="1"/>
    <s v="RA-19885"/>
    <s v="Ruben Ausman"/>
    <s v="Corporate"/>
    <x v="1"/>
    <x v="1"/>
    <n v="77.88"/>
    <n v="7788"/>
    <n v="1557.6000000000001"/>
  </r>
  <r>
    <n v="44"/>
    <s v="CA-2018-139619"/>
    <x v="20"/>
    <d v="2018-09-23T00:00:00"/>
    <x v="1"/>
    <s v="ES-14080"/>
    <s v="Erin Smith"/>
    <s v="Corporate"/>
    <x v="0"/>
    <x v="1"/>
    <n v="95.616"/>
    <n v="9561.6"/>
    <n v="1912.3200000000002"/>
  </r>
  <r>
    <n v="45"/>
    <s v="CA-2017-118255"/>
    <x v="21"/>
    <d v="2017-03-13T00:00:00"/>
    <x v="2"/>
    <s v="ON-18715"/>
    <s v="Odella Nelson"/>
    <s v="Corporate"/>
    <x v="2"/>
    <x v="2"/>
    <n v="45.98"/>
    <n v="4598"/>
    <n v="919.6"/>
  </r>
  <r>
    <n v="46"/>
    <s v="CA-2017-118255"/>
    <x v="21"/>
    <d v="2017-03-13T00:00:00"/>
    <x v="2"/>
    <s v="ON-18715"/>
    <s v="Odella Nelson"/>
    <s v="Corporate"/>
    <x v="2"/>
    <x v="1"/>
    <n v="17.46"/>
    <n v="1746"/>
    <n v="349.20000000000005"/>
  </r>
  <r>
    <n v="47"/>
    <s v="CA-2015-146703"/>
    <x v="22"/>
    <d v="2015-10-25T00:00:00"/>
    <x v="0"/>
    <s v="PO-18865"/>
    <s v="Patrick O'Donnell"/>
    <s v="Consumer"/>
    <x v="2"/>
    <x v="1"/>
    <n v="211.96"/>
    <n v="21196"/>
    <n v="4239.2"/>
  </r>
  <r>
    <n v="48"/>
    <s v="CA-2017-169194"/>
    <x v="23"/>
    <d v="2017-06-25T00:00:00"/>
    <x v="1"/>
    <s v="LH-16900"/>
    <s v="Lena Hernandez"/>
    <s v="Consumer"/>
    <x v="3"/>
    <x v="2"/>
    <n v="45"/>
    <n v="4500"/>
    <n v="900"/>
  </r>
  <r>
    <n v="49"/>
    <s v="CA-2017-169194"/>
    <x v="23"/>
    <d v="2017-06-25T00:00:00"/>
    <x v="1"/>
    <s v="LH-16900"/>
    <s v="Lena Hernandez"/>
    <s v="Consumer"/>
    <x v="3"/>
    <x v="2"/>
    <n v="21.8"/>
    <n v="2180"/>
    <n v="436"/>
  </r>
  <r>
    <n v="50"/>
    <s v="CA-2016-115742"/>
    <x v="24"/>
    <d v="2016-04-22T00:00:00"/>
    <x v="1"/>
    <s v="DP-13000"/>
    <s v="Darren Powers"/>
    <s v="Consumer"/>
    <x v="2"/>
    <x v="1"/>
    <n v="38.22"/>
    <n v="3822"/>
    <n v="764.40000000000009"/>
  </r>
  <r>
    <n v="51"/>
    <s v="CA-2016-115742"/>
    <x v="24"/>
    <d v="2016-04-22T00:00:00"/>
    <x v="1"/>
    <s v="DP-13000"/>
    <s v="Darren Powers"/>
    <s v="Consumer"/>
    <x v="2"/>
    <x v="1"/>
    <n v="75.180000000000007"/>
    <n v="7518.0000000000009"/>
    <n v="1503.6000000000004"/>
  </r>
  <r>
    <n v="52"/>
    <s v="CA-2016-115742"/>
    <x v="24"/>
    <d v="2016-04-22T00:00:00"/>
    <x v="1"/>
    <s v="DP-13000"/>
    <s v="Darren Powers"/>
    <s v="Consumer"/>
    <x v="2"/>
    <x v="0"/>
    <n v="6.16"/>
    <n v="616"/>
    <n v="123.2"/>
  </r>
  <r>
    <n v="53"/>
    <s v="CA-2016-115742"/>
    <x v="24"/>
    <d v="2016-04-22T00:00:00"/>
    <x v="1"/>
    <s v="DP-13000"/>
    <s v="Darren Powers"/>
    <s v="Consumer"/>
    <x v="2"/>
    <x v="0"/>
    <n v="89.99"/>
    <n v="8999"/>
    <n v="1799.8000000000002"/>
  </r>
  <r>
    <n v="54"/>
    <s v="CA-2017-105816"/>
    <x v="25"/>
    <d v="2017-12-17T00:00:00"/>
    <x v="1"/>
    <s v="JM-15265"/>
    <s v="Janet Molinari"/>
    <s v="Corporate"/>
    <x v="3"/>
    <x v="1"/>
    <n v="15.26"/>
    <n v="1526"/>
    <n v="305.2"/>
  </r>
  <r>
    <n v="55"/>
    <s v="CA-2017-105816"/>
    <x v="25"/>
    <d v="2017-12-17T00:00:00"/>
    <x v="1"/>
    <s v="JM-15265"/>
    <s v="Janet Molinari"/>
    <s v="Corporate"/>
    <x v="3"/>
    <x v="2"/>
    <n v="1029.95"/>
    <n v="102995"/>
    <n v="20599"/>
  </r>
  <r>
    <n v="56"/>
    <s v="CA-2017-111682"/>
    <x v="26"/>
    <d v="2017-06-18T00:00:00"/>
    <x v="2"/>
    <s v="TB-21055"/>
    <s v="Ted Butterfield"/>
    <s v="Consumer"/>
    <x v="3"/>
    <x v="1"/>
    <n v="208.56"/>
    <n v="20856"/>
    <n v="4171.2"/>
  </r>
  <r>
    <n v="57"/>
    <s v="CA-2017-111682"/>
    <x v="26"/>
    <d v="2017-06-18T00:00:00"/>
    <x v="2"/>
    <s v="TB-21055"/>
    <s v="Ted Butterfield"/>
    <s v="Consumer"/>
    <x v="3"/>
    <x v="1"/>
    <n v="32.4"/>
    <n v="3240"/>
    <n v="648"/>
  </r>
  <r>
    <n v="58"/>
    <s v="CA-2017-111682"/>
    <x v="26"/>
    <d v="2017-06-18T00:00:00"/>
    <x v="2"/>
    <s v="TB-21055"/>
    <s v="Ted Butterfield"/>
    <s v="Consumer"/>
    <x v="3"/>
    <x v="0"/>
    <n v="319.41000000000003"/>
    <n v="31941.000000000004"/>
    <n v="6388.2000000000007"/>
  </r>
  <r>
    <n v="59"/>
    <s v="CA-2017-111682"/>
    <x v="26"/>
    <d v="2017-06-18T00:00:00"/>
    <x v="2"/>
    <s v="TB-21055"/>
    <s v="Ted Butterfield"/>
    <s v="Consumer"/>
    <x v="3"/>
    <x v="1"/>
    <n v="14.56"/>
    <n v="1456"/>
    <n v="291.2"/>
  </r>
  <r>
    <n v="60"/>
    <s v="CA-2017-111682"/>
    <x v="26"/>
    <d v="2017-06-18T00:00:00"/>
    <x v="2"/>
    <s v="TB-21055"/>
    <s v="Ted Butterfield"/>
    <s v="Consumer"/>
    <x v="3"/>
    <x v="2"/>
    <n v="30"/>
    <n v="3000"/>
    <n v="600"/>
  </r>
  <r>
    <n v="61"/>
    <s v="CA-2017-111682"/>
    <x v="26"/>
    <d v="2017-06-18T00:00:00"/>
    <x v="2"/>
    <s v="TB-21055"/>
    <s v="Ted Butterfield"/>
    <s v="Consumer"/>
    <x v="3"/>
    <x v="1"/>
    <n v="48.48"/>
    <n v="4848"/>
    <n v="969.6"/>
  </r>
  <r>
    <n v="62"/>
    <s v="CA-2017-111682"/>
    <x v="26"/>
    <d v="2017-06-18T00:00:00"/>
    <x v="2"/>
    <s v="TB-21055"/>
    <s v="Ted Butterfield"/>
    <s v="Consumer"/>
    <x v="3"/>
    <x v="1"/>
    <n v="1.68"/>
    <n v="168"/>
    <n v="33.6"/>
  </r>
  <r>
    <n v="63"/>
    <s v="CA-2016-135545"/>
    <x v="27"/>
    <d v="2016-11-30T00:00:00"/>
    <x v="1"/>
    <s v="KM-16720"/>
    <s v="Kunst Miller"/>
    <s v="Consumer"/>
    <x v="1"/>
    <x v="2"/>
    <n v="13.98"/>
    <n v="1398"/>
    <n v="279.60000000000002"/>
  </r>
  <r>
    <n v="64"/>
    <s v="CA-2016-135545"/>
    <x v="27"/>
    <d v="2016-11-30T00:00:00"/>
    <x v="1"/>
    <s v="KM-16720"/>
    <s v="Kunst Miller"/>
    <s v="Consumer"/>
    <x v="1"/>
    <x v="1"/>
    <n v="25.824000000000002"/>
    <n v="2582.4"/>
    <n v="516.48"/>
  </r>
  <r>
    <n v="65"/>
    <s v="CA-2016-135545"/>
    <x v="27"/>
    <d v="2016-11-30T00:00:00"/>
    <x v="1"/>
    <s v="KM-16720"/>
    <s v="Kunst Miller"/>
    <s v="Consumer"/>
    <x v="1"/>
    <x v="1"/>
    <n v="146.72999999999999"/>
    <n v="14672.999999999998"/>
    <n v="2934.6"/>
  </r>
  <r>
    <n v="66"/>
    <s v="CA-2016-135545"/>
    <x v="27"/>
    <d v="2016-11-30T00:00:00"/>
    <x v="1"/>
    <s v="KM-16720"/>
    <s v="Kunst Miller"/>
    <s v="Consumer"/>
    <x v="1"/>
    <x v="0"/>
    <n v="79.760000000000005"/>
    <n v="7976.0000000000009"/>
    <n v="1595.2000000000003"/>
  </r>
  <r>
    <n v="67"/>
    <s v="US-2016-164175"/>
    <x v="28"/>
    <d v="2016-05-05T00:00:00"/>
    <x v="1"/>
    <s v="PS-18970"/>
    <s v="Paul Stevenson"/>
    <s v="Home Office"/>
    <x v="2"/>
    <x v="0"/>
    <n v="213.11500000000001"/>
    <n v="21311.5"/>
    <n v="4262.3"/>
  </r>
  <r>
    <n v="68"/>
    <s v="CA-2015-106376"/>
    <x v="29"/>
    <d v="2015-12-10T00:00:00"/>
    <x v="1"/>
    <s v="BS-11590"/>
    <s v="Brendan Sweed"/>
    <s v="Corporate"/>
    <x v="1"/>
    <x v="1"/>
    <n v="1113.0239999999999"/>
    <n v="111302.39999999999"/>
    <n v="22260.48"/>
  </r>
  <r>
    <n v="69"/>
    <s v="CA-2015-106376"/>
    <x v="29"/>
    <d v="2015-12-10T00:00:00"/>
    <x v="1"/>
    <s v="BS-11590"/>
    <s v="Brendan Sweed"/>
    <s v="Corporate"/>
    <x v="1"/>
    <x v="2"/>
    <n v="167.96799999999999"/>
    <n v="16796.8"/>
    <n v="3359.36"/>
  </r>
  <r>
    <n v="70"/>
    <s v="CA-2017-119823"/>
    <x v="30"/>
    <d v="2017-06-06T00:00:00"/>
    <x v="2"/>
    <s v="KD-16270"/>
    <s v="Karen Daniels"/>
    <s v="Consumer"/>
    <x v="0"/>
    <x v="1"/>
    <n v="75.88"/>
    <n v="7588"/>
    <n v="1517.6000000000001"/>
  </r>
  <r>
    <n v="71"/>
    <s v="CA-2017-106075"/>
    <x v="31"/>
    <d v="2017-09-23T00:00:00"/>
    <x v="1"/>
    <s v="HM-14980"/>
    <s v="Henry MacAllister"/>
    <s v="Consumer"/>
    <x v="3"/>
    <x v="1"/>
    <n v="4.6159999999999997"/>
    <n v="461.59999999999997"/>
    <n v="92.32"/>
  </r>
  <r>
    <n v="72"/>
    <s v="CA-2018-114440"/>
    <x v="32"/>
    <d v="2018-09-17T00:00:00"/>
    <x v="0"/>
    <s v="TB-21520"/>
    <s v="Tracy Blumstein"/>
    <s v="Consumer"/>
    <x v="2"/>
    <x v="1"/>
    <n v="19.05"/>
    <n v="1905"/>
    <n v="381"/>
  </r>
  <r>
    <n v="73"/>
    <s v="US-2016-134026"/>
    <x v="33"/>
    <d v="2016-05-02T00:00:00"/>
    <x v="1"/>
    <s v="JE-15745"/>
    <s v="Joel Eaton"/>
    <s v="Consumer"/>
    <x v="0"/>
    <x v="0"/>
    <n v="831.93600000000004"/>
    <n v="83193.600000000006"/>
    <n v="16638.72"/>
  </r>
  <r>
    <n v="74"/>
    <s v="US-2016-134026"/>
    <x v="33"/>
    <d v="2016-05-02T00:00:00"/>
    <x v="1"/>
    <s v="JE-15745"/>
    <s v="Joel Eaton"/>
    <s v="Consumer"/>
    <x v="0"/>
    <x v="0"/>
    <n v="97.04"/>
    <n v="9704"/>
    <n v="1940.8000000000002"/>
  </r>
  <r>
    <n v="75"/>
    <s v="US-2016-134026"/>
    <x v="33"/>
    <d v="2016-05-02T00:00:00"/>
    <x v="1"/>
    <s v="JE-15745"/>
    <s v="Joel Eaton"/>
    <s v="Consumer"/>
    <x v="0"/>
    <x v="1"/>
    <n v="72.784000000000006"/>
    <n v="7278.4000000000005"/>
    <n v="1455.6800000000003"/>
  </r>
  <r>
    <n v="76"/>
    <s v="US-2018-118038"/>
    <x v="34"/>
    <d v="2018-12-11T00:00:00"/>
    <x v="2"/>
    <s v="KB-16600"/>
    <s v="Ken Brennan"/>
    <s v="Corporate"/>
    <x v="2"/>
    <x v="1"/>
    <n v="1.248"/>
    <n v="124.8"/>
    <n v="24.96"/>
  </r>
  <r>
    <n v="77"/>
    <s v="US-2018-118038"/>
    <x v="34"/>
    <d v="2018-12-11T00:00:00"/>
    <x v="2"/>
    <s v="KB-16600"/>
    <s v="Ken Brennan"/>
    <s v="Corporate"/>
    <x v="2"/>
    <x v="0"/>
    <n v="9.7080000000000002"/>
    <n v="970.80000000000007"/>
    <n v="194.16000000000003"/>
  </r>
  <r>
    <n v="78"/>
    <s v="US-2018-118038"/>
    <x v="34"/>
    <d v="2018-12-11T00:00:00"/>
    <x v="2"/>
    <s v="KB-16600"/>
    <s v="Ken Brennan"/>
    <s v="Corporate"/>
    <x v="2"/>
    <x v="1"/>
    <n v="27.24"/>
    <n v="2724"/>
    <n v="544.80000000000007"/>
  </r>
  <r>
    <n v="79"/>
    <s v="US-2015-147606"/>
    <x v="35"/>
    <d v="2015-12-01T00:00:00"/>
    <x v="0"/>
    <s v="JE-15745"/>
    <s v="Joel Eaton"/>
    <s v="Consumer"/>
    <x v="2"/>
    <x v="0"/>
    <n v="19.3"/>
    <n v="1930"/>
    <n v="386"/>
  </r>
  <r>
    <n v="80"/>
    <s v="CA-2017-127208"/>
    <x v="1"/>
    <d v="2017-06-15T00:00:00"/>
    <x v="2"/>
    <s v="SC-20770"/>
    <s v="Stewart Carmichael"/>
    <s v="Corporate"/>
    <x v="0"/>
    <x v="1"/>
    <n v="208.16"/>
    <n v="20816"/>
    <n v="4163.2"/>
  </r>
  <r>
    <n v="81"/>
    <s v="CA-2017-127208"/>
    <x v="1"/>
    <d v="2017-06-15T00:00:00"/>
    <x v="2"/>
    <s v="SC-20770"/>
    <s v="Stewart Carmichael"/>
    <s v="Corporate"/>
    <x v="0"/>
    <x v="1"/>
    <n v="16.739999999999998"/>
    <n v="1673.9999999999998"/>
    <n v="334.79999999999995"/>
  </r>
  <r>
    <n v="82"/>
    <s v="CA-2015-139451"/>
    <x v="36"/>
    <d v="2015-10-16T00:00:00"/>
    <x v="1"/>
    <s v="DN-13690"/>
    <s v="Duane Noonan"/>
    <s v="Consumer"/>
    <x v="1"/>
    <x v="1"/>
    <n v="14.9"/>
    <n v="1490"/>
    <n v="298"/>
  </r>
  <r>
    <n v="83"/>
    <s v="CA-2015-139451"/>
    <x v="36"/>
    <d v="2015-10-16T00:00:00"/>
    <x v="1"/>
    <s v="DN-13690"/>
    <s v="Duane Noonan"/>
    <s v="Consumer"/>
    <x v="1"/>
    <x v="1"/>
    <n v="21.39"/>
    <n v="2139"/>
    <n v="427.8"/>
  </r>
  <r>
    <n v="84"/>
    <s v="CA-2016-149734"/>
    <x v="37"/>
    <d v="2016-09-08T00:00:00"/>
    <x v="1"/>
    <s v="JC-16105"/>
    <s v="Julie Creighton"/>
    <s v="Corporate"/>
    <x v="0"/>
    <x v="1"/>
    <n v="200.98400000000001"/>
    <n v="20098.400000000001"/>
    <n v="4019.6800000000003"/>
  </r>
  <r>
    <n v="85"/>
    <s v="US-2018-119662"/>
    <x v="38"/>
    <d v="2018-11-16T00:00:00"/>
    <x v="2"/>
    <s v="CS-12400"/>
    <s v="Christopher Schild"/>
    <s v="Home Office"/>
    <x v="2"/>
    <x v="1"/>
    <n v="230.376"/>
    <n v="23037.600000000002"/>
    <n v="4607.5200000000004"/>
  </r>
  <r>
    <n v="86"/>
    <s v="CA-2018-140088"/>
    <x v="39"/>
    <d v="2018-05-30T00:00:00"/>
    <x v="0"/>
    <s v="PO-18865"/>
    <s v="Patrick O'Donnell"/>
    <s v="Consumer"/>
    <x v="0"/>
    <x v="0"/>
    <n v="301.95999999999998"/>
    <n v="30195.999999999996"/>
    <n v="6039.2"/>
  </r>
  <r>
    <n v="87"/>
    <s v="CA-2018-155558"/>
    <x v="40"/>
    <d v="2018-11-02T00:00:00"/>
    <x v="1"/>
    <s v="PG-18895"/>
    <s v="Paul Gonzalez"/>
    <s v="Consumer"/>
    <x v="2"/>
    <x v="2"/>
    <n v="19.989999999999998"/>
    <n v="1998.9999999999998"/>
    <n v="399.79999999999995"/>
  </r>
  <r>
    <n v="88"/>
    <s v="CA-2018-155558"/>
    <x v="40"/>
    <d v="2018-11-02T00:00:00"/>
    <x v="1"/>
    <s v="PG-18895"/>
    <s v="Paul Gonzalez"/>
    <s v="Consumer"/>
    <x v="2"/>
    <x v="1"/>
    <n v="6.16"/>
    <n v="616"/>
    <n v="123.2"/>
  </r>
  <r>
    <n v="89"/>
    <s v="CA-2017-159695"/>
    <x v="41"/>
    <d v="2017-04-10T00:00:00"/>
    <x v="0"/>
    <s v="GM-14455"/>
    <s v="Gary Mitchum"/>
    <s v="Home Office"/>
    <x v="2"/>
    <x v="1"/>
    <n v="158.36799999999999"/>
    <n v="15836.8"/>
    <n v="3167.36"/>
  </r>
  <r>
    <n v="90"/>
    <s v="CA-2017-109806"/>
    <x v="42"/>
    <d v="2017-09-22T00:00:00"/>
    <x v="1"/>
    <s v="JS-15685"/>
    <s v="Jim Sink"/>
    <s v="Corporate"/>
    <x v="1"/>
    <x v="1"/>
    <n v="20.100000000000001"/>
    <n v="2010.0000000000002"/>
    <n v="402.00000000000006"/>
  </r>
  <r>
    <n v="91"/>
    <s v="CA-2017-109806"/>
    <x v="42"/>
    <d v="2017-09-22T00:00:00"/>
    <x v="1"/>
    <s v="JS-15685"/>
    <s v="Jim Sink"/>
    <s v="Corporate"/>
    <x v="1"/>
    <x v="2"/>
    <n v="73.584000000000003"/>
    <n v="7358.4000000000005"/>
    <n v="1471.6800000000003"/>
  </r>
  <r>
    <n v="92"/>
    <s v="CA-2017-109806"/>
    <x v="42"/>
    <d v="2017-09-22T00:00:00"/>
    <x v="1"/>
    <s v="JS-15685"/>
    <s v="Jim Sink"/>
    <s v="Corporate"/>
    <x v="1"/>
    <x v="1"/>
    <n v="6.48"/>
    <n v="648"/>
    <n v="129.6"/>
  </r>
  <r>
    <n v="93"/>
    <s v="CA-2016-149587"/>
    <x v="43"/>
    <d v="2016-02-05T00:00:00"/>
    <x v="0"/>
    <s v="KB-16315"/>
    <s v="Karl Braun"/>
    <s v="Consumer"/>
    <x v="2"/>
    <x v="1"/>
    <n v="12.96"/>
    <n v="1296"/>
    <n v="259.2"/>
  </r>
  <r>
    <n v="94"/>
    <s v="CA-2016-149587"/>
    <x v="43"/>
    <d v="2016-02-05T00:00:00"/>
    <x v="0"/>
    <s v="KB-16315"/>
    <s v="Karl Braun"/>
    <s v="Consumer"/>
    <x v="2"/>
    <x v="0"/>
    <n v="53.34"/>
    <n v="5334"/>
    <n v="1066.8"/>
  </r>
  <r>
    <n v="95"/>
    <s v="CA-2016-149587"/>
    <x v="43"/>
    <d v="2016-02-05T00:00:00"/>
    <x v="0"/>
    <s v="KB-16315"/>
    <s v="Karl Braun"/>
    <s v="Consumer"/>
    <x v="2"/>
    <x v="1"/>
    <n v="32.96"/>
    <n v="3296"/>
    <n v="659.2"/>
  </r>
  <r>
    <n v="96"/>
    <s v="US-2018-109484"/>
    <x v="44"/>
    <d v="2018-11-12T00:00:00"/>
    <x v="1"/>
    <s v="RB-19705"/>
    <s v="Roger Barcio"/>
    <s v="Home Office"/>
    <x v="1"/>
    <x v="1"/>
    <n v="5.6820000000000004"/>
    <n v="568.20000000000005"/>
    <n v="113.64000000000001"/>
  </r>
  <r>
    <n v="97"/>
    <s v="CA-2018-161018"/>
    <x v="45"/>
    <d v="2018-11-11T00:00:00"/>
    <x v="0"/>
    <s v="PN-18775"/>
    <s v="Parhena Norris"/>
    <s v="Home Office"/>
    <x v="3"/>
    <x v="0"/>
    <n v="96.53"/>
    <n v="9653"/>
    <n v="1930.6000000000001"/>
  </r>
  <r>
    <n v="98"/>
    <s v="CA-2018-157833"/>
    <x v="46"/>
    <d v="2018-06-20T00:00:00"/>
    <x v="2"/>
    <s v="KD-16345"/>
    <s v="Katherine Ducich"/>
    <s v="Consumer"/>
    <x v="1"/>
    <x v="1"/>
    <n v="51.311999999999998"/>
    <n v="5131.2"/>
    <n v="1026.24"/>
  </r>
  <r>
    <n v="99"/>
    <s v="CA-2017-149223"/>
    <x v="47"/>
    <d v="2017-09-11T00:00:00"/>
    <x v="1"/>
    <s v="ER-13855"/>
    <s v="Elpida Rittenbach"/>
    <s v="Corporate"/>
    <x v="2"/>
    <x v="1"/>
    <n v="77.88"/>
    <n v="7788"/>
    <n v="1557.6000000000001"/>
  </r>
  <r>
    <n v="100"/>
    <s v="CA-2017-158568"/>
    <x v="48"/>
    <d v="2017-09-02T00:00:00"/>
    <x v="1"/>
    <s v="RB-19465"/>
    <s v="Rick Bensley"/>
    <s v="Home Office"/>
    <x v="2"/>
    <x v="1"/>
    <n v="64.623999999999995"/>
    <n v="6462.4"/>
    <n v="1292.48"/>
  </r>
  <r>
    <n v="101"/>
    <s v="CA-2017-158568"/>
    <x v="48"/>
    <d v="2017-09-02T00:00:00"/>
    <x v="1"/>
    <s v="RB-19465"/>
    <s v="Rick Bensley"/>
    <s v="Home Office"/>
    <x v="2"/>
    <x v="2"/>
    <n v="95.975999999999999"/>
    <n v="9597.6"/>
    <n v="1919.5200000000002"/>
  </r>
  <r>
    <n v="102"/>
    <s v="CA-2017-158568"/>
    <x v="48"/>
    <d v="2017-09-02T00:00:00"/>
    <x v="1"/>
    <s v="RB-19465"/>
    <s v="Rick Bensley"/>
    <s v="Home Office"/>
    <x v="2"/>
    <x v="1"/>
    <n v="1.788"/>
    <n v="178.8"/>
    <n v="35.760000000000005"/>
  </r>
  <r>
    <n v="103"/>
    <s v="CA-2017-129903"/>
    <x v="49"/>
    <d v="2017-12-04T00:00:00"/>
    <x v="0"/>
    <s v="GZ-14470"/>
    <s v="Gary Zandusky"/>
    <s v="Consumer"/>
    <x v="2"/>
    <x v="1"/>
    <n v="23.92"/>
    <n v="2392"/>
    <n v="478.40000000000003"/>
  </r>
  <r>
    <n v="104"/>
    <s v="US-2016-156867"/>
    <x v="50"/>
    <d v="2016-11-17T00:00:00"/>
    <x v="1"/>
    <s v="LC-16870"/>
    <s v="Lena Cacioppo"/>
    <s v="Consumer"/>
    <x v="1"/>
    <x v="2"/>
    <n v="238.89599999999999"/>
    <n v="23889.599999999999"/>
    <n v="4777.92"/>
  </r>
  <r>
    <n v="105"/>
    <s v="US-2016-156867"/>
    <x v="50"/>
    <d v="2016-11-17T00:00:00"/>
    <x v="1"/>
    <s v="LC-16870"/>
    <s v="Lena Cacioppo"/>
    <s v="Consumer"/>
    <x v="1"/>
    <x v="0"/>
    <n v="102.36"/>
    <n v="10236"/>
    <n v="2047.2"/>
  </r>
  <r>
    <n v="106"/>
    <s v="US-2016-156867"/>
    <x v="50"/>
    <d v="2016-11-17T00:00:00"/>
    <x v="1"/>
    <s v="LC-16870"/>
    <s v="Lena Cacioppo"/>
    <s v="Consumer"/>
    <x v="1"/>
    <x v="1"/>
    <n v="36.881999999999998"/>
    <n v="3688.2"/>
    <n v="737.64"/>
  </r>
  <r>
    <n v="107"/>
    <s v="CA-2018-119004"/>
    <x v="51"/>
    <d v="2018-11-28T00:00:00"/>
    <x v="1"/>
    <s v="JM-15250"/>
    <s v="Janet Martin"/>
    <s v="Consumer"/>
    <x v="0"/>
    <x v="2"/>
    <n v="74.111999999999995"/>
    <n v="7411.2"/>
    <n v="1482.24"/>
  </r>
  <r>
    <n v="108"/>
    <s v="CA-2018-119004"/>
    <x v="51"/>
    <d v="2018-11-28T00:00:00"/>
    <x v="1"/>
    <s v="JM-15250"/>
    <s v="Janet Martin"/>
    <s v="Consumer"/>
    <x v="0"/>
    <x v="2"/>
    <n v="27.992000000000001"/>
    <n v="2799.2000000000003"/>
    <n v="559.84"/>
  </r>
  <r>
    <n v="109"/>
    <s v="CA-2018-119004"/>
    <x v="51"/>
    <d v="2018-11-28T00:00:00"/>
    <x v="1"/>
    <s v="JM-15250"/>
    <s v="Janet Martin"/>
    <s v="Consumer"/>
    <x v="0"/>
    <x v="1"/>
    <n v="3.3039999999999998"/>
    <n v="330.4"/>
    <n v="66.08"/>
  </r>
  <r>
    <n v="110"/>
    <s v="CA-2016-129476"/>
    <x v="52"/>
    <d v="2016-10-20T00:00:00"/>
    <x v="1"/>
    <s v="PA-19060"/>
    <s v="Pete Armstrong"/>
    <s v="Home Office"/>
    <x v="2"/>
    <x v="2"/>
    <n v="339.96"/>
    <n v="33996"/>
    <n v="6799.2000000000007"/>
  </r>
  <r>
    <n v="111"/>
    <s v="CA-2018-146780"/>
    <x v="53"/>
    <d v="2018-12-30T00:00:00"/>
    <x v="1"/>
    <s v="CV-12805"/>
    <s v="Cynthia Voltz"/>
    <s v="Corporate"/>
    <x v="3"/>
    <x v="0"/>
    <n v="41.96"/>
    <n v="4196"/>
    <n v="839.2"/>
  </r>
  <r>
    <n v="112"/>
    <s v="CA-2017-128867"/>
    <x v="54"/>
    <d v="2017-11-10T00:00:00"/>
    <x v="1"/>
    <s v="CL-12565"/>
    <s v="Clay Ludtke"/>
    <s v="Consumer"/>
    <x v="2"/>
    <x v="1"/>
    <n v="75.959999999999994"/>
    <n v="7595.9999999999991"/>
    <n v="1519.1999999999998"/>
  </r>
  <r>
    <n v="113"/>
    <s v="CA-2017-128867"/>
    <x v="54"/>
    <d v="2017-11-10T00:00:00"/>
    <x v="1"/>
    <s v="CL-12565"/>
    <s v="Clay Ludtke"/>
    <s v="Consumer"/>
    <x v="2"/>
    <x v="1"/>
    <n v="27.24"/>
    <n v="2724"/>
    <n v="544.80000000000007"/>
  </r>
  <r>
    <n v="114"/>
    <s v="CA-2015-115259"/>
    <x v="55"/>
    <d v="2015-08-27T00:00:00"/>
    <x v="0"/>
    <s v="RC-19960"/>
    <s v="Ryan Crowe"/>
    <s v="Consumer"/>
    <x v="3"/>
    <x v="1"/>
    <n v="40.095999999999997"/>
    <n v="4009.5999999999995"/>
    <n v="801.92"/>
  </r>
  <r>
    <n v="115"/>
    <s v="CA-2015-115259"/>
    <x v="55"/>
    <d v="2015-08-27T00:00:00"/>
    <x v="0"/>
    <s v="RC-19960"/>
    <s v="Ryan Crowe"/>
    <s v="Consumer"/>
    <x v="3"/>
    <x v="1"/>
    <n v="4.72"/>
    <n v="472"/>
    <n v="94.4"/>
  </r>
  <r>
    <n v="116"/>
    <s v="CA-2015-115259"/>
    <x v="55"/>
    <d v="2015-08-27T00:00:00"/>
    <x v="0"/>
    <s v="RC-19960"/>
    <s v="Ryan Crowe"/>
    <s v="Consumer"/>
    <x v="3"/>
    <x v="1"/>
    <n v="23.975999999999999"/>
    <n v="2397.6"/>
    <n v="479.52"/>
  </r>
  <r>
    <n v="117"/>
    <s v="CA-2015-115259"/>
    <x v="55"/>
    <d v="2015-08-27T00:00:00"/>
    <x v="0"/>
    <s v="RC-19960"/>
    <s v="Ryan Crowe"/>
    <s v="Consumer"/>
    <x v="3"/>
    <x v="1"/>
    <n v="130.464"/>
    <n v="13046.4"/>
    <n v="2609.2800000000002"/>
  </r>
  <r>
    <n v="118"/>
    <s v="CA-2016-110457"/>
    <x v="56"/>
    <d v="2016-03-06T00:00:00"/>
    <x v="1"/>
    <s v="DK-13090"/>
    <s v="Dave Kipp"/>
    <s v="Consumer"/>
    <x v="1"/>
    <x v="0"/>
    <n v="787.53"/>
    <n v="78753"/>
    <n v="15750.6"/>
  </r>
  <r>
    <n v="119"/>
    <s v="US-2016-136476"/>
    <x v="57"/>
    <d v="2016-04-10T00:00:00"/>
    <x v="1"/>
    <s v="GG-14650"/>
    <s v="Greg Guthrie"/>
    <s v="Corporate"/>
    <x v="0"/>
    <x v="1"/>
    <n v="157.79400000000001"/>
    <n v="15779.400000000001"/>
    <n v="3155.8800000000006"/>
  </r>
  <r>
    <n v="120"/>
    <s v="CA-2017-103730"/>
    <x v="1"/>
    <d v="2017-06-15T00:00:00"/>
    <x v="2"/>
    <s v="SC-20725"/>
    <s v="Steven Cartwright"/>
    <s v="Consumer"/>
    <x v="3"/>
    <x v="0"/>
    <n v="47.04"/>
    <n v="4704"/>
    <n v="940.80000000000007"/>
  </r>
  <r>
    <n v="121"/>
    <s v="CA-2017-103730"/>
    <x v="1"/>
    <d v="2017-06-15T00:00:00"/>
    <x v="2"/>
    <s v="SC-20725"/>
    <s v="Steven Cartwright"/>
    <s v="Consumer"/>
    <x v="3"/>
    <x v="1"/>
    <n v="30.84"/>
    <n v="3084"/>
    <n v="616.80000000000007"/>
  </r>
  <r>
    <n v="122"/>
    <s v="CA-2017-103730"/>
    <x v="1"/>
    <d v="2017-06-15T00:00:00"/>
    <x v="2"/>
    <s v="SC-20725"/>
    <s v="Steven Cartwright"/>
    <s v="Consumer"/>
    <x v="3"/>
    <x v="1"/>
    <n v="226.56"/>
    <n v="22656"/>
    <n v="4531.2"/>
  </r>
  <r>
    <n v="123"/>
    <s v="CA-2017-103730"/>
    <x v="1"/>
    <d v="2017-06-15T00:00:00"/>
    <x v="2"/>
    <s v="SC-20725"/>
    <s v="Steven Cartwright"/>
    <s v="Consumer"/>
    <x v="3"/>
    <x v="1"/>
    <n v="115.02"/>
    <n v="11502"/>
    <n v="2300.4"/>
  </r>
  <r>
    <n v="124"/>
    <s v="CA-2017-103730"/>
    <x v="1"/>
    <d v="2017-06-15T00:00:00"/>
    <x v="2"/>
    <s v="SC-20725"/>
    <s v="Steven Cartwright"/>
    <s v="Consumer"/>
    <x v="3"/>
    <x v="2"/>
    <n v="68.040000000000006"/>
    <n v="6804.0000000000009"/>
    <n v="1360.8000000000002"/>
  </r>
  <r>
    <n v="125"/>
    <s v="US-2015-152030"/>
    <x v="58"/>
    <d v="2015-12-28T00:00:00"/>
    <x v="0"/>
    <s v="AD-10180"/>
    <s v="Alan Dominguez"/>
    <s v="Home Office"/>
    <x v="2"/>
    <x v="0"/>
    <n v="600.55799999999999"/>
    <n v="60055.8"/>
    <n v="12011.160000000002"/>
  </r>
  <r>
    <n v="126"/>
    <s v="US-2015-134614"/>
    <x v="59"/>
    <d v="2015-09-25T00:00:00"/>
    <x v="1"/>
    <s v="PF-19165"/>
    <s v="Philip Fox"/>
    <s v="Consumer"/>
    <x v="2"/>
    <x v="0"/>
    <n v="617.70000000000005"/>
    <n v="61770.000000000007"/>
    <n v="12354.000000000002"/>
  </r>
  <r>
    <n v="127"/>
    <s v="US-2018-107272"/>
    <x v="60"/>
    <d v="2018-11-12T00:00:00"/>
    <x v="1"/>
    <s v="TS-21610"/>
    <s v="Troy Staebel"/>
    <s v="Consumer"/>
    <x v="1"/>
    <x v="1"/>
    <n v="2.3879999999999999"/>
    <n v="238.79999999999998"/>
    <n v="47.76"/>
  </r>
  <r>
    <n v="128"/>
    <s v="US-2018-107272"/>
    <x v="60"/>
    <d v="2018-11-12T00:00:00"/>
    <x v="1"/>
    <s v="TS-21610"/>
    <s v="Troy Staebel"/>
    <s v="Consumer"/>
    <x v="1"/>
    <x v="1"/>
    <n v="243.99199999999999"/>
    <n v="24399.200000000001"/>
    <n v="4879.84"/>
  </r>
  <r>
    <n v="129"/>
    <s v="US-2017-125969"/>
    <x v="61"/>
    <d v="2017-11-10T00:00:00"/>
    <x v="0"/>
    <s v="LS-16975"/>
    <s v="Lindsay Shagiari"/>
    <s v="Home Office"/>
    <x v="1"/>
    <x v="0"/>
    <n v="81.424000000000007"/>
    <n v="8142.4000000000005"/>
    <n v="1628.4800000000002"/>
  </r>
  <r>
    <n v="130"/>
    <s v="US-2017-125969"/>
    <x v="61"/>
    <d v="2017-11-10T00:00:00"/>
    <x v="0"/>
    <s v="LS-16975"/>
    <s v="Lindsay Shagiari"/>
    <s v="Home Office"/>
    <x v="1"/>
    <x v="0"/>
    <n v="238.56"/>
    <n v="23856"/>
    <n v="4771.2"/>
  </r>
  <r>
    <n v="131"/>
    <s v="US-2018-164147"/>
    <x v="62"/>
    <d v="2018-02-05T00:00:00"/>
    <x v="2"/>
    <s v="DW-13585"/>
    <s v="Dorothy Wardle"/>
    <s v="Corporate"/>
    <x v="3"/>
    <x v="2"/>
    <n v="59.97"/>
    <n v="5997"/>
    <n v="1199.4000000000001"/>
  </r>
  <r>
    <n v="132"/>
    <s v="US-2018-164147"/>
    <x v="62"/>
    <d v="2018-02-05T00:00:00"/>
    <x v="2"/>
    <s v="DW-13585"/>
    <s v="Dorothy Wardle"/>
    <s v="Corporate"/>
    <x v="3"/>
    <x v="1"/>
    <n v="78.304000000000002"/>
    <n v="7830.4000000000005"/>
    <n v="1566.0800000000002"/>
  </r>
  <r>
    <n v="133"/>
    <s v="US-2018-164147"/>
    <x v="62"/>
    <d v="2018-02-05T00:00:00"/>
    <x v="2"/>
    <s v="DW-13585"/>
    <s v="Dorothy Wardle"/>
    <s v="Corporate"/>
    <x v="3"/>
    <x v="1"/>
    <n v="21.456"/>
    <n v="2145.6"/>
    <n v="429.12"/>
  </r>
  <r>
    <n v="134"/>
    <s v="CA-2017-145583"/>
    <x v="63"/>
    <d v="2017-10-19T00:00:00"/>
    <x v="1"/>
    <s v="LC-16885"/>
    <s v="Lena Creighton"/>
    <s v="Consumer"/>
    <x v="1"/>
    <x v="1"/>
    <n v="20.04"/>
    <n v="2004"/>
    <n v="400.8"/>
  </r>
  <r>
    <n v="135"/>
    <s v="CA-2017-145583"/>
    <x v="63"/>
    <d v="2017-10-19T00:00:00"/>
    <x v="1"/>
    <s v="LC-16885"/>
    <s v="Lena Creighton"/>
    <s v="Consumer"/>
    <x v="1"/>
    <x v="1"/>
    <n v="35.44"/>
    <n v="3544"/>
    <n v="708.80000000000007"/>
  </r>
  <r>
    <n v="136"/>
    <s v="CA-2017-145583"/>
    <x v="63"/>
    <d v="2017-10-19T00:00:00"/>
    <x v="1"/>
    <s v="LC-16885"/>
    <s v="Lena Creighton"/>
    <s v="Consumer"/>
    <x v="1"/>
    <x v="1"/>
    <n v="11.52"/>
    <n v="1152"/>
    <n v="230.4"/>
  </r>
  <r>
    <n v="137"/>
    <s v="CA-2017-145583"/>
    <x v="63"/>
    <d v="2017-10-19T00:00:00"/>
    <x v="1"/>
    <s v="LC-16885"/>
    <s v="Lena Creighton"/>
    <s v="Consumer"/>
    <x v="1"/>
    <x v="1"/>
    <n v="4.0199999999999996"/>
    <n v="401.99999999999994"/>
    <n v="80.399999999999991"/>
  </r>
  <r>
    <n v="138"/>
    <s v="CA-2017-145583"/>
    <x v="63"/>
    <d v="2017-10-19T00:00:00"/>
    <x v="1"/>
    <s v="LC-16885"/>
    <s v="Lena Creighton"/>
    <s v="Consumer"/>
    <x v="1"/>
    <x v="1"/>
    <n v="76.176000000000002"/>
    <n v="7617.6"/>
    <n v="1523.5200000000002"/>
  </r>
  <r>
    <n v="139"/>
    <s v="CA-2017-145583"/>
    <x v="63"/>
    <d v="2017-10-19T00:00:00"/>
    <x v="1"/>
    <s v="LC-16885"/>
    <s v="Lena Creighton"/>
    <s v="Consumer"/>
    <x v="1"/>
    <x v="1"/>
    <n v="65.88"/>
    <n v="6588"/>
    <n v="1317.6000000000001"/>
  </r>
  <r>
    <n v="140"/>
    <s v="CA-2017-145583"/>
    <x v="63"/>
    <d v="2017-10-19T00:00:00"/>
    <x v="1"/>
    <s v="LC-16885"/>
    <s v="Lena Creighton"/>
    <s v="Consumer"/>
    <x v="1"/>
    <x v="0"/>
    <n v="43.12"/>
    <n v="4312"/>
    <n v="862.40000000000009"/>
  </r>
  <r>
    <n v="141"/>
    <s v="CA-2017-110366"/>
    <x v="64"/>
    <d v="2017-09-07T00:00:00"/>
    <x v="0"/>
    <s v="JD-15895"/>
    <s v="Jonathan Doherty"/>
    <s v="Corporate"/>
    <x v="3"/>
    <x v="0"/>
    <n v="82.8"/>
    <n v="8280"/>
    <n v="1656"/>
  </r>
  <r>
    <n v="142"/>
    <s v="CA-2018-106180"/>
    <x v="65"/>
    <d v="2018-09-23T00:00:00"/>
    <x v="1"/>
    <s v="SH-19975"/>
    <s v="Sally Hughsby"/>
    <s v="Corporate"/>
    <x v="1"/>
    <x v="1"/>
    <n v="8.82"/>
    <n v="882"/>
    <n v="176.4"/>
  </r>
  <r>
    <n v="143"/>
    <s v="CA-2018-106180"/>
    <x v="65"/>
    <d v="2018-09-23T00:00:00"/>
    <x v="1"/>
    <s v="SH-19975"/>
    <s v="Sally Hughsby"/>
    <s v="Corporate"/>
    <x v="1"/>
    <x v="1"/>
    <n v="10.86"/>
    <n v="1086"/>
    <n v="217.20000000000002"/>
  </r>
  <r>
    <n v="144"/>
    <s v="CA-2018-106180"/>
    <x v="65"/>
    <d v="2018-09-23T00:00:00"/>
    <x v="1"/>
    <s v="SH-19975"/>
    <s v="Sally Hughsby"/>
    <s v="Corporate"/>
    <x v="1"/>
    <x v="1"/>
    <n v="143.69999999999999"/>
    <n v="14369.999999999998"/>
    <n v="2874"/>
  </r>
  <r>
    <n v="145"/>
    <s v="CA-2018-155376"/>
    <x v="66"/>
    <d v="2018-12-27T00:00:00"/>
    <x v="1"/>
    <s v="SG-20080"/>
    <s v="Sandra Glassco"/>
    <s v="Consumer"/>
    <x v="2"/>
    <x v="1"/>
    <n v="839.43"/>
    <n v="83943"/>
    <n v="16788.600000000002"/>
  </r>
  <r>
    <n v="146"/>
    <s v="CA-2016-110744"/>
    <x v="67"/>
    <d v="2016-09-12T00:00:00"/>
    <x v="1"/>
    <s v="HA-14920"/>
    <s v="Helen Andreada"/>
    <s v="Consumer"/>
    <x v="1"/>
    <x v="1"/>
    <n v="671.93"/>
    <n v="67193"/>
    <n v="13438.6"/>
  </r>
  <r>
    <n v="147"/>
    <s v="CA-2015-110072"/>
    <x v="68"/>
    <d v="2015-10-28T00:00:00"/>
    <x v="1"/>
    <s v="MG-17680"/>
    <s v="Maureen Gastineau"/>
    <s v="Home Office"/>
    <x v="3"/>
    <x v="0"/>
    <n v="93.888000000000005"/>
    <n v="9388.8000000000011"/>
    <n v="1877.7600000000002"/>
  </r>
  <r>
    <n v="148"/>
    <s v="CA-2017-114489"/>
    <x v="5"/>
    <d v="2017-12-09T00:00:00"/>
    <x v="1"/>
    <s v="JE-16165"/>
    <s v="Justin Ellison"/>
    <s v="Corporate"/>
    <x v="2"/>
    <x v="2"/>
    <n v="384.45"/>
    <n v="38445"/>
    <n v="7689"/>
  </r>
  <r>
    <n v="149"/>
    <s v="CA-2017-114489"/>
    <x v="5"/>
    <d v="2017-12-09T00:00:00"/>
    <x v="1"/>
    <s v="JE-16165"/>
    <s v="Justin Ellison"/>
    <s v="Corporate"/>
    <x v="2"/>
    <x v="2"/>
    <n v="149.97"/>
    <n v="14997"/>
    <n v="2999.4"/>
  </r>
  <r>
    <n v="150"/>
    <s v="CA-2017-114489"/>
    <x v="5"/>
    <d v="2017-12-09T00:00:00"/>
    <x v="1"/>
    <s v="JE-16165"/>
    <s v="Justin Ellison"/>
    <s v="Corporate"/>
    <x v="2"/>
    <x v="0"/>
    <n v="1951.84"/>
    <n v="195184"/>
    <n v="39036.800000000003"/>
  </r>
  <r>
    <n v="151"/>
    <s v="CA-2017-114489"/>
    <x v="5"/>
    <d v="2017-12-09T00:00:00"/>
    <x v="1"/>
    <s v="JE-16165"/>
    <s v="Justin Ellison"/>
    <s v="Corporate"/>
    <x v="2"/>
    <x v="1"/>
    <n v="171.55"/>
    <n v="17155"/>
    <n v="3431"/>
  </r>
  <r>
    <n v="152"/>
    <s v="CA-2017-158834"/>
    <x v="69"/>
    <d v="2017-03-16T00:00:00"/>
    <x v="2"/>
    <s v="TW-21025"/>
    <s v="Tamara Willingham"/>
    <s v="Home Office"/>
    <x v="1"/>
    <x v="1"/>
    <n v="157.91999999999999"/>
    <n v="15791.999999999998"/>
    <n v="3158.3999999999996"/>
  </r>
  <r>
    <n v="153"/>
    <s v="CA-2017-158834"/>
    <x v="69"/>
    <d v="2017-03-16T00:00:00"/>
    <x v="2"/>
    <s v="TW-21025"/>
    <s v="Tamara Willingham"/>
    <s v="Home Office"/>
    <x v="1"/>
    <x v="2"/>
    <n v="203.184"/>
    <n v="20318.400000000001"/>
    <n v="4063.6800000000003"/>
  </r>
  <r>
    <n v="154"/>
    <s v="CA-2016-124919"/>
    <x v="70"/>
    <d v="2016-06-02T00:00:00"/>
    <x v="2"/>
    <s v="SP-20650"/>
    <s v="Stephanie Phelps"/>
    <s v="Corporate"/>
    <x v="1"/>
    <x v="1"/>
    <n v="58.38"/>
    <n v="5838"/>
    <n v="1167.6000000000001"/>
  </r>
  <r>
    <n v="155"/>
    <s v="CA-2016-124919"/>
    <x v="70"/>
    <d v="2016-06-02T00:00:00"/>
    <x v="2"/>
    <s v="SP-20650"/>
    <s v="Stephanie Phelps"/>
    <s v="Corporate"/>
    <x v="1"/>
    <x v="1"/>
    <n v="105.52"/>
    <n v="10552"/>
    <n v="2110.4"/>
  </r>
  <r>
    <n v="156"/>
    <s v="CA-2016-124919"/>
    <x v="70"/>
    <d v="2016-06-02T00:00:00"/>
    <x v="2"/>
    <s v="SP-20650"/>
    <s v="Stephanie Phelps"/>
    <s v="Corporate"/>
    <x v="1"/>
    <x v="1"/>
    <n v="80.88"/>
    <n v="8088"/>
    <n v="1617.6000000000001"/>
  </r>
  <r>
    <n v="157"/>
    <s v="CA-2016-118948"/>
    <x v="71"/>
    <d v="2016-06-03T00:00:00"/>
    <x v="1"/>
    <s v="NK-18490"/>
    <s v="Neil Knudson"/>
    <s v="Home Office"/>
    <x v="1"/>
    <x v="1"/>
    <n v="6.63"/>
    <n v="663"/>
    <n v="132.6"/>
  </r>
  <r>
    <n v="158"/>
    <s v="CA-2015-104269"/>
    <x v="72"/>
    <d v="2015-03-06T00:00:00"/>
    <x v="0"/>
    <s v="DB-13060"/>
    <s v="Dave Brooks"/>
    <s v="Consumer"/>
    <x v="1"/>
    <x v="0"/>
    <n v="457.56799999999998"/>
    <n v="45756.799999999996"/>
    <n v="9151.3599999999988"/>
  </r>
  <r>
    <n v="159"/>
    <s v="CA-2017-114104"/>
    <x v="73"/>
    <d v="2017-11-24T00:00:00"/>
    <x v="1"/>
    <s v="NP-18670"/>
    <s v="Nora Paige"/>
    <s v="Consumer"/>
    <x v="2"/>
    <x v="1"/>
    <n v="14.62"/>
    <n v="1462"/>
    <n v="292.40000000000003"/>
  </r>
  <r>
    <n v="160"/>
    <s v="CA-2017-114104"/>
    <x v="73"/>
    <d v="2017-11-24T00:00:00"/>
    <x v="1"/>
    <s v="NP-18670"/>
    <s v="Nora Paige"/>
    <s v="Consumer"/>
    <x v="2"/>
    <x v="2"/>
    <n v="944.93"/>
    <n v="94493"/>
    <n v="18898.600000000002"/>
  </r>
  <r>
    <n v="161"/>
    <s v="CA-2017-162733"/>
    <x v="74"/>
    <d v="2017-05-12T00:00:00"/>
    <x v="2"/>
    <s v="TT-21070"/>
    <s v="Ted Trevino"/>
    <s v="Consumer"/>
    <x v="1"/>
    <x v="1"/>
    <n v="5.98"/>
    <n v="598"/>
    <n v="119.60000000000001"/>
  </r>
  <r>
    <n v="162"/>
    <s v="CA-2016-119697"/>
    <x v="75"/>
    <d v="2016-12-31T00:00:00"/>
    <x v="0"/>
    <s v="EM-13960"/>
    <s v="Eric Murdock"/>
    <s v="Consumer"/>
    <x v="3"/>
    <x v="2"/>
    <n v="54.384"/>
    <n v="5438.4"/>
    <n v="1087.68"/>
  </r>
  <r>
    <n v="163"/>
    <s v="CA-2017-154508"/>
    <x v="76"/>
    <d v="2017-11-20T00:00:00"/>
    <x v="1"/>
    <s v="RD-19900"/>
    <s v="Ruben Dartt"/>
    <s v="Consumer"/>
    <x v="1"/>
    <x v="1"/>
    <n v="28.4"/>
    <n v="2840"/>
    <n v="568"/>
  </r>
  <r>
    <n v="164"/>
    <s v="CA-2017-113817"/>
    <x v="77"/>
    <d v="2017-11-11T00:00:00"/>
    <x v="1"/>
    <s v="MJ-17740"/>
    <s v="Max Jones"/>
    <s v="Consumer"/>
    <x v="1"/>
    <x v="1"/>
    <n v="27.68"/>
    <n v="2768"/>
    <n v="553.6"/>
  </r>
  <r>
    <n v="165"/>
    <s v="CA-2015-139892"/>
    <x v="78"/>
    <d v="2015-09-12T00:00:00"/>
    <x v="1"/>
    <s v="BM-11140"/>
    <s v="Becky Martin"/>
    <s v="Consumer"/>
    <x v="2"/>
    <x v="1"/>
    <n v="9.9359999999999999"/>
    <n v="993.6"/>
    <n v="198.72000000000003"/>
  </r>
  <r>
    <n v="166"/>
    <s v="CA-2015-139892"/>
    <x v="78"/>
    <d v="2015-09-12T00:00:00"/>
    <x v="1"/>
    <s v="BM-11140"/>
    <s v="Becky Martin"/>
    <s v="Consumer"/>
    <x v="2"/>
    <x v="2"/>
    <n v="8159.9520000000002"/>
    <n v="815995.20000000007"/>
    <n v="163199.04000000004"/>
  </r>
  <r>
    <n v="167"/>
    <s v="CA-2015-139892"/>
    <x v="78"/>
    <d v="2015-09-12T00:00:00"/>
    <x v="1"/>
    <s v="BM-11140"/>
    <s v="Becky Martin"/>
    <s v="Consumer"/>
    <x v="2"/>
    <x v="1"/>
    <n v="275.928"/>
    <n v="27592.799999999999"/>
    <n v="5518.56"/>
  </r>
  <r>
    <n v="168"/>
    <s v="CA-2015-139892"/>
    <x v="78"/>
    <d v="2015-09-12T00:00:00"/>
    <x v="1"/>
    <s v="BM-11140"/>
    <s v="Becky Martin"/>
    <s v="Consumer"/>
    <x v="2"/>
    <x v="0"/>
    <n v="1740.06"/>
    <n v="174006"/>
    <n v="34801.200000000004"/>
  </r>
  <r>
    <n v="169"/>
    <s v="CA-2015-139892"/>
    <x v="78"/>
    <d v="2015-09-12T00:00:00"/>
    <x v="1"/>
    <s v="BM-11140"/>
    <s v="Becky Martin"/>
    <s v="Consumer"/>
    <x v="2"/>
    <x v="1"/>
    <n v="32.064"/>
    <n v="3206.4"/>
    <n v="641.28000000000009"/>
  </r>
  <r>
    <n v="170"/>
    <s v="CA-2015-139892"/>
    <x v="78"/>
    <d v="2015-09-12T00:00:00"/>
    <x v="1"/>
    <s v="BM-11140"/>
    <s v="Becky Martin"/>
    <s v="Consumer"/>
    <x v="2"/>
    <x v="1"/>
    <n v="177.98"/>
    <n v="17798"/>
    <n v="3559.6000000000004"/>
  </r>
  <r>
    <n v="171"/>
    <s v="CA-2015-139892"/>
    <x v="78"/>
    <d v="2015-09-12T00:00:00"/>
    <x v="1"/>
    <s v="BM-11140"/>
    <s v="Becky Martin"/>
    <s v="Consumer"/>
    <x v="2"/>
    <x v="2"/>
    <n v="143.976"/>
    <n v="14397.6"/>
    <n v="2879.5200000000004"/>
  </r>
  <r>
    <n v="172"/>
    <s v="CA-2015-118962"/>
    <x v="79"/>
    <d v="2015-08-09T00:00:00"/>
    <x v="1"/>
    <s v="CS-12130"/>
    <s v="Chad Sievert"/>
    <s v="Consumer"/>
    <x v="1"/>
    <x v="1"/>
    <n v="20.94"/>
    <n v="2094"/>
    <n v="418.8"/>
  </r>
  <r>
    <n v="173"/>
    <s v="CA-2015-118962"/>
    <x v="79"/>
    <d v="2015-08-09T00:00:00"/>
    <x v="1"/>
    <s v="CS-12130"/>
    <s v="Chad Sievert"/>
    <s v="Consumer"/>
    <x v="1"/>
    <x v="1"/>
    <n v="110.96"/>
    <n v="11096"/>
    <n v="2219.2000000000003"/>
  </r>
  <r>
    <n v="174"/>
    <s v="CA-2015-118962"/>
    <x v="79"/>
    <d v="2015-08-09T00:00:00"/>
    <x v="1"/>
    <s v="CS-12130"/>
    <s v="Chad Sievert"/>
    <s v="Consumer"/>
    <x v="1"/>
    <x v="0"/>
    <n v="340.14400000000001"/>
    <n v="34014.400000000001"/>
    <n v="6802.880000000001"/>
  </r>
  <r>
    <n v="175"/>
    <s v="US-2015-100853"/>
    <x v="80"/>
    <d v="2015-09-19T00:00:00"/>
    <x v="1"/>
    <s v="JB-15400"/>
    <s v="Jennifer Braxton"/>
    <s v="Corporate"/>
    <x v="2"/>
    <x v="1"/>
    <n v="52.448"/>
    <n v="5244.8"/>
    <n v="1048.96"/>
  </r>
  <r>
    <n v="176"/>
    <s v="US-2015-100853"/>
    <x v="80"/>
    <d v="2015-09-19T00:00:00"/>
    <x v="1"/>
    <s v="JB-15400"/>
    <s v="Jennifer Braxton"/>
    <s v="Corporate"/>
    <x v="2"/>
    <x v="1"/>
    <n v="20.16"/>
    <n v="2016"/>
    <n v="403.20000000000005"/>
  </r>
  <r>
    <n v="177"/>
    <s v="US-2018-152366"/>
    <x v="81"/>
    <d v="2018-04-25T00:00:00"/>
    <x v="0"/>
    <s v="SJ-20500"/>
    <s v="Shirley Jackson"/>
    <s v="Consumer"/>
    <x v="2"/>
    <x v="1"/>
    <n v="97.263999999999996"/>
    <n v="9726.4"/>
    <n v="1945.28"/>
  </r>
  <r>
    <n v="178"/>
    <s v="US-2016-101511"/>
    <x v="82"/>
    <d v="2016-11-23T00:00:00"/>
    <x v="0"/>
    <s v="JE-15745"/>
    <s v="Joel Eaton"/>
    <s v="Consumer"/>
    <x v="3"/>
    <x v="0"/>
    <n v="396.80200000000002"/>
    <n v="39680.200000000004"/>
    <n v="7936.0400000000009"/>
  </r>
  <r>
    <n v="179"/>
    <s v="US-2016-101511"/>
    <x v="82"/>
    <d v="2016-11-23T00:00:00"/>
    <x v="0"/>
    <s v="JE-15745"/>
    <s v="Joel Eaton"/>
    <s v="Consumer"/>
    <x v="3"/>
    <x v="1"/>
    <n v="15.88"/>
    <n v="1588"/>
    <n v="317.60000000000002"/>
  </r>
  <r>
    <n v="180"/>
    <s v="CA-2016-137225"/>
    <x v="83"/>
    <d v="2016-12-19T00:00:00"/>
    <x v="1"/>
    <s v="JK-15640"/>
    <s v="Jim Kriz"/>
    <s v="Home Office"/>
    <x v="3"/>
    <x v="1"/>
    <n v="3.28"/>
    <n v="328"/>
    <n v="65.600000000000009"/>
  </r>
  <r>
    <n v="181"/>
    <s v="CA-2015-166191"/>
    <x v="29"/>
    <d v="2015-12-09T00:00:00"/>
    <x v="0"/>
    <s v="DK-13150"/>
    <s v="David Kendrick"/>
    <s v="Corporate"/>
    <x v="2"/>
    <x v="1"/>
    <n v="24.815999999999999"/>
    <n v="2481.6"/>
    <n v="496.32"/>
  </r>
  <r>
    <n v="182"/>
    <s v="CA-2015-166191"/>
    <x v="29"/>
    <d v="2015-12-09T00:00:00"/>
    <x v="0"/>
    <s v="DK-13150"/>
    <s v="David Kendrick"/>
    <s v="Corporate"/>
    <x v="2"/>
    <x v="2"/>
    <n v="408.74400000000003"/>
    <n v="40874.400000000001"/>
    <n v="8174.880000000001"/>
  </r>
  <r>
    <n v="183"/>
    <s v="CA-2015-158274"/>
    <x v="84"/>
    <d v="2015-11-24T00:00:00"/>
    <x v="0"/>
    <s v="RM-19675"/>
    <s v="Robert Marley"/>
    <s v="Home Office"/>
    <x v="0"/>
    <x v="2"/>
    <n v="503.96"/>
    <n v="50396"/>
    <n v="10079.200000000001"/>
  </r>
  <r>
    <n v="184"/>
    <s v="CA-2015-158274"/>
    <x v="84"/>
    <d v="2015-11-24T00:00:00"/>
    <x v="0"/>
    <s v="RM-19675"/>
    <s v="Robert Marley"/>
    <s v="Home Office"/>
    <x v="0"/>
    <x v="2"/>
    <n v="149.94999999999999"/>
    <n v="14994.999999999998"/>
    <n v="2999"/>
  </r>
  <r>
    <n v="185"/>
    <s v="CA-2015-158274"/>
    <x v="84"/>
    <d v="2015-11-24T00:00:00"/>
    <x v="0"/>
    <s v="RM-19675"/>
    <s v="Robert Marley"/>
    <s v="Home Office"/>
    <x v="0"/>
    <x v="2"/>
    <n v="29"/>
    <n v="2900"/>
    <n v="580"/>
  </r>
  <r>
    <n v="186"/>
    <s v="CA-2017-105018"/>
    <x v="85"/>
    <d v="2017-12-02T00:00:00"/>
    <x v="1"/>
    <s v="SK-19990"/>
    <s v="Sally Knutson"/>
    <s v="Consumer"/>
    <x v="3"/>
    <x v="1"/>
    <n v="7.16"/>
    <n v="716"/>
    <n v="143.20000000000002"/>
  </r>
  <r>
    <n v="187"/>
    <s v="CA-2015-123260"/>
    <x v="86"/>
    <d v="2015-08-30T00:00:00"/>
    <x v="1"/>
    <s v="FM-14290"/>
    <s v="Frank Merwin"/>
    <s v="Home Office"/>
    <x v="1"/>
    <x v="2"/>
    <n v="176.8"/>
    <n v="17680"/>
    <n v="3536"/>
  </r>
  <r>
    <n v="188"/>
    <s v="CA-2017-157000"/>
    <x v="87"/>
    <d v="2017-07-22T00:00:00"/>
    <x v="1"/>
    <s v="AM-10360"/>
    <s v="Alice McCarthy"/>
    <s v="Corporate"/>
    <x v="2"/>
    <x v="1"/>
    <n v="37.223999999999997"/>
    <n v="3722.3999999999996"/>
    <n v="744.48"/>
  </r>
  <r>
    <n v="189"/>
    <s v="CA-2017-157000"/>
    <x v="87"/>
    <d v="2017-07-22T00:00:00"/>
    <x v="1"/>
    <s v="AM-10360"/>
    <s v="Alice McCarthy"/>
    <s v="Corporate"/>
    <x v="2"/>
    <x v="1"/>
    <n v="20.015999999999998"/>
    <n v="2001.6"/>
    <n v="400.32"/>
  </r>
  <r>
    <n v="190"/>
    <s v="CA-2016-102281"/>
    <x v="88"/>
    <d v="2016-10-14T00:00:00"/>
    <x v="2"/>
    <s v="MP-17470"/>
    <s v="Mark Packer"/>
    <s v="Home Office"/>
    <x v="3"/>
    <x v="0"/>
    <n v="899.13599999999997"/>
    <n v="89913.599999999991"/>
    <n v="17982.719999999998"/>
  </r>
  <r>
    <n v="191"/>
    <s v="CA-2016-102281"/>
    <x v="88"/>
    <d v="2016-10-14T00:00:00"/>
    <x v="2"/>
    <s v="MP-17470"/>
    <s v="Mark Packer"/>
    <s v="Home Office"/>
    <x v="3"/>
    <x v="2"/>
    <n v="71.760000000000005"/>
    <n v="7176.0000000000009"/>
    <n v="1435.2000000000003"/>
  </r>
  <r>
    <n v="192"/>
    <s v="CA-2016-102281"/>
    <x v="88"/>
    <d v="2016-10-14T00:00:00"/>
    <x v="2"/>
    <s v="MP-17470"/>
    <s v="Mark Packer"/>
    <s v="Home Office"/>
    <x v="3"/>
    <x v="1"/>
    <n v="51.84"/>
    <n v="5184"/>
    <n v="1036.8"/>
  </r>
  <r>
    <n v="193"/>
    <s v="CA-2016-102281"/>
    <x v="88"/>
    <d v="2016-10-14T00:00:00"/>
    <x v="2"/>
    <s v="MP-17470"/>
    <s v="Mark Packer"/>
    <s v="Home Office"/>
    <x v="3"/>
    <x v="0"/>
    <n v="626.35199999999998"/>
    <n v="62635.199999999997"/>
    <n v="12527.04"/>
  </r>
  <r>
    <n v="194"/>
    <s v="CA-2016-102281"/>
    <x v="88"/>
    <d v="2016-10-14T00:00:00"/>
    <x v="2"/>
    <s v="MP-17470"/>
    <s v="Mark Packer"/>
    <s v="Home Office"/>
    <x v="3"/>
    <x v="1"/>
    <n v="19.899999999999999"/>
    <n v="1989.9999999999998"/>
    <n v="398"/>
  </r>
  <r>
    <n v="195"/>
    <s v="CA-2016-131457"/>
    <x v="89"/>
    <d v="2016-11-06T00:00:00"/>
    <x v="1"/>
    <s v="MZ-17515"/>
    <s v="Mary Zewe"/>
    <s v="Corporate"/>
    <x v="1"/>
    <x v="1"/>
    <n v="14.28"/>
    <n v="1428"/>
    <n v="285.60000000000002"/>
  </r>
  <r>
    <n v="196"/>
    <s v="CA-2015-140004"/>
    <x v="90"/>
    <d v="2015-03-25T00:00:00"/>
    <x v="1"/>
    <s v="CB-12025"/>
    <s v="Cassandra Brandow"/>
    <s v="Consumer"/>
    <x v="3"/>
    <x v="1"/>
    <n v="7.4080000000000004"/>
    <n v="740.80000000000007"/>
    <n v="148.16000000000003"/>
  </r>
  <r>
    <n v="197"/>
    <s v="CA-2015-140004"/>
    <x v="90"/>
    <d v="2015-03-25T00:00:00"/>
    <x v="1"/>
    <s v="CB-12025"/>
    <s v="Cassandra Brandow"/>
    <s v="Consumer"/>
    <x v="3"/>
    <x v="1"/>
    <n v="6.048"/>
    <n v="604.79999999999995"/>
    <n v="120.96"/>
  </r>
  <r>
    <n v="198"/>
    <s v="CA-2018-107720"/>
    <x v="44"/>
    <d v="2018-11-13T00:00:00"/>
    <x v="1"/>
    <s v="VM-21685"/>
    <s v="Valerie Mitchum"/>
    <s v="Home Office"/>
    <x v="3"/>
    <x v="1"/>
    <n v="46.26"/>
    <n v="4626"/>
    <n v="925.2"/>
  </r>
  <r>
    <n v="199"/>
    <s v="US-2018-124303"/>
    <x v="91"/>
    <d v="2018-07-13T00:00:00"/>
    <x v="1"/>
    <s v="FH-14365"/>
    <s v="Fred Hopkins"/>
    <s v="Corporate"/>
    <x v="3"/>
    <x v="1"/>
    <n v="2.9460000000000002"/>
    <n v="294.60000000000002"/>
    <n v="58.920000000000009"/>
  </r>
  <r>
    <n v="200"/>
    <s v="US-2018-124303"/>
    <x v="91"/>
    <d v="2018-07-13T00:00:00"/>
    <x v="1"/>
    <s v="FH-14365"/>
    <s v="Fred Hopkins"/>
    <s v="Corporate"/>
    <x v="3"/>
    <x v="1"/>
    <n v="16.056000000000001"/>
    <n v="1605.6000000000001"/>
    <n v="321.12000000000006"/>
  </r>
  <r>
    <n v="201"/>
    <s v="CA-2018-105074"/>
    <x v="92"/>
    <d v="2018-06-29T00:00:00"/>
    <x v="1"/>
    <s v="MB-17305"/>
    <s v="Maria Bertelson"/>
    <s v="Consumer"/>
    <x v="3"/>
    <x v="1"/>
    <n v="21.744"/>
    <n v="2174.4"/>
    <n v="434.88000000000005"/>
  </r>
  <r>
    <n v="202"/>
    <s v="CA-2015-133690"/>
    <x v="93"/>
    <d v="2015-08-05T00:00:00"/>
    <x v="2"/>
    <s v="BS-11755"/>
    <s v="Bruce Stewart"/>
    <s v="Consumer"/>
    <x v="1"/>
    <x v="0"/>
    <n v="218.75"/>
    <n v="21875"/>
    <n v="4375"/>
  </r>
  <r>
    <n v="203"/>
    <s v="CA-2015-133690"/>
    <x v="93"/>
    <d v="2015-08-05T00:00:00"/>
    <x v="2"/>
    <s v="BS-11755"/>
    <s v="Bruce Stewart"/>
    <s v="Consumer"/>
    <x v="1"/>
    <x v="1"/>
    <n v="2.6"/>
    <n v="260"/>
    <n v="52"/>
  </r>
  <r>
    <n v="204"/>
    <s v="US-2018-116701"/>
    <x v="94"/>
    <d v="2018-12-21T00:00:00"/>
    <x v="0"/>
    <s v="LC-17140"/>
    <s v="Logan Currie"/>
    <s v="Consumer"/>
    <x v="2"/>
    <x v="1"/>
    <n v="66.284000000000006"/>
    <n v="6628.4000000000005"/>
    <n v="1325.6800000000003"/>
  </r>
  <r>
    <n v="205"/>
    <s v="CA-2018-126382"/>
    <x v="95"/>
    <d v="2018-06-07T00:00:00"/>
    <x v="1"/>
    <s v="HK-14890"/>
    <s v="Heather Kirkland"/>
    <s v="Corporate"/>
    <x v="0"/>
    <x v="0"/>
    <n v="35.167999999999999"/>
    <n v="3516.7999999999997"/>
    <n v="703.36"/>
  </r>
  <r>
    <n v="206"/>
    <s v="CA-2018-108329"/>
    <x v="34"/>
    <d v="2018-12-14T00:00:00"/>
    <x v="1"/>
    <s v="LE-16810"/>
    <s v="Laurel Elliston"/>
    <s v="Consumer"/>
    <x v="1"/>
    <x v="2"/>
    <n v="444.76799999999997"/>
    <n v="44476.799999999996"/>
    <n v="8895.3599999999988"/>
  </r>
  <r>
    <n v="207"/>
    <s v="CA-2018-135860"/>
    <x v="96"/>
    <d v="2018-12-07T00:00:00"/>
    <x v="1"/>
    <s v="JH-15985"/>
    <s v="Joseph Holt"/>
    <s v="Consumer"/>
    <x v="2"/>
    <x v="1"/>
    <n v="83.92"/>
    <n v="8392"/>
    <n v="1678.4"/>
  </r>
  <r>
    <n v="208"/>
    <s v="CA-2018-135860"/>
    <x v="96"/>
    <d v="2018-12-07T00:00:00"/>
    <x v="1"/>
    <s v="JH-15985"/>
    <s v="Joseph Holt"/>
    <s v="Consumer"/>
    <x v="2"/>
    <x v="2"/>
    <n v="131.97999999999999"/>
    <n v="13197.999999999998"/>
    <n v="2639.6"/>
  </r>
  <r>
    <n v="209"/>
    <s v="CA-2018-135860"/>
    <x v="96"/>
    <d v="2018-12-07T00:00:00"/>
    <x v="1"/>
    <s v="JH-15985"/>
    <s v="Joseph Holt"/>
    <s v="Consumer"/>
    <x v="2"/>
    <x v="1"/>
    <n v="15.92"/>
    <n v="1592"/>
    <n v="318.40000000000003"/>
  </r>
  <r>
    <n v="210"/>
    <s v="CA-2018-135860"/>
    <x v="96"/>
    <d v="2018-12-07T00:00:00"/>
    <x v="1"/>
    <s v="JH-15985"/>
    <s v="Joseph Holt"/>
    <s v="Consumer"/>
    <x v="2"/>
    <x v="1"/>
    <n v="52.29"/>
    <n v="5229"/>
    <n v="1045.8"/>
  </r>
  <r>
    <n v="211"/>
    <s v="CA-2018-135860"/>
    <x v="96"/>
    <d v="2018-12-07T00:00:00"/>
    <x v="1"/>
    <s v="JH-15985"/>
    <s v="Joseph Holt"/>
    <s v="Consumer"/>
    <x v="2"/>
    <x v="1"/>
    <n v="91.99"/>
    <n v="9199"/>
    <n v="1839.8000000000002"/>
  </r>
  <r>
    <n v="212"/>
    <s v="CA-2016-101007"/>
    <x v="97"/>
    <d v="2016-02-13T00:00:00"/>
    <x v="0"/>
    <s v="MS-17980"/>
    <s v="Michael Stewart"/>
    <s v="Corporate"/>
    <x v="2"/>
    <x v="2"/>
    <n v="20.8"/>
    <n v="2080"/>
    <n v="416"/>
  </r>
  <r>
    <n v="213"/>
    <s v="CA-2016-146262"/>
    <x v="98"/>
    <d v="2016-01-09T00:00:00"/>
    <x v="1"/>
    <s v="VW-21775"/>
    <s v="Victoria Wilson"/>
    <s v="Corporate"/>
    <x v="3"/>
    <x v="1"/>
    <n v="23.68"/>
    <n v="2368"/>
    <n v="473.6"/>
  </r>
  <r>
    <n v="214"/>
    <s v="CA-2016-146262"/>
    <x v="98"/>
    <d v="2016-01-09T00:00:00"/>
    <x v="1"/>
    <s v="VW-21775"/>
    <s v="Victoria Wilson"/>
    <s v="Corporate"/>
    <x v="3"/>
    <x v="0"/>
    <n v="452.45"/>
    <n v="45245"/>
    <n v="9049"/>
  </r>
  <r>
    <n v="215"/>
    <s v="CA-2016-146262"/>
    <x v="98"/>
    <d v="2016-01-09T00:00:00"/>
    <x v="1"/>
    <s v="VW-21775"/>
    <s v="Victoria Wilson"/>
    <s v="Corporate"/>
    <x v="3"/>
    <x v="2"/>
    <n v="62.981999999999999"/>
    <n v="6298.2"/>
    <n v="1259.6400000000001"/>
  </r>
  <r>
    <n v="216"/>
    <s v="CA-2016-146262"/>
    <x v="98"/>
    <d v="2016-01-09T00:00:00"/>
    <x v="1"/>
    <s v="VW-21775"/>
    <s v="Victoria Wilson"/>
    <s v="Corporate"/>
    <x v="3"/>
    <x v="2"/>
    <n v="1188"/>
    <n v="118800"/>
    <n v="23760"/>
  </r>
  <r>
    <n v="217"/>
    <s v="CA-2016-146262"/>
    <x v="98"/>
    <d v="2016-01-09T00:00:00"/>
    <x v="1"/>
    <s v="VW-21775"/>
    <s v="Victoria Wilson"/>
    <s v="Corporate"/>
    <x v="3"/>
    <x v="2"/>
    <n v="89.584000000000003"/>
    <n v="8958.4"/>
    <n v="1791.68"/>
  </r>
  <r>
    <n v="218"/>
    <s v="CA-2017-130162"/>
    <x v="99"/>
    <d v="2017-11-01T00:00:00"/>
    <x v="1"/>
    <s v="JH-15910"/>
    <s v="Jonathan Howell"/>
    <s v="Consumer"/>
    <x v="1"/>
    <x v="1"/>
    <n v="93.06"/>
    <n v="9306"/>
    <n v="1861.2"/>
  </r>
  <r>
    <n v="219"/>
    <s v="CA-2017-130162"/>
    <x v="99"/>
    <d v="2017-11-01T00:00:00"/>
    <x v="1"/>
    <s v="JH-15910"/>
    <s v="Jonathan Howell"/>
    <s v="Consumer"/>
    <x v="1"/>
    <x v="2"/>
    <n v="302.37599999999998"/>
    <n v="30237.599999999999"/>
    <n v="6047.52"/>
  </r>
  <r>
    <n v="220"/>
    <s v="CA-2016-169397"/>
    <x v="100"/>
    <d v="2016-12-27T00:00:00"/>
    <x v="2"/>
    <s v="JB-15925"/>
    <s v="Joni Blumstein"/>
    <s v="Consumer"/>
    <x v="3"/>
    <x v="1"/>
    <n v="5.5839999999999996"/>
    <n v="558.4"/>
    <n v="111.68"/>
  </r>
  <r>
    <n v="221"/>
    <s v="CA-2016-169397"/>
    <x v="100"/>
    <d v="2016-12-27T00:00:00"/>
    <x v="2"/>
    <s v="JB-15925"/>
    <s v="Joni Blumstein"/>
    <s v="Consumer"/>
    <x v="3"/>
    <x v="1"/>
    <n v="22.704000000000001"/>
    <n v="2270.4"/>
    <n v="454.08000000000004"/>
  </r>
  <r>
    <n v="222"/>
    <s v="CA-2016-169397"/>
    <x v="100"/>
    <d v="2016-12-27T00:00:00"/>
    <x v="2"/>
    <s v="JB-15925"/>
    <s v="Joni Blumstein"/>
    <s v="Consumer"/>
    <x v="3"/>
    <x v="1"/>
    <n v="19.776"/>
    <n v="1977.6"/>
    <n v="395.52"/>
  </r>
  <r>
    <n v="223"/>
    <s v="CA-2016-169397"/>
    <x v="100"/>
    <d v="2016-12-27T00:00:00"/>
    <x v="2"/>
    <s v="JB-15925"/>
    <s v="Joni Blumstein"/>
    <s v="Consumer"/>
    <x v="3"/>
    <x v="0"/>
    <n v="72.703999999999994"/>
    <n v="7270.4"/>
    <n v="1454.08"/>
  </r>
  <r>
    <n v="224"/>
    <s v="CA-2016-169397"/>
    <x v="100"/>
    <d v="2016-12-27T00:00:00"/>
    <x v="2"/>
    <s v="JB-15925"/>
    <s v="Joni Blumstein"/>
    <s v="Consumer"/>
    <x v="3"/>
    <x v="2"/>
    <n v="479.988"/>
    <n v="47998.8"/>
    <n v="9599.76"/>
  </r>
  <r>
    <n v="225"/>
    <s v="CA-2016-169397"/>
    <x v="100"/>
    <d v="2016-12-27T00:00:00"/>
    <x v="2"/>
    <s v="JB-15925"/>
    <s v="Joni Blumstein"/>
    <s v="Consumer"/>
    <x v="3"/>
    <x v="1"/>
    <n v="27.167999999999999"/>
    <n v="2716.7999999999997"/>
    <n v="543.36"/>
  </r>
  <r>
    <n v="226"/>
    <s v="CA-2016-163055"/>
    <x v="101"/>
    <d v="2016-08-16T00:00:00"/>
    <x v="1"/>
    <s v="DS-13180"/>
    <s v="David Smith"/>
    <s v="Corporate"/>
    <x v="2"/>
    <x v="1"/>
    <n v="2.2000000000000002"/>
    <n v="220.00000000000003"/>
    <n v="44.000000000000007"/>
  </r>
  <r>
    <n v="227"/>
    <s v="CA-2016-163055"/>
    <x v="101"/>
    <d v="2016-08-16T00:00:00"/>
    <x v="1"/>
    <s v="DS-13180"/>
    <s v="David Smith"/>
    <s v="Corporate"/>
    <x v="2"/>
    <x v="0"/>
    <n v="622.45000000000005"/>
    <n v="62245.000000000007"/>
    <n v="12449.000000000002"/>
  </r>
  <r>
    <n v="228"/>
    <s v="CA-2016-163055"/>
    <x v="101"/>
    <d v="2016-08-16T00:00:00"/>
    <x v="1"/>
    <s v="DS-13180"/>
    <s v="David Smith"/>
    <s v="Corporate"/>
    <x v="2"/>
    <x v="1"/>
    <n v="21.98"/>
    <n v="2198"/>
    <n v="439.6"/>
  </r>
  <r>
    <n v="229"/>
    <s v="US-2016-145436"/>
    <x v="102"/>
    <d v="2016-03-04T00:00:00"/>
    <x v="1"/>
    <s v="VD-21670"/>
    <s v="Valerie Dominguez"/>
    <s v="Consumer"/>
    <x v="0"/>
    <x v="0"/>
    <n v="161.56800000000001"/>
    <n v="16156.800000000001"/>
    <n v="3231.3600000000006"/>
  </r>
  <r>
    <n v="230"/>
    <s v="US-2016-145436"/>
    <x v="102"/>
    <d v="2016-03-04T00:00:00"/>
    <x v="1"/>
    <s v="VD-21670"/>
    <s v="Valerie Dominguez"/>
    <s v="Consumer"/>
    <x v="0"/>
    <x v="0"/>
    <n v="389.69600000000003"/>
    <n v="38969.600000000006"/>
    <n v="7793.9200000000019"/>
  </r>
  <r>
    <n v="231"/>
    <s v="US-2015-156216"/>
    <x v="103"/>
    <d v="2015-09-17T00:00:00"/>
    <x v="1"/>
    <s v="EA-14035"/>
    <s v="Erin Ashbrook"/>
    <s v="Corporate"/>
    <x v="0"/>
    <x v="1"/>
    <n v="18.648"/>
    <n v="1864.8"/>
    <n v="372.96000000000004"/>
  </r>
  <r>
    <n v="232"/>
    <s v="US-2018-100930"/>
    <x v="104"/>
    <d v="2018-04-12T00:00:00"/>
    <x v="1"/>
    <s v="CS-12400"/>
    <s v="Christopher Schild"/>
    <s v="Home Office"/>
    <x v="0"/>
    <x v="0"/>
    <n v="233.86"/>
    <n v="23386"/>
    <n v="4677.2"/>
  </r>
  <r>
    <n v="233"/>
    <s v="US-2018-100930"/>
    <x v="104"/>
    <d v="2018-04-12T00:00:00"/>
    <x v="1"/>
    <s v="CS-12400"/>
    <s v="Christopher Schild"/>
    <s v="Home Office"/>
    <x v="0"/>
    <x v="0"/>
    <n v="620.61450000000002"/>
    <n v="62061.450000000004"/>
    <n v="12412.29"/>
  </r>
  <r>
    <n v="234"/>
    <s v="US-2018-100930"/>
    <x v="104"/>
    <d v="2018-04-12T00:00:00"/>
    <x v="1"/>
    <s v="CS-12400"/>
    <s v="Christopher Schild"/>
    <s v="Home Office"/>
    <x v="0"/>
    <x v="1"/>
    <n v="5.3280000000000003"/>
    <n v="532.80000000000007"/>
    <n v="106.56000000000002"/>
  </r>
  <r>
    <n v="235"/>
    <s v="US-2018-100930"/>
    <x v="104"/>
    <d v="2018-04-12T00:00:00"/>
    <x v="1"/>
    <s v="CS-12400"/>
    <s v="Christopher Schild"/>
    <s v="Home Office"/>
    <x v="0"/>
    <x v="0"/>
    <n v="258.072"/>
    <n v="25807.200000000001"/>
    <n v="5161.4400000000005"/>
  </r>
  <r>
    <n v="236"/>
    <s v="US-2018-100930"/>
    <x v="104"/>
    <d v="2018-04-12T00:00:00"/>
    <x v="1"/>
    <s v="CS-12400"/>
    <s v="Christopher Schild"/>
    <s v="Home Office"/>
    <x v="0"/>
    <x v="2"/>
    <n v="617.976"/>
    <n v="61797.599999999999"/>
    <n v="12359.52"/>
  </r>
  <r>
    <n v="237"/>
    <s v="CA-2018-160514"/>
    <x v="105"/>
    <d v="2018-11-16T00:00:00"/>
    <x v="1"/>
    <s v="DB-13120"/>
    <s v="David Bremer"/>
    <s v="Corporate"/>
    <x v="1"/>
    <x v="1"/>
    <n v="10.56"/>
    <n v="1056"/>
    <n v="211.20000000000002"/>
  </r>
  <r>
    <n v="238"/>
    <s v="CA-2017-157749"/>
    <x v="30"/>
    <d v="2017-06-09T00:00:00"/>
    <x v="0"/>
    <s v="KL-16645"/>
    <s v="Ken Lonsdale"/>
    <s v="Consumer"/>
    <x v="2"/>
    <x v="1"/>
    <n v="25.92"/>
    <n v="2592"/>
    <n v="518.4"/>
  </r>
  <r>
    <n v="239"/>
    <s v="CA-2017-157749"/>
    <x v="30"/>
    <d v="2017-06-09T00:00:00"/>
    <x v="0"/>
    <s v="KL-16645"/>
    <s v="Ken Lonsdale"/>
    <s v="Consumer"/>
    <x v="2"/>
    <x v="0"/>
    <n v="419.68"/>
    <n v="41968"/>
    <n v="8393.6"/>
  </r>
  <r>
    <n v="240"/>
    <s v="CA-2017-157749"/>
    <x v="30"/>
    <d v="2017-06-09T00:00:00"/>
    <x v="0"/>
    <s v="KL-16645"/>
    <s v="Ken Lonsdale"/>
    <s v="Consumer"/>
    <x v="2"/>
    <x v="0"/>
    <n v="11.688000000000001"/>
    <n v="1168.8"/>
    <n v="233.76"/>
  </r>
  <r>
    <n v="241"/>
    <s v="CA-2017-157749"/>
    <x v="30"/>
    <d v="2017-06-09T00:00:00"/>
    <x v="0"/>
    <s v="KL-16645"/>
    <s v="Ken Lonsdale"/>
    <s v="Consumer"/>
    <x v="2"/>
    <x v="2"/>
    <n v="31.984000000000002"/>
    <n v="3198.4"/>
    <n v="639.68000000000006"/>
  </r>
  <r>
    <n v="242"/>
    <s v="CA-2017-157749"/>
    <x v="30"/>
    <d v="2017-06-09T00:00:00"/>
    <x v="0"/>
    <s v="KL-16645"/>
    <s v="Ken Lonsdale"/>
    <s v="Consumer"/>
    <x v="2"/>
    <x v="0"/>
    <n v="177.22499999999999"/>
    <n v="17722.5"/>
    <n v="3544.5"/>
  </r>
  <r>
    <n v="243"/>
    <s v="CA-2017-157749"/>
    <x v="30"/>
    <d v="2017-06-09T00:00:00"/>
    <x v="0"/>
    <s v="KL-16645"/>
    <s v="Ken Lonsdale"/>
    <s v="Consumer"/>
    <x v="2"/>
    <x v="0"/>
    <n v="4.0439999999999996"/>
    <n v="404.4"/>
    <n v="80.88"/>
  </r>
  <r>
    <n v="244"/>
    <s v="CA-2017-157749"/>
    <x v="30"/>
    <d v="2017-06-09T00:00:00"/>
    <x v="0"/>
    <s v="KL-16645"/>
    <s v="Ken Lonsdale"/>
    <s v="Consumer"/>
    <x v="2"/>
    <x v="1"/>
    <n v="7.4080000000000004"/>
    <n v="740.80000000000007"/>
    <n v="148.16000000000003"/>
  </r>
  <r>
    <n v="245"/>
    <s v="CA-2015-131926"/>
    <x v="106"/>
    <d v="2015-06-06T00:00:00"/>
    <x v="0"/>
    <s v="DW-13480"/>
    <s v="Dianna Wilson"/>
    <s v="Home Office"/>
    <x v="2"/>
    <x v="0"/>
    <n v="2001.86"/>
    <n v="200186"/>
    <n v="40037.200000000004"/>
  </r>
  <r>
    <n v="246"/>
    <s v="CA-2015-131926"/>
    <x v="106"/>
    <d v="2015-06-06T00:00:00"/>
    <x v="0"/>
    <s v="DW-13480"/>
    <s v="Dianna Wilson"/>
    <s v="Home Office"/>
    <x v="2"/>
    <x v="1"/>
    <n v="166.72"/>
    <n v="16672"/>
    <n v="3334.4"/>
  </r>
  <r>
    <n v="247"/>
    <s v="CA-2015-131926"/>
    <x v="106"/>
    <d v="2015-06-06T00:00:00"/>
    <x v="0"/>
    <s v="DW-13480"/>
    <s v="Dianna Wilson"/>
    <s v="Home Office"/>
    <x v="2"/>
    <x v="1"/>
    <n v="47.88"/>
    <n v="4788"/>
    <n v="957.6"/>
  </r>
  <r>
    <n v="248"/>
    <s v="CA-2015-131926"/>
    <x v="106"/>
    <d v="2015-06-06T00:00:00"/>
    <x v="0"/>
    <s v="DW-13480"/>
    <s v="Dianna Wilson"/>
    <s v="Home Office"/>
    <x v="2"/>
    <x v="1"/>
    <n v="1503.25"/>
    <n v="150325"/>
    <n v="30065"/>
  </r>
  <r>
    <n v="249"/>
    <s v="CA-2015-131926"/>
    <x v="106"/>
    <d v="2015-06-06T00:00:00"/>
    <x v="0"/>
    <s v="DW-13480"/>
    <s v="Dianna Wilson"/>
    <s v="Home Office"/>
    <x v="2"/>
    <x v="1"/>
    <n v="25.92"/>
    <n v="2592"/>
    <n v="518.4"/>
  </r>
  <r>
    <n v="250"/>
    <s v="CA-2017-154739"/>
    <x v="107"/>
    <d v="2017-12-15T00:00:00"/>
    <x v="0"/>
    <s v="LH-17155"/>
    <s v="Logan Haushalter"/>
    <s v="Consumer"/>
    <x v="1"/>
    <x v="0"/>
    <n v="321.56799999999998"/>
    <n v="32156.799999999999"/>
    <n v="6431.3600000000006"/>
  </r>
  <r>
    <n v="251"/>
    <s v="CA-2017-145625"/>
    <x v="108"/>
    <d v="2017-09-17T00:00:00"/>
    <x v="1"/>
    <s v="KC-16540"/>
    <s v="Kelly Collister"/>
    <s v="Consumer"/>
    <x v="1"/>
    <x v="1"/>
    <n v="7.61"/>
    <n v="761"/>
    <n v="152.20000000000002"/>
  </r>
  <r>
    <n v="252"/>
    <s v="CA-2017-145625"/>
    <x v="108"/>
    <d v="2017-09-17T00:00:00"/>
    <x v="1"/>
    <s v="KC-16540"/>
    <s v="Kelly Collister"/>
    <s v="Consumer"/>
    <x v="1"/>
    <x v="2"/>
    <n v="3347.37"/>
    <n v="334737"/>
    <n v="66947.400000000009"/>
  </r>
  <r>
    <n v="253"/>
    <s v="CA-2017-146941"/>
    <x v="107"/>
    <d v="2017-12-13T00:00:00"/>
    <x v="2"/>
    <s v="DL-13315"/>
    <s v="Delfina Latchford"/>
    <s v="Consumer"/>
    <x v="3"/>
    <x v="1"/>
    <n v="80.58"/>
    <n v="8058"/>
    <n v="1611.6000000000001"/>
  </r>
  <r>
    <n v="254"/>
    <s v="CA-2017-146941"/>
    <x v="107"/>
    <d v="2017-12-13T00:00:00"/>
    <x v="2"/>
    <s v="DL-13315"/>
    <s v="Delfina Latchford"/>
    <s v="Consumer"/>
    <x v="3"/>
    <x v="1"/>
    <n v="361.92"/>
    <n v="36192"/>
    <n v="7238.4000000000005"/>
  </r>
  <r>
    <n v="255"/>
    <s v="US-2016-159982"/>
    <x v="109"/>
    <d v="2016-12-04T00:00:00"/>
    <x v="1"/>
    <s v="DR-12880"/>
    <s v="Dan Reichenbach"/>
    <s v="Corporate"/>
    <x v="2"/>
    <x v="0"/>
    <n v="12.132"/>
    <n v="1213.2"/>
    <n v="242.64000000000001"/>
  </r>
  <r>
    <n v="256"/>
    <s v="US-2016-159982"/>
    <x v="109"/>
    <d v="2016-12-04T00:00:00"/>
    <x v="1"/>
    <s v="DR-12880"/>
    <s v="Dan Reichenbach"/>
    <s v="Corporate"/>
    <x v="2"/>
    <x v="1"/>
    <n v="82.367999999999995"/>
    <n v="8236.7999999999993"/>
    <n v="1647.36"/>
  </r>
  <r>
    <n v="257"/>
    <s v="US-2016-159982"/>
    <x v="109"/>
    <d v="2016-12-04T00:00:00"/>
    <x v="1"/>
    <s v="DR-12880"/>
    <s v="Dan Reichenbach"/>
    <s v="Corporate"/>
    <x v="2"/>
    <x v="1"/>
    <n v="53.92"/>
    <n v="5392"/>
    <n v="1078.4000000000001"/>
  </r>
  <r>
    <n v="258"/>
    <s v="US-2016-159982"/>
    <x v="109"/>
    <d v="2016-12-04T00:00:00"/>
    <x v="1"/>
    <s v="DR-12880"/>
    <s v="Dan Reichenbach"/>
    <s v="Corporate"/>
    <x v="2"/>
    <x v="2"/>
    <n v="647.904"/>
    <n v="64790.400000000001"/>
    <n v="12958.080000000002"/>
  </r>
  <r>
    <n v="259"/>
    <s v="CA-2018-163139"/>
    <x v="96"/>
    <d v="2018-12-03T00:00:00"/>
    <x v="0"/>
    <s v="CC-12670"/>
    <s v="Craig Carreira"/>
    <s v="Consumer"/>
    <x v="3"/>
    <x v="2"/>
    <n v="20.37"/>
    <n v="2037"/>
    <n v="407.40000000000003"/>
  </r>
  <r>
    <n v="260"/>
    <s v="CA-2018-163139"/>
    <x v="96"/>
    <d v="2018-12-03T00:00:00"/>
    <x v="0"/>
    <s v="CC-12670"/>
    <s v="Craig Carreira"/>
    <s v="Consumer"/>
    <x v="3"/>
    <x v="1"/>
    <n v="221.55"/>
    <n v="22155"/>
    <n v="4431"/>
  </r>
  <r>
    <n v="261"/>
    <s v="CA-2018-163139"/>
    <x v="96"/>
    <d v="2018-12-03T00:00:00"/>
    <x v="0"/>
    <s v="CC-12670"/>
    <s v="Craig Carreira"/>
    <s v="Consumer"/>
    <x v="3"/>
    <x v="1"/>
    <n v="17.52"/>
    <n v="1752"/>
    <n v="350.40000000000003"/>
  </r>
  <r>
    <n v="262"/>
    <s v="US-2018-155299"/>
    <x v="110"/>
    <d v="2018-06-12T00:00:00"/>
    <x v="1"/>
    <s v="Dl-13600"/>
    <s v="Dorris liebe"/>
    <s v="Corporate"/>
    <x v="2"/>
    <x v="1"/>
    <n v="1.6240000000000001"/>
    <n v="162.4"/>
    <n v="32.480000000000004"/>
  </r>
  <r>
    <n v="263"/>
    <s v="US-2015-106992"/>
    <x v="111"/>
    <d v="2015-09-21T00:00:00"/>
    <x v="0"/>
    <s v="SB-20290"/>
    <s v="Sean Braxton"/>
    <s v="Corporate"/>
    <x v="2"/>
    <x v="2"/>
    <n v="3059.982"/>
    <n v="305998.2"/>
    <n v="61199.640000000007"/>
  </r>
  <r>
    <n v="264"/>
    <s v="US-2015-106992"/>
    <x v="111"/>
    <d v="2015-09-21T00:00:00"/>
    <x v="0"/>
    <s v="SB-20290"/>
    <s v="Sean Braxton"/>
    <s v="Corporate"/>
    <x v="2"/>
    <x v="2"/>
    <n v="2519.9580000000001"/>
    <n v="251995.80000000002"/>
    <n v="50399.16"/>
  </r>
  <r>
    <n v="265"/>
    <s v="CA-2017-125318"/>
    <x v="112"/>
    <d v="2017-06-13T00:00:00"/>
    <x v="1"/>
    <s v="RC-19825"/>
    <s v="Roy Collins"/>
    <s v="Consumer"/>
    <x v="2"/>
    <x v="2"/>
    <n v="328.22399999999999"/>
    <n v="32822.400000000001"/>
    <n v="6564.4800000000005"/>
  </r>
  <r>
    <n v="266"/>
    <s v="CA-2016-155040"/>
    <x v="113"/>
    <d v="2016-11-15T00:00:00"/>
    <x v="1"/>
    <s v="AH-10210"/>
    <s v="Alan Hwang"/>
    <s v="Consumer"/>
    <x v="1"/>
    <x v="2"/>
    <n v="79.900000000000006"/>
    <n v="7990.0000000000009"/>
    <n v="1598.0000000000002"/>
  </r>
  <r>
    <n v="267"/>
    <s v="CA-2018-136826"/>
    <x v="114"/>
    <d v="2018-06-20T00:00:00"/>
    <x v="1"/>
    <s v="CB-12535"/>
    <s v="Claudia Bergmann"/>
    <s v="Corporate"/>
    <x v="0"/>
    <x v="1"/>
    <n v="14.016"/>
    <n v="1401.6"/>
    <n v="280.32"/>
  </r>
  <r>
    <n v="268"/>
    <s v="CA-2017-111010"/>
    <x v="115"/>
    <d v="2017-01-28T00:00:00"/>
    <x v="1"/>
    <s v="PG-18895"/>
    <s v="Paul Gonzalez"/>
    <s v="Consumer"/>
    <x v="3"/>
    <x v="1"/>
    <n v="7.56"/>
    <n v="756"/>
    <n v="151.20000000000002"/>
  </r>
  <r>
    <n v="269"/>
    <s v="US-2018-145366"/>
    <x v="34"/>
    <d v="2018-12-13T00:00:00"/>
    <x v="1"/>
    <s v="CA-12310"/>
    <s v="Christine Abelman"/>
    <s v="Corporate"/>
    <x v="3"/>
    <x v="1"/>
    <n v="37.207999999999998"/>
    <n v="3720.7999999999997"/>
    <n v="744.16"/>
  </r>
  <r>
    <n v="270"/>
    <s v="US-2018-145366"/>
    <x v="34"/>
    <d v="2018-12-13T00:00:00"/>
    <x v="1"/>
    <s v="CA-12310"/>
    <s v="Christine Abelman"/>
    <s v="Corporate"/>
    <x v="3"/>
    <x v="1"/>
    <n v="57.576000000000001"/>
    <n v="5757.6"/>
    <n v="1151.5200000000002"/>
  </r>
  <r>
    <n v="271"/>
    <s v="CA-2018-163979"/>
    <x v="116"/>
    <d v="2019-01-02T00:00:00"/>
    <x v="0"/>
    <s v="KH-16690"/>
    <s v="Kristen Hastings"/>
    <s v="Corporate"/>
    <x v="1"/>
    <x v="1"/>
    <n v="725.84"/>
    <n v="72584"/>
    <n v="14516.800000000001"/>
  </r>
  <r>
    <n v="272"/>
    <s v="CA-2016-155334"/>
    <x v="117"/>
    <d v="2016-07-31T00:00:00"/>
    <x v="2"/>
    <s v="HA-14920"/>
    <s v="Helen Andreada"/>
    <s v="Consumer"/>
    <x v="1"/>
    <x v="2"/>
    <n v="209.93"/>
    <n v="20993"/>
    <n v="4198.6000000000004"/>
  </r>
  <r>
    <n v="273"/>
    <s v="CA-2016-155334"/>
    <x v="117"/>
    <d v="2016-07-31T00:00:00"/>
    <x v="2"/>
    <s v="HA-14920"/>
    <s v="Helen Andreada"/>
    <s v="Consumer"/>
    <x v="1"/>
    <x v="0"/>
    <n v="5.28"/>
    <n v="528"/>
    <n v="105.60000000000001"/>
  </r>
  <r>
    <n v="274"/>
    <s v="CA-2016-155334"/>
    <x v="117"/>
    <d v="2016-07-31T00:00:00"/>
    <x v="2"/>
    <s v="HA-14920"/>
    <s v="Helen Andreada"/>
    <s v="Consumer"/>
    <x v="1"/>
    <x v="1"/>
    <n v="10.92"/>
    <n v="1092"/>
    <n v="218.4"/>
  </r>
  <r>
    <n v="275"/>
    <s v="CA-2018-118136"/>
    <x v="118"/>
    <d v="2018-09-17T00:00:00"/>
    <x v="2"/>
    <s v="BB-10990"/>
    <s v="Barry Blumstein"/>
    <s v="Corporate"/>
    <x v="1"/>
    <x v="1"/>
    <n v="8.82"/>
    <n v="882"/>
    <n v="176.4"/>
  </r>
  <r>
    <n v="276"/>
    <s v="CA-2018-118136"/>
    <x v="118"/>
    <d v="2018-09-17T00:00:00"/>
    <x v="2"/>
    <s v="BB-10990"/>
    <s v="Barry Blumstein"/>
    <s v="Corporate"/>
    <x v="1"/>
    <x v="1"/>
    <n v="5.98"/>
    <n v="598"/>
    <n v="119.60000000000001"/>
  </r>
  <r>
    <n v="277"/>
    <s v="CA-2018-132976"/>
    <x v="119"/>
    <d v="2018-10-17T00:00:00"/>
    <x v="1"/>
    <s v="AG-10495"/>
    <s v="Andrew Gjertsen"/>
    <s v="Corporate"/>
    <x v="3"/>
    <x v="1"/>
    <n v="11.648"/>
    <n v="1164.8"/>
    <n v="232.96"/>
  </r>
  <r>
    <n v="278"/>
    <s v="CA-2018-132976"/>
    <x v="119"/>
    <d v="2018-10-17T00:00:00"/>
    <x v="1"/>
    <s v="AG-10495"/>
    <s v="Andrew Gjertsen"/>
    <s v="Corporate"/>
    <x v="3"/>
    <x v="1"/>
    <n v="18.175999999999998"/>
    <n v="1817.6"/>
    <n v="363.52"/>
  </r>
  <r>
    <n v="279"/>
    <s v="CA-2018-132976"/>
    <x v="119"/>
    <d v="2018-10-17T00:00:00"/>
    <x v="1"/>
    <s v="AG-10495"/>
    <s v="Andrew Gjertsen"/>
    <s v="Corporate"/>
    <x v="3"/>
    <x v="1"/>
    <n v="59.712000000000003"/>
    <n v="5971.2000000000007"/>
    <n v="1194.2400000000002"/>
  </r>
  <r>
    <n v="280"/>
    <s v="CA-2018-132976"/>
    <x v="119"/>
    <d v="2018-10-17T00:00:00"/>
    <x v="1"/>
    <s v="AG-10495"/>
    <s v="Andrew Gjertsen"/>
    <s v="Corporate"/>
    <x v="3"/>
    <x v="1"/>
    <n v="24.84"/>
    <n v="2484"/>
    <n v="496.8"/>
  </r>
  <r>
    <n v="281"/>
    <s v="US-2016-161991"/>
    <x v="120"/>
    <d v="2016-09-28T00:00:00"/>
    <x v="0"/>
    <s v="SC-20725"/>
    <s v="Steven Cartwright"/>
    <s v="Consumer"/>
    <x v="2"/>
    <x v="1"/>
    <n v="2.08"/>
    <n v="208"/>
    <n v="41.6"/>
  </r>
  <r>
    <n v="282"/>
    <s v="US-2016-161991"/>
    <x v="120"/>
    <d v="2016-09-28T00:00:00"/>
    <x v="0"/>
    <s v="SC-20725"/>
    <s v="Steven Cartwright"/>
    <s v="Consumer"/>
    <x v="2"/>
    <x v="2"/>
    <n v="1114.4000000000001"/>
    <n v="111440.00000000001"/>
    <n v="22288.000000000004"/>
  </r>
  <r>
    <n v="283"/>
    <s v="CA-2016-130890"/>
    <x v="121"/>
    <d v="2016-11-06T00:00:00"/>
    <x v="1"/>
    <s v="JO-15280"/>
    <s v="Jas O'Carroll"/>
    <s v="Consumer"/>
    <x v="1"/>
    <x v="0"/>
    <n v="1038.8399999999999"/>
    <n v="103883.99999999999"/>
    <n v="20776.8"/>
  </r>
  <r>
    <n v="284"/>
    <s v="CA-2016-130883"/>
    <x v="120"/>
    <d v="2016-10-02T00:00:00"/>
    <x v="1"/>
    <s v="TB-21520"/>
    <s v="Tracy Blumstein"/>
    <s v="Consumer"/>
    <x v="1"/>
    <x v="1"/>
    <n v="141.76"/>
    <n v="14176"/>
    <n v="2835.2000000000003"/>
  </r>
  <r>
    <n v="285"/>
    <s v="CA-2016-130883"/>
    <x v="120"/>
    <d v="2016-10-02T00:00:00"/>
    <x v="1"/>
    <s v="TB-21520"/>
    <s v="Tracy Blumstein"/>
    <s v="Consumer"/>
    <x v="1"/>
    <x v="2"/>
    <n v="239.8"/>
    <n v="23980"/>
    <n v="4796"/>
  </r>
  <r>
    <n v="286"/>
    <s v="CA-2016-130883"/>
    <x v="120"/>
    <d v="2016-10-02T00:00:00"/>
    <x v="1"/>
    <s v="TB-21520"/>
    <s v="Tracy Blumstein"/>
    <s v="Consumer"/>
    <x v="1"/>
    <x v="1"/>
    <n v="31.103999999999999"/>
    <n v="3110.4"/>
    <n v="622.08000000000004"/>
  </r>
  <r>
    <n v="287"/>
    <s v="CA-2017-112697"/>
    <x v="122"/>
    <d v="2017-12-20T00:00:00"/>
    <x v="0"/>
    <s v="AH-10195"/>
    <s v="Alan Haines"/>
    <s v="Corporate"/>
    <x v="0"/>
    <x v="1"/>
    <n v="254.05799999999999"/>
    <n v="25405.8"/>
    <n v="5081.16"/>
  </r>
  <r>
    <n v="288"/>
    <s v="CA-2017-112697"/>
    <x v="122"/>
    <d v="2017-12-20T00:00:00"/>
    <x v="0"/>
    <s v="AH-10195"/>
    <s v="Alan Haines"/>
    <s v="Corporate"/>
    <x v="0"/>
    <x v="1"/>
    <n v="194.52799999999999"/>
    <n v="19452.8"/>
    <n v="3890.56"/>
  </r>
  <r>
    <n v="289"/>
    <s v="CA-2017-112697"/>
    <x v="122"/>
    <d v="2017-12-20T00:00:00"/>
    <x v="0"/>
    <s v="AH-10195"/>
    <s v="Alan Haines"/>
    <s v="Corporate"/>
    <x v="0"/>
    <x v="1"/>
    <n v="961.48"/>
    <n v="96148"/>
    <n v="19229.600000000002"/>
  </r>
  <r>
    <n v="290"/>
    <s v="CA-2017-110772"/>
    <x v="73"/>
    <d v="2017-11-24T00:00:00"/>
    <x v="0"/>
    <s v="NZ-18565"/>
    <s v="Nick Zandusky"/>
    <s v="Home Office"/>
    <x v="3"/>
    <x v="1"/>
    <n v="19.096"/>
    <n v="1909.6"/>
    <n v="381.92"/>
  </r>
  <r>
    <n v="291"/>
    <s v="CA-2017-110772"/>
    <x v="73"/>
    <d v="2017-11-24T00:00:00"/>
    <x v="0"/>
    <s v="NZ-18565"/>
    <s v="Nick Zandusky"/>
    <s v="Home Office"/>
    <x v="3"/>
    <x v="1"/>
    <n v="18.495999999999999"/>
    <n v="1849.6"/>
    <n v="369.92"/>
  </r>
  <r>
    <n v="292"/>
    <s v="CA-2017-110772"/>
    <x v="73"/>
    <d v="2017-11-24T00:00:00"/>
    <x v="0"/>
    <s v="NZ-18565"/>
    <s v="Nick Zandusky"/>
    <s v="Home Office"/>
    <x v="3"/>
    <x v="2"/>
    <n v="255.98400000000001"/>
    <n v="25598.400000000001"/>
    <n v="5119.68"/>
  </r>
  <r>
    <n v="293"/>
    <s v="CA-2017-110772"/>
    <x v="73"/>
    <d v="2017-11-24T00:00:00"/>
    <x v="0"/>
    <s v="NZ-18565"/>
    <s v="Nick Zandusky"/>
    <s v="Home Office"/>
    <x v="3"/>
    <x v="0"/>
    <n v="86.97"/>
    <n v="8697"/>
    <n v="1739.4"/>
  </r>
  <r>
    <n v="294"/>
    <s v="CA-2015-111451"/>
    <x v="58"/>
    <d v="2015-12-28T00:00:00"/>
    <x v="2"/>
    <s v="KL-16555"/>
    <s v="Kelly Lampkin"/>
    <s v="Corporate"/>
    <x v="1"/>
    <x v="0"/>
    <n v="300.416"/>
    <n v="30041.599999999999"/>
    <n v="6008.32"/>
  </r>
  <r>
    <n v="295"/>
    <s v="CA-2015-111451"/>
    <x v="58"/>
    <d v="2015-12-28T00:00:00"/>
    <x v="2"/>
    <s v="KL-16555"/>
    <s v="Kelly Lampkin"/>
    <s v="Corporate"/>
    <x v="1"/>
    <x v="0"/>
    <n v="230.352"/>
    <n v="23035.200000000001"/>
    <n v="4607.04"/>
  </r>
  <r>
    <n v="296"/>
    <s v="CA-2015-111451"/>
    <x v="58"/>
    <d v="2015-12-28T00:00:00"/>
    <x v="2"/>
    <s v="KL-16555"/>
    <s v="Kelly Lampkin"/>
    <s v="Corporate"/>
    <x v="1"/>
    <x v="0"/>
    <n v="218.352"/>
    <n v="21835.200000000001"/>
    <n v="4367.04"/>
  </r>
  <r>
    <n v="297"/>
    <s v="CA-2015-111451"/>
    <x v="58"/>
    <d v="2015-12-28T00:00:00"/>
    <x v="2"/>
    <s v="KL-16555"/>
    <s v="Kelly Lampkin"/>
    <s v="Corporate"/>
    <x v="1"/>
    <x v="1"/>
    <n v="78.599999999999994"/>
    <n v="7859.9999999999991"/>
    <n v="1572"/>
  </r>
  <r>
    <n v="298"/>
    <s v="CA-2015-111451"/>
    <x v="58"/>
    <d v="2015-12-28T00:00:00"/>
    <x v="2"/>
    <s v="KL-16555"/>
    <s v="Kelly Lampkin"/>
    <s v="Corporate"/>
    <x v="1"/>
    <x v="1"/>
    <n v="27.552"/>
    <n v="2755.2"/>
    <n v="551.04"/>
  </r>
  <r>
    <n v="299"/>
    <s v="CA-2017-142545"/>
    <x v="99"/>
    <d v="2017-11-03T00:00:00"/>
    <x v="1"/>
    <s v="JD-15895"/>
    <s v="Jonathan Doherty"/>
    <s v="Corporate"/>
    <x v="3"/>
    <x v="1"/>
    <n v="32.4"/>
    <n v="3240"/>
    <n v="648"/>
  </r>
  <r>
    <n v="300"/>
    <s v="CA-2017-142545"/>
    <x v="99"/>
    <d v="2017-11-03T00:00:00"/>
    <x v="1"/>
    <s v="JD-15895"/>
    <s v="Jonathan Doherty"/>
    <s v="Corporate"/>
    <x v="3"/>
    <x v="1"/>
    <n v="1082.48"/>
    <n v="108248"/>
    <n v="21649.600000000002"/>
  </r>
  <r>
    <n v="301"/>
    <s v="CA-2017-142545"/>
    <x v="99"/>
    <d v="2017-11-03T00:00:00"/>
    <x v="1"/>
    <s v="JD-15895"/>
    <s v="Jonathan Doherty"/>
    <s v="Corporate"/>
    <x v="3"/>
    <x v="1"/>
    <n v="56.91"/>
    <n v="5691"/>
    <n v="1138.2"/>
  </r>
  <r>
    <n v="302"/>
    <s v="CA-2017-142545"/>
    <x v="99"/>
    <d v="2017-11-03T00:00:00"/>
    <x v="1"/>
    <s v="JD-15895"/>
    <s v="Jonathan Doherty"/>
    <s v="Corporate"/>
    <x v="3"/>
    <x v="0"/>
    <n v="77.599999999999994"/>
    <n v="7759.9999999999991"/>
    <n v="1552"/>
  </r>
  <r>
    <n v="303"/>
    <s v="CA-2017-142545"/>
    <x v="99"/>
    <d v="2017-11-03T00:00:00"/>
    <x v="1"/>
    <s v="JD-15895"/>
    <s v="Jonathan Doherty"/>
    <s v="Corporate"/>
    <x v="3"/>
    <x v="1"/>
    <n v="14.28"/>
    <n v="1428"/>
    <n v="285.60000000000002"/>
  </r>
  <r>
    <n v="304"/>
    <s v="US-2018-152380"/>
    <x v="123"/>
    <d v="2018-11-23T00:00:00"/>
    <x v="1"/>
    <s v="JH-15910"/>
    <s v="Jonathan Howell"/>
    <s v="Consumer"/>
    <x v="2"/>
    <x v="0"/>
    <n v="219.07499999999999"/>
    <n v="21907.5"/>
    <n v="4381.5"/>
  </r>
  <r>
    <n v="305"/>
    <s v="CA-2016-144253"/>
    <x v="124"/>
    <d v="2016-05-09T00:00:00"/>
    <x v="0"/>
    <s v="AS-10225"/>
    <s v="Alan Schoenberger"/>
    <s v="Corporate"/>
    <x v="3"/>
    <x v="0"/>
    <n v="26.8"/>
    <n v="2680"/>
    <n v="536"/>
  </r>
  <r>
    <n v="306"/>
    <s v="CA-2015-130960"/>
    <x v="125"/>
    <d v="2016-01-04T00:00:00"/>
    <x v="1"/>
    <s v="KB-16600"/>
    <s v="Ken Brennan"/>
    <s v="Corporate"/>
    <x v="2"/>
    <x v="1"/>
    <n v="9.84"/>
    <n v="984"/>
    <n v="196.8"/>
  </r>
  <r>
    <n v="307"/>
    <s v="CA-2015-111003"/>
    <x v="106"/>
    <d v="2015-06-06T00:00:00"/>
    <x v="1"/>
    <s v="CR-12625"/>
    <s v="Corey Roper"/>
    <s v="Home Office"/>
    <x v="3"/>
    <x v="1"/>
    <n v="45.48"/>
    <n v="4548"/>
    <n v="909.6"/>
  </r>
  <r>
    <n v="308"/>
    <s v="CA-2015-111003"/>
    <x v="106"/>
    <d v="2015-06-06T00:00:00"/>
    <x v="1"/>
    <s v="CR-12625"/>
    <s v="Corey Roper"/>
    <s v="Home Office"/>
    <x v="3"/>
    <x v="1"/>
    <n v="289.2"/>
    <n v="28920"/>
    <n v="5784"/>
  </r>
  <r>
    <n v="309"/>
    <s v="CA-2018-126774"/>
    <x v="4"/>
    <d v="2018-04-17T00:00:00"/>
    <x v="2"/>
    <s v="SH-20395"/>
    <s v="Shahid Hopkins"/>
    <s v="Consumer"/>
    <x v="0"/>
    <x v="1"/>
    <n v="4.8899999999999997"/>
    <n v="488.99999999999994"/>
    <n v="97.8"/>
  </r>
  <r>
    <n v="310"/>
    <s v="CA-2017-142902"/>
    <x v="126"/>
    <d v="2017-09-14T00:00:00"/>
    <x v="0"/>
    <s v="BP-11185"/>
    <s v="Ben Peterman"/>
    <s v="Corporate"/>
    <x v="1"/>
    <x v="0"/>
    <n v="15.135999999999999"/>
    <n v="1513.6"/>
    <n v="302.71999999999997"/>
  </r>
  <r>
    <n v="311"/>
    <s v="CA-2017-142902"/>
    <x v="126"/>
    <d v="2017-09-14T00:00:00"/>
    <x v="0"/>
    <s v="BP-11185"/>
    <s v="Ben Peterman"/>
    <s v="Corporate"/>
    <x v="1"/>
    <x v="0"/>
    <n v="466.76799999999997"/>
    <n v="46676.799999999996"/>
    <n v="9335.3599999999988"/>
  </r>
  <r>
    <n v="312"/>
    <s v="CA-2017-142902"/>
    <x v="126"/>
    <d v="2017-09-14T00:00:00"/>
    <x v="0"/>
    <s v="BP-11185"/>
    <s v="Ben Peterman"/>
    <s v="Corporate"/>
    <x v="1"/>
    <x v="0"/>
    <n v="15.231999999999999"/>
    <n v="1523.1999999999998"/>
    <n v="304.64"/>
  </r>
  <r>
    <n v="313"/>
    <s v="CA-2017-142902"/>
    <x v="126"/>
    <d v="2017-09-14T00:00:00"/>
    <x v="0"/>
    <s v="BP-11185"/>
    <s v="Ben Peterman"/>
    <s v="Corporate"/>
    <x v="1"/>
    <x v="1"/>
    <n v="6.2640000000000002"/>
    <n v="626.4"/>
    <n v="125.28"/>
  </r>
  <r>
    <n v="314"/>
    <s v="CA-2015-120887"/>
    <x v="127"/>
    <d v="2015-10-03T00:00:00"/>
    <x v="1"/>
    <s v="TS-21205"/>
    <s v="Thomas Seio"/>
    <s v="Corporate"/>
    <x v="3"/>
    <x v="0"/>
    <n v="87.54"/>
    <n v="8754"/>
    <n v="1750.8000000000002"/>
  </r>
  <r>
    <n v="315"/>
    <s v="CA-2015-167850"/>
    <x v="128"/>
    <d v="2015-08-16T00:00:00"/>
    <x v="1"/>
    <s v="AG-10525"/>
    <s v="Andy Gerbode"/>
    <s v="Corporate"/>
    <x v="0"/>
    <x v="2"/>
    <n v="178.38399999999999"/>
    <n v="17838.399999999998"/>
    <n v="3567.68"/>
  </r>
  <r>
    <n v="316"/>
    <s v="CA-2015-167850"/>
    <x v="128"/>
    <d v="2015-08-16T00:00:00"/>
    <x v="1"/>
    <s v="AG-10525"/>
    <s v="Andy Gerbode"/>
    <s v="Corporate"/>
    <x v="0"/>
    <x v="1"/>
    <n v="15.552"/>
    <n v="1555.2"/>
    <n v="311.04000000000002"/>
  </r>
  <r>
    <n v="317"/>
    <s v="CA-2015-164259"/>
    <x v="129"/>
    <d v="2015-12-30T00:00:00"/>
    <x v="2"/>
    <s v="SP-20860"/>
    <s v="Sung Pak"/>
    <s v="Corporate"/>
    <x v="3"/>
    <x v="1"/>
    <n v="99.135999999999996"/>
    <n v="9913.6"/>
    <n v="1982.7200000000003"/>
  </r>
  <r>
    <n v="318"/>
    <s v="CA-2015-164973"/>
    <x v="130"/>
    <d v="2015-11-09T00:00:00"/>
    <x v="1"/>
    <s v="NM-18445"/>
    <s v="Nathan Mautz"/>
    <s v="Home Office"/>
    <x v="3"/>
    <x v="0"/>
    <n v="135.88200000000001"/>
    <n v="13588.2"/>
    <n v="2717.6400000000003"/>
  </r>
  <r>
    <n v="319"/>
    <s v="CA-2015-164973"/>
    <x v="130"/>
    <d v="2015-11-09T00:00:00"/>
    <x v="1"/>
    <s v="NM-18445"/>
    <s v="Nathan Mautz"/>
    <s v="Home Office"/>
    <x v="3"/>
    <x v="2"/>
    <n v="3991.98"/>
    <n v="399198"/>
    <n v="79839.600000000006"/>
  </r>
  <r>
    <n v="320"/>
    <s v="CA-2015-164973"/>
    <x v="130"/>
    <d v="2015-11-09T00:00:00"/>
    <x v="1"/>
    <s v="NM-18445"/>
    <s v="Nathan Mautz"/>
    <s v="Home Office"/>
    <x v="3"/>
    <x v="2"/>
    <n v="275.94"/>
    <n v="27594"/>
    <n v="5518.8"/>
  </r>
  <r>
    <n v="321"/>
    <s v="CA-2015-164973"/>
    <x v="130"/>
    <d v="2015-11-09T00:00:00"/>
    <x v="1"/>
    <s v="NM-18445"/>
    <s v="Nathan Mautz"/>
    <s v="Home Office"/>
    <x v="3"/>
    <x v="2"/>
    <n v="360"/>
    <n v="36000"/>
    <n v="7200"/>
  </r>
  <r>
    <n v="322"/>
    <s v="CA-2015-164973"/>
    <x v="130"/>
    <d v="2015-11-09T00:00:00"/>
    <x v="1"/>
    <s v="NM-18445"/>
    <s v="Nathan Mautz"/>
    <s v="Home Office"/>
    <x v="3"/>
    <x v="1"/>
    <n v="43.57"/>
    <n v="4357"/>
    <n v="871.40000000000009"/>
  </r>
  <r>
    <n v="323"/>
    <s v="CA-2015-156601"/>
    <x v="111"/>
    <d v="2015-09-24T00:00:00"/>
    <x v="1"/>
    <s v="FA-14230"/>
    <s v="Frank Atkinson"/>
    <s v="Corporate"/>
    <x v="1"/>
    <x v="1"/>
    <n v="7.16"/>
    <n v="716"/>
    <n v="143.20000000000002"/>
  </r>
  <r>
    <n v="324"/>
    <s v="CA-2017-162138"/>
    <x v="131"/>
    <d v="2017-04-27T00:00:00"/>
    <x v="1"/>
    <s v="GK-14620"/>
    <s v="Grace Kelly"/>
    <s v="Corporate"/>
    <x v="1"/>
    <x v="1"/>
    <n v="251.52"/>
    <n v="25152"/>
    <n v="5030.4000000000005"/>
  </r>
  <r>
    <n v="325"/>
    <s v="CA-2017-162138"/>
    <x v="131"/>
    <d v="2017-04-27T00:00:00"/>
    <x v="1"/>
    <s v="GK-14620"/>
    <s v="Grace Kelly"/>
    <s v="Corporate"/>
    <x v="1"/>
    <x v="2"/>
    <n v="99.99"/>
    <n v="9999"/>
    <n v="1999.8000000000002"/>
  </r>
  <r>
    <n v="326"/>
    <s v="CA-2018-153339"/>
    <x v="132"/>
    <d v="2018-11-05T00:00:00"/>
    <x v="0"/>
    <s v="DJ-13510"/>
    <s v="Don Jones"/>
    <s v="Corporate"/>
    <x v="0"/>
    <x v="0"/>
    <n v="15.992000000000001"/>
    <n v="1599.2"/>
    <n v="319.84000000000003"/>
  </r>
  <r>
    <n v="327"/>
    <s v="US-2017-141544"/>
    <x v="133"/>
    <d v="2017-09-01T00:00:00"/>
    <x v="2"/>
    <s v="PO-18850"/>
    <s v="Patrick O'Brill"/>
    <s v="Consumer"/>
    <x v="3"/>
    <x v="2"/>
    <n v="290.89800000000002"/>
    <n v="29089.800000000003"/>
    <n v="5817.9600000000009"/>
  </r>
  <r>
    <n v="328"/>
    <s v="US-2017-141544"/>
    <x v="133"/>
    <d v="2017-09-01T00:00:00"/>
    <x v="2"/>
    <s v="PO-18850"/>
    <s v="Patrick O'Brill"/>
    <s v="Consumer"/>
    <x v="3"/>
    <x v="1"/>
    <n v="54.223999999999997"/>
    <n v="5422.4"/>
    <n v="1084.48"/>
  </r>
  <r>
    <n v="329"/>
    <s v="US-2017-141544"/>
    <x v="133"/>
    <d v="2017-09-01T00:00:00"/>
    <x v="2"/>
    <s v="PO-18850"/>
    <s v="Patrick O'Brill"/>
    <s v="Consumer"/>
    <x v="3"/>
    <x v="0"/>
    <n v="786.74400000000003"/>
    <n v="78674.400000000009"/>
    <n v="15734.880000000003"/>
  </r>
  <r>
    <n v="330"/>
    <s v="US-2017-141544"/>
    <x v="133"/>
    <d v="2017-09-01T00:00:00"/>
    <x v="2"/>
    <s v="PO-18850"/>
    <s v="Patrick O'Brill"/>
    <s v="Consumer"/>
    <x v="3"/>
    <x v="1"/>
    <n v="100.24"/>
    <n v="10024"/>
    <n v="2004.8000000000002"/>
  </r>
  <r>
    <n v="331"/>
    <s v="US-2017-141544"/>
    <x v="133"/>
    <d v="2017-09-01T00:00:00"/>
    <x v="2"/>
    <s v="PO-18850"/>
    <s v="Patrick O'Brill"/>
    <s v="Consumer"/>
    <x v="3"/>
    <x v="1"/>
    <n v="37.764000000000003"/>
    <n v="3776.4"/>
    <n v="755.28000000000009"/>
  </r>
  <r>
    <n v="332"/>
    <s v="US-2017-150147"/>
    <x v="134"/>
    <d v="2017-04-29T00:00:00"/>
    <x v="0"/>
    <s v="JL-15850"/>
    <s v="John Lucas"/>
    <s v="Consumer"/>
    <x v="3"/>
    <x v="2"/>
    <n v="82.8"/>
    <n v="8280"/>
    <n v="1656"/>
  </r>
  <r>
    <n v="333"/>
    <s v="US-2017-150147"/>
    <x v="134"/>
    <d v="2017-04-29T00:00:00"/>
    <x v="0"/>
    <s v="JL-15850"/>
    <s v="John Lucas"/>
    <s v="Consumer"/>
    <x v="3"/>
    <x v="1"/>
    <n v="20.724"/>
    <n v="2072.4"/>
    <n v="414.48"/>
  </r>
  <r>
    <n v="334"/>
    <s v="US-2017-150147"/>
    <x v="134"/>
    <d v="2017-04-29T00:00:00"/>
    <x v="0"/>
    <s v="JL-15850"/>
    <s v="John Lucas"/>
    <s v="Consumer"/>
    <x v="3"/>
    <x v="1"/>
    <n v="4.8959999999999999"/>
    <n v="489.59999999999997"/>
    <n v="97.92"/>
  </r>
  <r>
    <n v="335"/>
    <s v="CA-2016-137946"/>
    <x v="135"/>
    <d v="2016-09-04T00:00:00"/>
    <x v="0"/>
    <s v="DB-13615"/>
    <s v="Doug Bickford"/>
    <s v="Consumer"/>
    <x v="1"/>
    <x v="1"/>
    <n v="4.7519999999999998"/>
    <n v="475.2"/>
    <n v="95.04"/>
  </r>
  <r>
    <n v="336"/>
    <s v="CA-2016-137946"/>
    <x v="135"/>
    <d v="2016-09-04T00:00:00"/>
    <x v="0"/>
    <s v="DB-13615"/>
    <s v="Doug Bickford"/>
    <s v="Consumer"/>
    <x v="1"/>
    <x v="2"/>
    <n v="959.98400000000004"/>
    <n v="95998.400000000009"/>
    <n v="19199.680000000004"/>
  </r>
  <r>
    <n v="337"/>
    <s v="CA-2016-137946"/>
    <x v="135"/>
    <d v="2016-09-04T00:00:00"/>
    <x v="0"/>
    <s v="DB-13615"/>
    <s v="Doug Bickford"/>
    <s v="Consumer"/>
    <x v="1"/>
    <x v="1"/>
    <n v="14.368"/>
    <n v="1436.8"/>
    <n v="287.36"/>
  </r>
  <r>
    <n v="338"/>
    <s v="CA-2015-129924"/>
    <x v="136"/>
    <d v="2015-07-17T00:00:00"/>
    <x v="1"/>
    <s v="AC-10420"/>
    <s v="Alyssa Crouse"/>
    <s v="Corporate"/>
    <x v="1"/>
    <x v="1"/>
    <n v="7.7119999999999997"/>
    <n v="771.19999999999993"/>
    <n v="154.24"/>
  </r>
  <r>
    <n v="339"/>
    <s v="CA-2015-129924"/>
    <x v="136"/>
    <d v="2015-07-17T00:00:00"/>
    <x v="1"/>
    <s v="AC-10420"/>
    <s v="Alyssa Crouse"/>
    <s v="Corporate"/>
    <x v="1"/>
    <x v="0"/>
    <n v="698.35199999999998"/>
    <n v="69835.199999999997"/>
    <n v="13967.04"/>
  </r>
  <r>
    <n v="340"/>
    <s v="CA-2016-128167"/>
    <x v="137"/>
    <d v="2016-06-26T00:00:00"/>
    <x v="0"/>
    <s v="KL-16645"/>
    <s v="Ken Lonsdale"/>
    <s v="Consumer"/>
    <x v="1"/>
    <x v="1"/>
    <n v="4.96"/>
    <n v="496"/>
    <n v="99.2"/>
  </r>
  <r>
    <n v="341"/>
    <s v="CA-2015-122336"/>
    <x v="138"/>
    <d v="2015-04-17T00:00:00"/>
    <x v="0"/>
    <s v="JD-15895"/>
    <s v="Jonathan Doherty"/>
    <s v="Corporate"/>
    <x v="3"/>
    <x v="1"/>
    <n v="17.856000000000002"/>
    <n v="1785.6000000000001"/>
    <n v="357.12000000000006"/>
  </r>
  <r>
    <n v="342"/>
    <s v="CA-2015-122336"/>
    <x v="138"/>
    <d v="2015-04-17T00:00:00"/>
    <x v="0"/>
    <s v="JD-15895"/>
    <s v="Jonathan Doherty"/>
    <s v="Corporate"/>
    <x v="3"/>
    <x v="1"/>
    <n v="509.97"/>
    <n v="50997"/>
    <n v="10199.400000000001"/>
  </r>
  <r>
    <n v="343"/>
    <s v="CA-2015-122336"/>
    <x v="138"/>
    <d v="2015-04-17T00:00:00"/>
    <x v="0"/>
    <s v="JD-15895"/>
    <s v="Jonathan Doherty"/>
    <s v="Corporate"/>
    <x v="3"/>
    <x v="1"/>
    <n v="30.992000000000001"/>
    <n v="3099.2000000000003"/>
    <n v="619.84000000000015"/>
  </r>
  <r>
    <n v="344"/>
    <s v="CA-2015-122336"/>
    <x v="138"/>
    <d v="2015-04-17T00:00:00"/>
    <x v="0"/>
    <s v="JD-15895"/>
    <s v="Jonathan Doherty"/>
    <s v="Corporate"/>
    <x v="3"/>
    <x v="2"/>
    <n v="71.927999999999997"/>
    <n v="7192.7999999999993"/>
    <n v="1438.56"/>
  </r>
  <r>
    <n v="345"/>
    <s v="US-2016-120712"/>
    <x v="139"/>
    <d v="2016-12-24T00:00:00"/>
    <x v="1"/>
    <s v="CS-12130"/>
    <s v="Chad Sievert"/>
    <s v="Consumer"/>
    <x v="2"/>
    <x v="1"/>
    <n v="88.8"/>
    <n v="8880"/>
    <n v="1776"/>
  </r>
  <r>
    <n v="346"/>
    <s v="CA-2018-169901"/>
    <x v="140"/>
    <d v="2018-06-19T00:00:00"/>
    <x v="1"/>
    <s v="CC-12550"/>
    <s v="Clay Cheatham"/>
    <s v="Consumer"/>
    <x v="1"/>
    <x v="2"/>
    <n v="47.975999999999999"/>
    <n v="4797.6000000000004"/>
    <n v="959.5200000000001"/>
  </r>
  <r>
    <n v="347"/>
    <s v="CA-2018-134306"/>
    <x v="141"/>
    <d v="2018-07-12T00:00:00"/>
    <x v="1"/>
    <s v="TD-20995"/>
    <s v="Tamara Dahlen"/>
    <s v="Consumer"/>
    <x v="3"/>
    <x v="1"/>
    <n v="7.56"/>
    <n v="756"/>
    <n v="151.20000000000002"/>
  </r>
  <r>
    <n v="348"/>
    <s v="CA-2018-134306"/>
    <x v="141"/>
    <d v="2018-07-12T00:00:00"/>
    <x v="1"/>
    <s v="TD-20995"/>
    <s v="Tamara Dahlen"/>
    <s v="Consumer"/>
    <x v="3"/>
    <x v="1"/>
    <n v="24.56"/>
    <n v="2456"/>
    <n v="491.20000000000005"/>
  </r>
  <r>
    <n v="349"/>
    <s v="CA-2018-134306"/>
    <x v="141"/>
    <d v="2018-07-12T00:00:00"/>
    <x v="1"/>
    <s v="TD-20995"/>
    <s v="Tamara Dahlen"/>
    <s v="Consumer"/>
    <x v="3"/>
    <x v="1"/>
    <n v="12.96"/>
    <n v="1296"/>
    <n v="259.2"/>
  </r>
  <r>
    <n v="350"/>
    <s v="CA-2017-129714"/>
    <x v="142"/>
    <d v="2017-09-03T00:00:00"/>
    <x v="2"/>
    <s v="AB-10060"/>
    <s v="Adam Bellavance"/>
    <s v="Home Office"/>
    <x v="3"/>
    <x v="2"/>
    <n v="6.79"/>
    <n v="679"/>
    <n v="135.80000000000001"/>
  </r>
  <r>
    <n v="351"/>
    <s v="CA-2017-129714"/>
    <x v="142"/>
    <d v="2017-09-03T00:00:00"/>
    <x v="2"/>
    <s v="AB-10060"/>
    <s v="Adam Bellavance"/>
    <s v="Home Office"/>
    <x v="3"/>
    <x v="1"/>
    <n v="24.56"/>
    <n v="2456"/>
    <n v="491.20000000000005"/>
  </r>
  <r>
    <n v="352"/>
    <s v="CA-2017-129714"/>
    <x v="142"/>
    <d v="2017-09-03T00:00:00"/>
    <x v="2"/>
    <s v="AB-10060"/>
    <s v="Adam Bellavance"/>
    <s v="Home Office"/>
    <x v="3"/>
    <x v="1"/>
    <n v="3.048"/>
    <n v="304.8"/>
    <n v="60.960000000000008"/>
  </r>
  <r>
    <n v="353"/>
    <s v="CA-2017-129714"/>
    <x v="142"/>
    <d v="2017-09-03T00:00:00"/>
    <x v="2"/>
    <s v="AB-10060"/>
    <s v="Adam Bellavance"/>
    <s v="Home Office"/>
    <x v="3"/>
    <x v="1"/>
    <n v="49.12"/>
    <n v="4912"/>
    <n v="982.40000000000009"/>
  </r>
  <r>
    <n v="354"/>
    <s v="CA-2017-129714"/>
    <x v="142"/>
    <d v="2017-09-03T00:00:00"/>
    <x v="2"/>
    <s v="AB-10060"/>
    <s v="Adam Bellavance"/>
    <s v="Home Office"/>
    <x v="3"/>
    <x v="1"/>
    <n v="4355.1679999999997"/>
    <n v="435516.8"/>
    <n v="87103.360000000001"/>
  </r>
  <r>
    <n v="355"/>
    <s v="CA-2017-138520"/>
    <x v="143"/>
    <d v="2017-04-13T00:00:00"/>
    <x v="1"/>
    <s v="JL-15505"/>
    <s v="Jeremy Lonsdale"/>
    <s v="Consumer"/>
    <x v="3"/>
    <x v="0"/>
    <n v="388.70400000000001"/>
    <n v="38870.400000000001"/>
    <n v="7774.0800000000008"/>
  </r>
  <r>
    <n v="356"/>
    <s v="CA-2017-138520"/>
    <x v="143"/>
    <d v="2017-04-13T00:00:00"/>
    <x v="1"/>
    <s v="JL-15505"/>
    <s v="Jeremy Lonsdale"/>
    <s v="Consumer"/>
    <x v="3"/>
    <x v="1"/>
    <n v="8.26"/>
    <n v="826"/>
    <n v="165.20000000000002"/>
  </r>
  <r>
    <n v="357"/>
    <s v="CA-2017-138520"/>
    <x v="143"/>
    <d v="2017-04-13T00:00:00"/>
    <x v="1"/>
    <s v="JL-15505"/>
    <s v="Jeremy Lonsdale"/>
    <s v="Consumer"/>
    <x v="3"/>
    <x v="1"/>
    <n v="17.04"/>
    <n v="1704"/>
    <n v="340.8"/>
  </r>
  <r>
    <n v="358"/>
    <s v="CA-2017-138520"/>
    <x v="143"/>
    <d v="2017-04-13T00:00:00"/>
    <x v="1"/>
    <s v="JL-15505"/>
    <s v="Jeremy Lonsdale"/>
    <s v="Consumer"/>
    <x v="3"/>
    <x v="1"/>
    <n v="34.4"/>
    <n v="3440"/>
    <n v="688"/>
  </r>
  <r>
    <n v="359"/>
    <s v="CA-2017-130001"/>
    <x v="131"/>
    <d v="2017-04-28T00:00:00"/>
    <x v="1"/>
    <s v="HK-14890"/>
    <s v="Heather Kirkland"/>
    <s v="Corporate"/>
    <x v="0"/>
    <x v="1"/>
    <n v="36.24"/>
    <n v="3624"/>
    <n v="724.80000000000007"/>
  </r>
  <r>
    <n v="360"/>
    <s v="CA-2018-155698"/>
    <x v="144"/>
    <d v="2018-03-11T00:00:00"/>
    <x v="2"/>
    <s v="VB-21745"/>
    <s v="Victoria Brennan"/>
    <s v="Corporate"/>
    <x v="0"/>
    <x v="1"/>
    <n v="647.84"/>
    <n v="64784"/>
    <n v="12956.800000000001"/>
  </r>
  <r>
    <n v="361"/>
    <s v="CA-2018-155698"/>
    <x v="144"/>
    <d v="2018-03-11T00:00:00"/>
    <x v="2"/>
    <s v="VB-21745"/>
    <s v="Victoria Brennan"/>
    <s v="Corporate"/>
    <x v="0"/>
    <x v="1"/>
    <n v="20.7"/>
    <n v="2070"/>
    <n v="414"/>
  </r>
  <r>
    <n v="362"/>
    <s v="CA-2018-144904"/>
    <x v="145"/>
    <d v="2018-10-01T00:00:00"/>
    <x v="1"/>
    <s v="KW-16435"/>
    <s v="Katrina Willman"/>
    <s v="Consumer"/>
    <x v="3"/>
    <x v="1"/>
    <n v="20.7"/>
    <n v="2070"/>
    <n v="414"/>
  </r>
  <r>
    <n v="363"/>
    <s v="CA-2018-144904"/>
    <x v="145"/>
    <d v="2018-10-01T00:00:00"/>
    <x v="1"/>
    <s v="KW-16435"/>
    <s v="Katrina Willman"/>
    <s v="Consumer"/>
    <x v="3"/>
    <x v="0"/>
    <n v="488.64600000000002"/>
    <n v="48864.6"/>
    <n v="9772.92"/>
  </r>
  <r>
    <n v="364"/>
    <s v="CA-2018-144904"/>
    <x v="145"/>
    <d v="2018-10-01T00:00:00"/>
    <x v="1"/>
    <s v="KW-16435"/>
    <s v="Katrina Willman"/>
    <s v="Consumer"/>
    <x v="3"/>
    <x v="1"/>
    <n v="5.56"/>
    <n v="556"/>
    <n v="111.2"/>
  </r>
  <r>
    <n v="365"/>
    <s v="CA-2018-144904"/>
    <x v="145"/>
    <d v="2018-10-01T00:00:00"/>
    <x v="1"/>
    <s v="KW-16435"/>
    <s v="Katrina Willman"/>
    <s v="Consumer"/>
    <x v="3"/>
    <x v="0"/>
    <n v="47.12"/>
    <n v="4712"/>
    <n v="942.40000000000009"/>
  </r>
  <r>
    <n v="366"/>
    <s v="CA-2015-123344"/>
    <x v="146"/>
    <d v="2015-09-29T00:00:00"/>
    <x v="1"/>
    <s v="JD-16060"/>
    <s v="Julia Dunbar"/>
    <s v="Consumer"/>
    <x v="1"/>
    <x v="1"/>
    <n v="211.96"/>
    <n v="21196"/>
    <n v="4239.2"/>
  </r>
  <r>
    <n v="367"/>
    <s v="CA-2017-155516"/>
    <x v="147"/>
    <d v="2017-10-21T00:00:00"/>
    <x v="3"/>
    <s v="MK-17905"/>
    <s v="Michael Kennedy"/>
    <s v="Corporate"/>
    <x v="3"/>
    <x v="1"/>
    <n v="23.2"/>
    <n v="2320"/>
    <n v="464"/>
  </r>
  <r>
    <n v="368"/>
    <s v="CA-2017-155516"/>
    <x v="147"/>
    <d v="2017-10-21T00:00:00"/>
    <x v="3"/>
    <s v="MK-17905"/>
    <s v="Michael Kennedy"/>
    <s v="Corporate"/>
    <x v="3"/>
    <x v="1"/>
    <n v="7.36"/>
    <n v="736"/>
    <n v="147.20000000000002"/>
  </r>
  <r>
    <n v="369"/>
    <s v="CA-2017-155516"/>
    <x v="147"/>
    <d v="2017-10-21T00:00:00"/>
    <x v="3"/>
    <s v="MK-17905"/>
    <s v="Michael Kennedy"/>
    <s v="Corporate"/>
    <x v="3"/>
    <x v="1"/>
    <n v="104.79"/>
    <n v="10479"/>
    <n v="2095.8000000000002"/>
  </r>
  <r>
    <n v="370"/>
    <s v="CA-2017-155516"/>
    <x v="147"/>
    <d v="2017-10-21T00:00:00"/>
    <x v="3"/>
    <s v="MK-17905"/>
    <s v="Michael Kennedy"/>
    <s v="Corporate"/>
    <x v="3"/>
    <x v="0"/>
    <n v="1043.92"/>
    <n v="104392"/>
    <n v="20878.400000000001"/>
  </r>
  <r>
    <n v="371"/>
    <s v="CA-2018-104745"/>
    <x v="148"/>
    <d v="2018-06-04T00:00:00"/>
    <x v="1"/>
    <s v="GT-14755"/>
    <s v="Guy Thornton"/>
    <s v="Consumer"/>
    <x v="2"/>
    <x v="1"/>
    <n v="25.92"/>
    <n v="2592"/>
    <n v="518.4"/>
  </r>
  <r>
    <n v="372"/>
    <s v="CA-2018-104745"/>
    <x v="148"/>
    <d v="2018-06-04T00:00:00"/>
    <x v="1"/>
    <s v="GT-14755"/>
    <s v="Guy Thornton"/>
    <s v="Consumer"/>
    <x v="2"/>
    <x v="1"/>
    <n v="53.423999999999999"/>
    <n v="5342.4"/>
    <n v="1068.48"/>
  </r>
  <r>
    <n v="373"/>
    <s v="US-2015-119137"/>
    <x v="149"/>
    <d v="2015-07-27T00:00:00"/>
    <x v="1"/>
    <s v="AG-10900"/>
    <s v="Arthur Gainer"/>
    <s v="Consumer"/>
    <x v="1"/>
    <x v="1"/>
    <n v="8.16"/>
    <n v="816"/>
    <n v="163.20000000000002"/>
  </r>
  <r>
    <n v="374"/>
    <s v="US-2015-119137"/>
    <x v="149"/>
    <d v="2015-07-27T00:00:00"/>
    <x v="1"/>
    <s v="AG-10900"/>
    <s v="Arthur Gainer"/>
    <s v="Consumer"/>
    <x v="1"/>
    <x v="2"/>
    <n v="1023.936"/>
    <n v="102393.60000000001"/>
    <n v="20478.72"/>
  </r>
  <r>
    <n v="375"/>
    <s v="US-2015-119137"/>
    <x v="149"/>
    <d v="2015-07-27T00:00:00"/>
    <x v="1"/>
    <s v="AG-10900"/>
    <s v="Arthur Gainer"/>
    <s v="Consumer"/>
    <x v="1"/>
    <x v="1"/>
    <n v="9.24"/>
    <n v="924"/>
    <n v="184.8"/>
  </r>
  <r>
    <n v="376"/>
    <s v="US-2015-119137"/>
    <x v="149"/>
    <d v="2015-07-27T00:00:00"/>
    <x v="1"/>
    <s v="AG-10900"/>
    <s v="Arthur Gainer"/>
    <s v="Consumer"/>
    <x v="1"/>
    <x v="2"/>
    <n v="479.04"/>
    <n v="47904"/>
    <n v="9580.8000000000011"/>
  </r>
  <r>
    <n v="377"/>
    <s v="US-2017-134656"/>
    <x v="150"/>
    <d v="2017-10-01T00:00:00"/>
    <x v="2"/>
    <s v="MM-18280"/>
    <s v="Muhammed MacIntyre"/>
    <s v="Corporate"/>
    <x v="2"/>
    <x v="1"/>
    <n v="99.135999999999996"/>
    <n v="9913.6"/>
    <n v="1982.7200000000003"/>
  </r>
  <r>
    <n v="378"/>
    <s v="US-2018-134481"/>
    <x v="151"/>
    <d v="2018-09-01T00:00:00"/>
    <x v="1"/>
    <s v="AR-10405"/>
    <s v="Allen Rosenblatt"/>
    <s v="Corporate"/>
    <x v="3"/>
    <x v="0"/>
    <n v="1488.424"/>
    <n v="148842.4"/>
    <n v="29768.48"/>
  </r>
  <r>
    <n v="379"/>
    <s v="CA-2016-130792"/>
    <x v="152"/>
    <d v="2016-05-05T00:00:00"/>
    <x v="1"/>
    <s v="RA-19915"/>
    <s v="Russell Applegate"/>
    <s v="Consumer"/>
    <x v="2"/>
    <x v="1"/>
    <n v="8.6519999999999992"/>
    <n v="865.19999999999993"/>
    <n v="173.04"/>
  </r>
  <r>
    <n v="380"/>
    <s v="CA-2016-130792"/>
    <x v="152"/>
    <d v="2016-05-05T00:00:00"/>
    <x v="1"/>
    <s v="RA-19915"/>
    <s v="Russell Applegate"/>
    <s v="Consumer"/>
    <x v="2"/>
    <x v="1"/>
    <n v="23.832000000000001"/>
    <n v="2383.2000000000003"/>
    <n v="476.6400000000001"/>
  </r>
  <r>
    <n v="381"/>
    <s v="CA-2016-130792"/>
    <x v="152"/>
    <d v="2016-05-05T00:00:00"/>
    <x v="1"/>
    <s v="RA-19915"/>
    <s v="Russell Applegate"/>
    <s v="Consumer"/>
    <x v="2"/>
    <x v="1"/>
    <n v="12.176"/>
    <n v="1217.5999999999999"/>
    <n v="243.51999999999998"/>
  </r>
  <r>
    <n v="382"/>
    <s v="CA-2017-134775"/>
    <x v="99"/>
    <d v="2017-10-29T00:00:00"/>
    <x v="2"/>
    <s v="AS-10285"/>
    <s v="Alejandro Savely"/>
    <s v="Corporate"/>
    <x v="1"/>
    <x v="1"/>
    <n v="50.96"/>
    <n v="5096"/>
    <n v="1019.2"/>
  </r>
  <r>
    <n v="383"/>
    <s v="CA-2017-134775"/>
    <x v="99"/>
    <d v="2017-10-29T00:00:00"/>
    <x v="2"/>
    <s v="AS-10285"/>
    <s v="Alejandro Savely"/>
    <s v="Corporate"/>
    <x v="1"/>
    <x v="1"/>
    <n v="49.536000000000001"/>
    <n v="4953.6000000000004"/>
    <n v="990.72000000000014"/>
  </r>
  <r>
    <n v="384"/>
    <s v="CA-2016-125395"/>
    <x v="153"/>
    <d v="2016-06-29T00:00:00"/>
    <x v="0"/>
    <s v="LA-16780"/>
    <s v="Laura Armstrong"/>
    <s v="Corporate"/>
    <x v="2"/>
    <x v="2"/>
    <n v="41.9"/>
    <n v="4190"/>
    <n v="838"/>
  </r>
  <r>
    <n v="385"/>
    <s v="US-2016-168935"/>
    <x v="154"/>
    <d v="2016-12-02T00:00:00"/>
    <x v="1"/>
    <s v="DO-13435"/>
    <s v="Denny Ordway"/>
    <s v="Consumer"/>
    <x v="0"/>
    <x v="0"/>
    <n v="375.45749999999998"/>
    <n v="37545.75"/>
    <n v="7509.1500000000005"/>
  </r>
  <r>
    <n v="386"/>
    <s v="US-2016-168935"/>
    <x v="154"/>
    <d v="2016-12-02T00:00:00"/>
    <x v="1"/>
    <s v="DO-13435"/>
    <s v="Denny Ordway"/>
    <s v="Consumer"/>
    <x v="0"/>
    <x v="2"/>
    <n v="83.975999999999999"/>
    <n v="8397.6"/>
    <n v="1679.5200000000002"/>
  </r>
  <r>
    <n v="387"/>
    <s v="CA-2016-122756"/>
    <x v="155"/>
    <d v="2016-12-07T00:00:00"/>
    <x v="1"/>
    <s v="DK-13225"/>
    <s v="Dean Katz"/>
    <s v="Corporate"/>
    <x v="3"/>
    <x v="2"/>
    <n v="482.34"/>
    <n v="48234"/>
    <n v="9646.8000000000011"/>
  </r>
  <r>
    <n v="388"/>
    <s v="CA-2016-122756"/>
    <x v="155"/>
    <d v="2016-12-07T00:00:00"/>
    <x v="1"/>
    <s v="DK-13225"/>
    <s v="Dean Katz"/>
    <s v="Corporate"/>
    <x v="3"/>
    <x v="0"/>
    <n v="2.96"/>
    <n v="296"/>
    <n v="59.2"/>
  </r>
  <r>
    <n v="389"/>
    <s v="CA-2015-115973"/>
    <x v="156"/>
    <d v="2015-11-26T00:00:00"/>
    <x v="2"/>
    <s v="NG-18430"/>
    <s v="Nathan Gelder"/>
    <s v="Consumer"/>
    <x v="3"/>
    <x v="1"/>
    <n v="2.6240000000000001"/>
    <n v="262.40000000000003"/>
    <n v="52.480000000000011"/>
  </r>
  <r>
    <n v="390"/>
    <s v="CA-2018-101798"/>
    <x v="157"/>
    <d v="2018-12-15T00:00:00"/>
    <x v="1"/>
    <s v="MV-18190"/>
    <s v="Mike Vittorini"/>
    <s v="Consumer"/>
    <x v="3"/>
    <x v="1"/>
    <n v="23.36"/>
    <n v="2336"/>
    <n v="467.20000000000005"/>
  </r>
  <r>
    <n v="391"/>
    <s v="CA-2018-101798"/>
    <x v="157"/>
    <d v="2018-12-15T00:00:00"/>
    <x v="1"/>
    <s v="MV-18190"/>
    <s v="Mike Vittorini"/>
    <s v="Consumer"/>
    <x v="3"/>
    <x v="2"/>
    <n v="39.979999999999997"/>
    <n v="3997.9999999999995"/>
    <n v="799.59999999999991"/>
  </r>
  <r>
    <n v="392"/>
    <s v="US-2015-135972"/>
    <x v="158"/>
    <d v="2015-09-23T00:00:00"/>
    <x v="0"/>
    <s v="JG-15115"/>
    <s v="Jack Garza"/>
    <s v="Consumer"/>
    <x v="1"/>
    <x v="2"/>
    <n v="246.38399999999999"/>
    <n v="24638.399999999998"/>
    <n v="4927.68"/>
  </r>
  <r>
    <n v="393"/>
    <s v="US-2015-135972"/>
    <x v="158"/>
    <d v="2015-09-23T00:00:00"/>
    <x v="0"/>
    <s v="JG-15115"/>
    <s v="Jack Garza"/>
    <s v="Consumer"/>
    <x v="1"/>
    <x v="2"/>
    <n v="1799.97"/>
    <n v="179997"/>
    <n v="35999.4"/>
  </r>
  <r>
    <n v="394"/>
    <s v="US-2015-134971"/>
    <x v="159"/>
    <d v="2015-06-10T00:00:00"/>
    <x v="0"/>
    <s v="BP-11095"/>
    <s v="Bart Pistole"/>
    <s v="Corporate"/>
    <x v="2"/>
    <x v="1"/>
    <n v="12.462"/>
    <n v="1246.2"/>
    <n v="249.24"/>
  </r>
  <r>
    <n v="395"/>
    <s v="CA-2018-102946"/>
    <x v="160"/>
    <d v="2018-07-05T00:00:00"/>
    <x v="1"/>
    <s v="VP-21730"/>
    <s v="Victor Preis"/>
    <s v="Home Office"/>
    <x v="1"/>
    <x v="1"/>
    <n v="75.792000000000002"/>
    <n v="7579.2"/>
    <n v="1515.8400000000001"/>
  </r>
  <r>
    <n v="396"/>
    <s v="CA-2018-165603"/>
    <x v="161"/>
    <d v="2018-10-19T00:00:00"/>
    <x v="0"/>
    <s v="SS-20140"/>
    <s v="Saphhira Shifley"/>
    <s v="Corporate"/>
    <x v="3"/>
    <x v="1"/>
    <n v="49.96"/>
    <n v="4996"/>
    <n v="999.2"/>
  </r>
  <r>
    <n v="397"/>
    <s v="CA-2018-165603"/>
    <x v="161"/>
    <d v="2018-10-19T00:00:00"/>
    <x v="0"/>
    <s v="SS-20140"/>
    <s v="Saphhira Shifley"/>
    <s v="Corporate"/>
    <x v="3"/>
    <x v="1"/>
    <n v="12.96"/>
    <n v="1296"/>
    <n v="259.2"/>
  </r>
  <r>
    <n v="398"/>
    <s v="CA-2016-122259"/>
    <x v="89"/>
    <d v="2016-11-04T00:00:00"/>
    <x v="1"/>
    <s v="HP-14815"/>
    <s v="Harold Pawlan"/>
    <s v="Home Office"/>
    <x v="2"/>
    <x v="1"/>
    <n v="70.12"/>
    <n v="7012"/>
    <n v="1402.4"/>
  </r>
  <r>
    <n v="399"/>
    <s v="CA-2017-108987"/>
    <x v="162"/>
    <d v="2017-09-10T00:00:00"/>
    <x v="0"/>
    <s v="AG-10675"/>
    <s v="Anna Gayman"/>
    <s v="Consumer"/>
    <x v="2"/>
    <x v="1"/>
    <n v="35.951999999999998"/>
    <n v="3595.2"/>
    <n v="719.04"/>
  </r>
  <r>
    <n v="400"/>
    <s v="CA-2017-108987"/>
    <x v="162"/>
    <d v="2017-09-10T00:00:00"/>
    <x v="0"/>
    <s v="AG-10675"/>
    <s v="Anna Gayman"/>
    <s v="Consumer"/>
    <x v="2"/>
    <x v="0"/>
    <n v="2396.2656000000002"/>
    <n v="239626.56000000003"/>
    <n v="47925.312000000005"/>
  </r>
  <r>
    <n v="401"/>
    <s v="CA-2017-108987"/>
    <x v="162"/>
    <d v="2017-09-10T00:00:00"/>
    <x v="0"/>
    <s v="AG-10675"/>
    <s v="Anna Gayman"/>
    <s v="Consumer"/>
    <x v="2"/>
    <x v="1"/>
    <n v="131.136"/>
    <n v="13113.6"/>
    <n v="2622.7200000000003"/>
  </r>
  <r>
    <n v="402"/>
    <s v="CA-2017-108987"/>
    <x v="162"/>
    <d v="2017-09-10T00:00:00"/>
    <x v="0"/>
    <s v="AG-10675"/>
    <s v="Anna Gayman"/>
    <s v="Consumer"/>
    <x v="2"/>
    <x v="2"/>
    <n v="57.584000000000003"/>
    <n v="5758.4000000000005"/>
    <n v="1151.68"/>
  </r>
  <r>
    <n v="403"/>
    <s v="CA-2015-113166"/>
    <x v="163"/>
    <d v="2015-12-26T00:00:00"/>
    <x v="2"/>
    <s v="LF-17185"/>
    <s v="Luke Foster"/>
    <s v="Consumer"/>
    <x v="0"/>
    <x v="1"/>
    <n v="9.5679999999999996"/>
    <n v="956.8"/>
    <n v="191.36"/>
  </r>
  <r>
    <n v="404"/>
    <s v="CA-2015-155208"/>
    <x v="164"/>
    <d v="2015-04-20T00:00:00"/>
    <x v="1"/>
    <s v="SP-20650"/>
    <s v="Stephanie Phelps"/>
    <s v="Corporate"/>
    <x v="0"/>
    <x v="1"/>
    <n v="39.072000000000003"/>
    <n v="3907.2000000000003"/>
    <n v="781.44"/>
  </r>
  <r>
    <n v="405"/>
    <s v="CA-2018-117933"/>
    <x v="165"/>
    <d v="2018-12-29T00:00:00"/>
    <x v="1"/>
    <s v="RF-19840"/>
    <s v="Roy FranzÃ¶sisch"/>
    <s v="Consumer"/>
    <x v="3"/>
    <x v="1"/>
    <n v="35.909999999999997"/>
    <n v="3590.9999999999995"/>
    <n v="718.19999999999993"/>
  </r>
  <r>
    <n v="406"/>
    <s v="CA-2018-117457"/>
    <x v="166"/>
    <d v="2018-12-12T00:00:00"/>
    <x v="1"/>
    <s v="KH-16510"/>
    <s v="Keith Herrera"/>
    <s v="Consumer"/>
    <x v="1"/>
    <x v="2"/>
    <n v="179.95"/>
    <n v="17995"/>
    <n v="3599"/>
  </r>
  <r>
    <n v="407"/>
    <s v="CA-2018-117457"/>
    <x v="166"/>
    <d v="2018-12-12T00:00:00"/>
    <x v="1"/>
    <s v="KH-16510"/>
    <s v="Keith Herrera"/>
    <s v="Consumer"/>
    <x v="1"/>
    <x v="2"/>
    <n v="1199.9760000000001"/>
    <n v="119997.6"/>
    <n v="23999.520000000004"/>
  </r>
  <r>
    <n v="408"/>
    <s v="CA-2018-117457"/>
    <x v="166"/>
    <d v="2018-12-12T00:00:00"/>
    <x v="1"/>
    <s v="KH-16510"/>
    <s v="Keith Herrera"/>
    <s v="Consumer"/>
    <x v="1"/>
    <x v="1"/>
    <n v="27.15"/>
    <n v="2715"/>
    <n v="543"/>
  </r>
  <r>
    <n v="409"/>
    <s v="CA-2018-117457"/>
    <x v="166"/>
    <d v="2018-12-12T00:00:00"/>
    <x v="1"/>
    <s v="KH-16510"/>
    <s v="Keith Herrera"/>
    <s v="Consumer"/>
    <x v="1"/>
    <x v="0"/>
    <n v="1004.024"/>
    <n v="100402.4"/>
    <n v="20080.48"/>
  </r>
  <r>
    <n v="410"/>
    <s v="CA-2018-117457"/>
    <x v="166"/>
    <d v="2018-12-12T00:00:00"/>
    <x v="1"/>
    <s v="KH-16510"/>
    <s v="Keith Herrera"/>
    <s v="Consumer"/>
    <x v="1"/>
    <x v="1"/>
    <n v="9.68"/>
    <n v="968"/>
    <n v="193.60000000000002"/>
  </r>
  <r>
    <n v="411"/>
    <s v="CA-2018-117457"/>
    <x v="166"/>
    <d v="2018-12-12T00:00:00"/>
    <x v="1"/>
    <s v="KH-16510"/>
    <s v="Keith Herrera"/>
    <s v="Consumer"/>
    <x v="1"/>
    <x v="1"/>
    <n v="28.35"/>
    <n v="2835"/>
    <n v="567"/>
  </r>
  <r>
    <n v="412"/>
    <s v="CA-2018-117457"/>
    <x v="166"/>
    <d v="2018-12-12T00:00:00"/>
    <x v="1"/>
    <s v="KH-16510"/>
    <s v="Keith Herrera"/>
    <s v="Consumer"/>
    <x v="1"/>
    <x v="1"/>
    <n v="55.98"/>
    <n v="5598"/>
    <n v="1119.6000000000001"/>
  </r>
  <r>
    <n v="413"/>
    <s v="CA-2018-117457"/>
    <x v="166"/>
    <d v="2018-12-12T00:00:00"/>
    <x v="1"/>
    <s v="KH-16510"/>
    <s v="Keith Herrera"/>
    <s v="Consumer"/>
    <x v="1"/>
    <x v="0"/>
    <n v="1336.829"/>
    <n v="133682.9"/>
    <n v="26736.58"/>
  </r>
  <r>
    <n v="414"/>
    <s v="CA-2018-117457"/>
    <x v="166"/>
    <d v="2018-12-12T00:00:00"/>
    <x v="1"/>
    <s v="KH-16510"/>
    <s v="Keith Herrera"/>
    <s v="Consumer"/>
    <x v="1"/>
    <x v="0"/>
    <n v="113.568"/>
    <n v="11356.8"/>
    <n v="2271.36"/>
  </r>
  <r>
    <n v="415"/>
    <s v="CA-2018-142636"/>
    <x v="132"/>
    <d v="2018-11-07T00:00:00"/>
    <x v="1"/>
    <s v="KC-16675"/>
    <s v="Kimberly Carter"/>
    <s v="Corporate"/>
    <x v="1"/>
    <x v="1"/>
    <n v="139.86000000000001"/>
    <n v="13986.000000000002"/>
    <n v="2797.2000000000007"/>
  </r>
  <r>
    <n v="416"/>
    <s v="CA-2018-142636"/>
    <x v="132"/>
    <d v="2018-11-07T00:00:00"/>
    <x v="1"/>
    <s v="KC-16675"/>
    <s v="Kimberly Carter"/>
    <s v="Corporate"/>
    <x v="1"/>
    <x v="0"/>
    <n v="307.13600000000002"/>
    <n v="30713.600000000002"/>
    <n v="6142.7200000000012"/>
  </r>
  <r>
    <n v="417"/>
    <s v="CA-2018-122105"/>
    <x v="92"/>
    <d v="2018-06-28T00:00:00"/>
    <x v="1"/>
    <s v="CJ-12010"/>
    <s v="Caroline Jumper"/>
    <s v="Consumer"/>
    <x v="1"/>
    <x v="1"/>
    <n v="95.92"/>
    <n v="9592"/>
    <n v="1918.4"/>
  </r>
  <r>
    <n v="418"/>
    <s v="CA-2017-148796"/>
    <x v="167"/>
    <d v="2017-04-18T00:00:00"/>
    <x v="1"/>
    <s v="PB-19150"/>
    <s v="Philip Brown"/>
    <s v="Consumer"/>
    <x v="1"/>
    <x v="0"/>
    <n v="383.8"/>
    <n v="38380"/>
    <n v="7676"/>
  </r>
  <r>
    <n v="419"/>
    <s v="CA-2018-154816"/>
    <x v="44"/>
    <d v="2018-11-10T00:00:00"/>
    <x v="1"/>
    <s v="VB-21745"/>
    <s v="Victoria Brennan"/>
    <s v="Corporate"/>
    <x v="0"/>
    <x v="1"/>
    <n v="5.78"/>
    <n v="578"/>
    <n v="115.60000000000001"/>
  </r>
  <r>
    <n v="420"/>
    <s v="CA-2018-110478"/>
    <x v="168"/>
    <d v="2018-03-09T00:00:00"/>
    <x v="1"/>
    <s v="SP-20860"/>
    <s v="Sung Pak"/>
    <s v="Corporate"/>
    <x v="1"/>
    <x v="1"/>
    <n v="9.32"/>
    <n v="932"/>
    <n v="186.4"/>
  </r>
  <r>
    <n v="421"/>
    <s v="CA-2018-110478"/>
    <x v="168"/>
    <d v="2018-03-09T00:00:00"/>
    <x v="1"/>
    <s v="SP-20860"/>
    <s v="Sung Pak"/>
    <s v="Corporate"/>
    <x v="1"/>
    <x v="1"/>
    <n v="15.25"/>
    <n v="1525"/>
    <n v="305"/>
  </r>
  <r>
    <n v="422"/>
    <s v="CA-2015-142048"/>
    <x v="169"/>
    <d v="2015-06-25T00:00:00"/>
    <x v="2"/>
    <s v="JE-15745"/>
    <s v="Joel Eaton"/>
    <s v="Consumer"/>
    <x v="1"/>
    <x v="2"/>
    <n v="196.75200000000001"/>
    <n v="19675.2"/>
    <n v="3935.0400000000004"/>
  </r>
  <r>
    <n v="423"/>
    <s v="CA-2018-125388"/>
    <x v="15"/>
    <d v="2018-10-23T00:00:00"/>
    <x v="1"/>
    <s v="MP-17965"/>
    <s v="Michael Paige"/>
    <s v="Corporate"/>
    <x v="3"/>
    <x v="0"/>
    <n v="56.56"/>
    <n v="5656"/>
    <n v="1131.2"/>
  </r>
  <r>
    <n v="424"/>
    <s v="CA-2018-125388"/>
    <x v="15"/>
    <d v="2018-10-23T00:00:00"/>
    <x v="1"/>
    <s v="MP-17965"/>
    <s v="Michael Paige"/>
    <s v="Corporate"/>
    <x v="3"/>
    <x v="1"/>
    <n v="32.700000000000003"/>
    <n v="3270.0000000000005"/>
    <n v="654.00000000000011"/>
  </r>
  <r>
    <n v="425"/>
    <s v="CA-2018-155705"/>
    <x v="170"/>
    <d v="2018-08-23T00:00:00"/>
    <x v="0"/>
    <s v="NF-18385"/>
    <s v="Natalie Fritzler"/>
    <s v="Consumer"/>
    <x v="0"/>
    <x v="0"/>
    <n v="866.4"/>
    <n v="86640"/>
    <n v="17328"/>
  </r>
  <r>
    <n v="426"/>
    <s v="CA-2018-149160"/>
    <x v="51"/>
    <d v="2018-11-26T00:00:00"/>
    <x v="0"/>
    <s v="JM-15265"/>
    <s v="Janet Molinari"/>
    <s v="Corporate"/>
    <x v="2"/>
    <x v="0"/>
    <n v="28.4"/>
    <n v="2840"/>
    <n v="568"/>
  </r>
  <r>
    <n v="427"/>
    <s v="CA-2018-149160"/>
    <x v="51"/>
    <d v="2018-11-26T00:00:00"/>
    <x v="0"/>
    <s v="JM-15265"/>
    <s v="Janet Molinari"/>
    <s v="Corporate"/>
    <x v="2"/>
    <x v="1"/>
    <n v="287.92"/>
    <n v="28792"/>
    <n v="5758.4000000000005"/>
  </r>
  <r>
    <n v="428"/>
    <s v="CA-2015-101476"/>
    <x v="171"/>
    <d v="2015-09-13T00:00:00"/>
    <x v="2"/>
    <s v="SD-20485"/>
    <s v="Shirley Daniels"/>
    <s v="Home Office"/>
    <x v="3"/>
    <x v="2"/>
    <n v="69.989999999999995"/>
    <n v="6998.9999999999991"/>
    <n v="1399.8"/>
  </r>
  <r>
    <n v="429"/>
    <s v="CA-2018-152275"/>
    <x v="172"/>
    <d v="2018-10-08T00:00:00"/>
    <x v="1"/>
    <s v="KH-16630"/>
    <s v="Ken Heidel"/>
    <s v="Corporate"/>
    <x v="2"/>
    <x v="1"/>
    <n v="6.6719999999999997"/>
    <n v="667.19999999999993"/>
    <n v="133.44"/>
  </r>
  <r>
    <n v="430"/>
    <s v="US-2017-123750"/>
    <x v="173"/>
    <d v="2017-04-21T00:00:00"/>
    <x v="1"/>
    <s v="RB-19795"/>
    <s v="Ross Baird"/>
    <s v="Home Office"/>
    <x v="0"/>
    <x v="1"/>
    <n v="189.58799999999999"/>
    <n v="18958.8"/>
    <n v="3791.76"/>
  </r>
  <r>
    <n v="431"/>
    <s v="US-2017-123750"/>
    <x v="173"/>
    <d v="2017-04-21T00:00:00"/>
    <x v="1"/>
    <s v="RB-19795"/>
    <s v="Ross Baird"/>
    <s v="Home Office"/>
    <x v="0"/>
    <x v="2"/>
    <n v="408.74400000000003"/>
    <n v="40874.400000000001"/>
    <n v="8174.880000000001"/>
  </r>
  <r>
    <n v="432"/>
    <s v="US-2017-123750"/>
    <x v="173"/>
    <d v="2017-04-21T00:00:00"/>
    <x v="1"/>
    <s v="RB-19795"/>
    <s v="Ross Baird"/>
    <s v="Home Office"/>
    <x v="0"/>
    <x v="2"/>
    <n v="291.95999999999998"/>
    <n v="29195.999999999996"/>
    <n v="5839.2"/>
  </r>
  <r>
    <n v="433"/>
    <s v="US-2017-123750"/>
    <x v="173"/>
    <d v="2017-04-21T00:00:00"/>
    <x v="1"/>
    <s v="RB-19795"/>
    <s v="Ross Baird"/>
    <s v="Home Office"/>
    <x v="0"/>
    <x v="1"/>
    <n v="4.7679999999999998"/>
    <n v="476.79999999999995"/>
    <n v="95.36"/>
  </r>
  <r>
    <n v="434"/>
    <s v="CA-2017-127369"/>
    <x v="112"/>
    <d v="2017-06-07T00:00:00"/>
    <x v="2"/>
    <s v="DB-13060"/>
    <s v="Dave Brooks"/>
    <s v="Consumer"/>
    <x v="3"/>
    <x v="1"/>
    <n v="714.3"/>
    <n v="71430"/>
    <n v="14286"/>
  </r>
  <r>
    <n v="435"/>
    <s v="US-2015-150574"/>
    <x v="174"/>
    <d v="2015-12-25T00:00:00"/>
    <x v="1"/>
    <s v="MK-18160"/>
    <s v="Mike Kennedy"/>
    <s v="Consumer"/>
    <x v="0"/>
    <x v="1"/>
    <n v="4.8120000000000003"/>
    <n v="481.20000000000005"/>
    <n v="96.240000000000009"/>
  </r>
  <r>
    <n v="436"/>
    <s v="US-2015-150574"/>
    <x v="174"/>
    <d v="2015-12-25T00:00:00"/>
    <x v="1"/>
    <s v="MK-18160"/>
    <s v="Mike Kennedy"/>
    <s v="Consumer"/>
    <x v="0"/>
    <x v="2"/>
    <n v="247.8"/>
    <n v="24780"/>
    <n v="4956"/>
  </r>
  <r>
    <n v="437"/>
    <s v="CA-2017-147375"/>
    <x v="1"/>
    <d v="2017-06-14T00:00:00"/>
    <x v="0"/>
    <s v="PO-19180"/>
    <s v="Philisse Overcash"/>
    <s v="Home Office"/>
    <x v="2"/>
    <x v="2"/>
    <n v="1007.979"/>
    <n v="100797.90000000001"/>
    <n v="20159.580000000002"/>
  </r>
  <r>
    <n v="438"/>
    <s v="CA-2017-147375"/>
    <x v="1"/>
    <d v="2017-06-14T00:00:00"/>
    <x v="0"/>
    <s v="PO-19180"/>
    <s v="Philisse Overcash"/>
    <s v="Home Office"/>
    <x v="2"/>
    <x v="1"/>
    <n v="313.488"/>
    <n v="31348.799999999999"/>
    <n v="6269.76"/>
  </r>
  <r>
    <n v="439"/>
    <s v="CA-2018-130043"/>
    <x v="175"/>
    <d v="2018-09-19T00:00:00"/>
    <x v="1"/>
    <s v="BB-11545"/>
    <s v="Brenda Bowman"/>
    <s v="Corporate"/>
    <x v="2"/>
    <x v="1"/>
    <n v="31.872"/>
    <n v="3187.2"/>
    <n v="637.44000000000005"/>
  </r>
  <r>
    <n v="440"/>
    <s v="CA-2018-157252"/>
    <x v="176"/>
    <d v="2018-01-23T00:00:00"/>
    <x v="0"/>
    <s v="CV-12805"/>
    <s v="Cynthia Voltz"/>
    <s v="Corporate"/>
    <x v="3"/>
    <x v="0"/>
    <n v="207.846"/>
    <n v="20784.599999999999"/>
    <n v="4156.92"/>
  </r>
  <r>
    <n v="441"/>
    <s v="CA-2017-115756"/>
    <x v="64"/>
    <d v="2017-09-07T00:00:00"/>
    <x v="0"/>
    <s v="PK-19075"/>
    <s v="Pete Kriz"/>
    <s v="Consumer"/>
    <x v="2"/>
    <x v="0"/>
    <n v="12.22"/>
    <n v="1222"/>
    <n v="244.4"/>
  </r>
  <r>
    <n v="442"/>
    <s v="CA-2017-115756"/>
    <x v="64"/>
    <d v="2017-09-07T00:00:00"/>
    <x v="0"/>
    <s v="PK-19075"/>
    <s v="Pete Kriz"/>
    <s v="Consumer"/>
    <x v="2"/>
    <x v="1"/>
    <n v="194.94"/>
    <n v="19494"/>
    <n v="3898.8"/>
  </r>
  <r>
    <n v="443"/>
    <s v="CA-2017-115756"/>
    <x v="64"/>
    <d v="2017-09-07T00:00:00"/>
    <x v="0"/>
    <s v="PK-19075"/>
    <s v="Pete Kriz"/>
    <s v="Consumer"/>
    <x v="2"/>
    <x v="1"/>
    <n v="70.95"/>
    <n v="7095"/>
    <n v="1419"/>
  </r>
  <r>
    <n v="444"/>
    <s v="CA-2017-115756"/>
    <x v="64"/>
    <d v="2017-09-07T00:00:00"/>
    <x v="0"/>
    <s v="PK-19075"/>
    <s v="Pete Kriz"/>
    <s v="Consumer"/>
    <x v="2"/>
    <x v="1"/>
    <n v="91.36"/>
    <n v="9136"/>
    <n v="1827.2"/>
  </r>
  <r>
    <n v="445"/>
    <s v="CA-2017-115756"/>
    <x v="64"/>
    <d v="2017-09-07T00:00:00"/>
    <x v="0"/>
    <s v="PK-19075"/>
    <s v="Pete Kriz"/>
    <s v="Consumer"/>
    <x v="2"/>
    <x v="0"/>
    <n v="242.94"/>
    <n v="24294"/>
    <n v="4858.8"/>
  </r>
  <r>
    <n v="446"/>
    <s v="CA-2017-115756"/>
    <x v="64"/>
    <d v="2017-09-07T00:00:00"/>
    <x v="0"/>
    <s v="PK-19075"/>
    <s v="Pete Kriz"/>
    <s v="Consumer"/>
    <x v="2"/>
    <x v="1"/>
    <n v="22.05"/>
    <n v="2205"/>
    <n v="441"/>
  </r>
  <r>
    <n v="447"/>
    <s v="CA-2018-154214"/>
    <x v="177"/>
    <d v="2018-03-25T00:00:00"/>
    <x v="0"/>
    <s v="TB-21595"/>
    <s v="Troy Blackwell"/>
    <s v="Consumer"/>
    <x v="2"/>
    <x v="0"/>
    <n v="2.91"/>
    <n v="291"/>
    <n v="58.2"/>
  </r>
  <r>
    <n v="448"/>
    <s v="CA-2017-166674"/>
    <x v="178"/>
    <d v="2017-04-03T00:00:00"/>
    <x v="0"/>
    <s v="RB-19360"/>
    <s v="Raymond Buch"/>
    <s v="Consumer"/>
    <x v="3"/>
    <x v="1"/>
    <n v="59.52"/>
    <n v="5952"/>
    <n v="1190.4000000000001"/>
  </r>
  <r>
    <n v="449"/>
    <s v="CA-2017-166674"/>
    <x v="178"/>
    <d v="2017-04-03T00:00:00"/>
    <x v="0"/>
    <s v="RB-19360"/>
    <s v="Raymond Buch"/>
    <s v="Consumer"/>
    <x v="3"/>
    <x v="1"/>
    <n v="161.94"/>
    <n v="16194"/>
    <n v="3238.8"/>
  </r>
  <r>
    <n v="450"/>
    <s v="CA-2017-166674"/>
    <x v="178"/>
    <d v="2017-04-03T00:00:00"/>
    <x v="0"/>
    <s v="RB-19360"/>
    <s v="Raymond Buch"/>
    <s v="Consumer"/>
    <x v="3"/>
    <x v="1"/>
    <n v="263.88"/>
    <n v="26388"/>
    <n v="5277.6"/>
  </r>
  <r>
    <n v="451"/>
    <s v="CA-2017-166674"/>
    <x v="178"/>
    <d v="2017-04-03T00:00:00"/>
    <x v="0"/>
    <s v="RB-19360"/>
    <s v="Raymond Buch"/>
    <s v="Consumer"/>
    <x v="3"/>
    <x v="1"/>
    <n v="30.48"/>
    <n v="3048"/>
    <n v="609.6"/>
  </r>
  <r>
    <n v="452"/>
    <s v="CA-2017-166674"/>
    <x v="178"/>
    <d v="2017-04-03T00:00:00"/>
    <x v="0"/>
    <s v="RB-19360"/>
    <s v="Raymond Buch"/>
    <s v="Consumer"/>
    <x v="3"/>
    <x v="1"/>
    <n v="9.84"/>
    <n v="984"/>
    <n v="196.8"/>
  </r>
  <r>
    <n v="453"/>
    <s v="CA-2017-166674"/>
    <x v="178"/>
    <d v="2017-04-03T00:00:00"/>
    <x v="0"/>
    <s v="RB-19360"/>
    <s v="Raymond Buch"/>
    <s v="Consumer"/>
    <x v="3"/>
    <x v="2"/>
    <n v="35.119999999999997"/>
    <n v="3511.9999999999995"/>
    <n v="702.4"/>
  </r>
  <r>
    <n v="454"/>
    <s v="CA-2018-147277"/>
    <x v="179"/>
    <d v="2018-10-24T00:00:00"/>
    <x v="1"/>
    <s v="EB-13705"/>
    <s v="Ed Braxton"/>
    <s v="Corporate"/>
    <x v="3"/>
    <x v="0"/>
    <n v="284.36399999999998"/>
    <n v="28436.399999999998"/>
    <n v="5687.28"/>
  </r>
  <r>
    <n v="455"/>
    <s v="CA-2018-147277"/>
    <x v="179"/>
    <d v="2018-10-24T00:00:00"/>
    <x v="1"/>
    <s v="EB-13705"/>
    <s v="Ed Braxton"/>
    <s v="Corporate"/>
    <x v="3"/>
    <x v="1"/>
    <n v="665.40800000000002"/>
    <n v="66540.800000000003"/>
    <n v="13308.160000000002"/>
  </r>
  <r>
    <n v="456"/>
    <s v="CA-2017-100153"/>
    <x v="180"/>
    <d v="2017-12-17T00:00:00"/>
    <x v="1"/>
    <s v="KH-16630"/>
    <s v="Ken Heidel"/>
    <s v="Corporate"/>
    <x v="2"/>
    <x v="2"/>
    <n v="63.88"/>
    <n v="6388"/>
    <n v="1277.6000000000001"/>
  </r>
  <r>
    <n v="457"/>
    <s v="US-2015-110674"/>
    <x v="181"/>
    <d v="2015-02-18T00:00:00"/>
    <x v="1"/>
    <s v="SC-20095"/>
    <s v="Sanjit Chand"/>
    <s v="Consumer"/>
    <x v="1"/>
    <x v="0"/>
    <n v="129.56800000000001"/>
    <n v="12956.800000000001"/>
    <n v="2591.3600000000006"/>
  </r>
  <r>
    <n v="458"/>
    <s v="US-2017-157945"/>
    <x v="182"/>
    <d v="2017-10-01T00:00:00"/>
    <x v="1"/>
    <s v="NF-18385"/>
    <s v="Natalie Fritzler"/>
    <s v="Consumer"/>
    <x v="2"/>
    <x v="0"/>
    <n v="747.55799999999999"/>
    <n v="74755.8"/>
    <n v="14951.160000000002"/>
  </r>
  <r>
    <n v="459"/>
    <s v="US-2017-157945"/>
    <x v="182"/>
    <d v="2017-10-01T00:00:00"/>
    <x v="1"/>
    <s v="NF-18385"/>
    <s v="Natalie Fritzler"/>
    <s v="Consumer"/>
    <x v="2"/>
    <x v="1"/>
    <n v="8.9280000000000008"/>
    <n v="892.80000000000007"/>
    <n v="178.56000000000003"/>
  </r>
  <r>
    <n v="460"/>
    <s v="CA-2016-109638"/>
    <x v="83"/>
    <d v="2016-12-22T00:00:00"/>
    <x v="1"/>
    <s v="JH-15985"/>
    <s v="Joseph Holt"/>
    <s v="Consumer"/>
    <x v="1"/>
    <x v="1"/>
    <n v="103.92"/>
    <n v="10392"/>
    <n v="2078.4"/>
  </r>
  <r>
    <n v="461"/>
    <s v="CA-2016-109638"/>
    <x v="83"/>
    <d v="2016-12-22T00:00:00"/>
    <x v="1"/>
    <s v="JH-15985"/>
    <s v="Joseph Holt"/>
    <s v="Consumer"/>
    <x v="1"/>
    <x v="2"/>
    <n v="899.91"/>
    <n v="89991"/>
    <n v="17998.2"/>
  </r>
  <r>
    <n v="462"/>
    <s v="CA-2016-109638"/>
    <x v="83"/>
    <d v="2016-12-22T00:00:00"/>
    <x v="1"/>
    <s v="JH-15985"/>
    <s v="Joseph Holt"/>
    <s v="Consumer"/>
    <x v="1"/>
    <x v="1"/>
    <n v="51.311999999999998"/>
    <n v="5131.2"/>
    <n v="1026.24"/>
  </r>
  <r>
    <n v="463"/>
    <s v="CA-2017-109869"/>
    <x v="183"/>
    <d v="2017-04-29T00:00:00"/>
    <x v="1"/>
    <s v="TN-21040"/>
    <s v="Tanja Norvell"/>
    <s v="Home Office"/>
    <x v="1"/>
    <x v="0"/>
    <n v="23.56"/>
    <n v="2356"/>
    <n v="471.20000000000005"/>
  </r>
  <r>
    <n v="464"/>
    <s v="CA-2017-109869"/>
    <x v="183"/>
    <d v="2017-04-29T00:00:00"/>
    <x v="1"/>
    <s v="TN-21040"/>
    <s v="Tanja Norvell"/>
    <s v="Home Office"/>
    <x v="1"/>
    <x v="0"/>
    <n v="1272.6300000000001"/>
    <n v="127263.00000000001"/>
    <n v="25452.600000000006"/>
  </r>
  <r>
    <n v="465"/>
    <s v="CA-2017-109869"/>
    <x v="183"/>
    <d v="2017-04-29T00:00:00"/>
    <x v="1"/>
    <s v="TN-21040"/>
    <s v="Tanja Norvell"/>
    <s v="Home Office"/>
    <x v="1"/>
    <x v="1"/>
    <n v="28.484999999999999"/>
    <n v="2848.5"/>
    <n v="569.70000000000005"/>
  </r>
  <r>
    <n v="466"/>
    <s v="CA-2017-109869"/>
    <x v="183"/>
    <d v="2017-04-29T00:00:00"/>
    <x v="1"/>
    <s v="TN-21040"/>
    <s v="Tanja Norvell"/>
    <s v="Home Office"/>
    <x v="1"/>
    <x v="1"/>
    <n v="185.376"/>
    <n v="18537.600000000002"/>
    <n v="3707.5200000000004"/>
  </r>
  <r>
    <n v="467"/>
    <s v="CA-2017-109869"/>
    <x v="183"/>
    <d v="2017-04-29T00:00:00"/>
    <x v="1"/>
    <s v="TN-21040"/>
    <s v="Tanja Norvell"/>
    <s v="Home Office"/>
    <x v="1"/>
    <x v="1"/>
    <n v="78.272000000000006"/>
    <n v="7827.2000000000007"/>
    <n v="1565.4400000000003"/>
  </r>
  <r>
    <n v="468"/>
    <s v="US-2016-101399"/>
    <x v="184"/>
    <d v="2016-01-24T00:00:00"/>
    <x v="1"/>
    <s v="JS-15940"/>
    <s v="Joni Sundaresam"/>
    <s v="Home Office"/>
    <x v="2"/>
    <x v="0"/>
    <n v="254.744"/>
    <n v="25474.400000000001"/>
    <n v="5094.880000000001"/>
  </r>
  <r>
    <n v="469"/>
    <s v="CA-2018-154907"/>
    <x v="185"/>
    <d v="2018-04-04T00:00:00"/>
    <x v="1"/>
    <s v="DS-13180"/>
    <s v="David Smith"/>
    <s v="Corporate"/>
    <x v="2"/>
    <x v="0"/>
    <n v="205.33279999999999"/>
    <n v="20533.28"/>
    <n v="4106.6559999999999"/>
  </r>
  <r>
    <n v="470"/>
    <s v="US-2017-100419"/>
    <x v="186"/>
    <d v="2017-12-20T00:00:00"/>
    <x v="0"/>
    <s v="CC-12670"/>
    <s v="Craig Carreira"/>
    <s v="Consumer"/>
    <x v="2"/>
    <x v="1"/>
    <n v="4.7880000000000003"/>
    <n v="478.8"/>
    <n v="95.76"/>
  </r>
  <r>
    <n v="471"/>
    <s v="CA-2016-154144"/>
    <x v="139"/>
    <d v="2016-12-24T00:00:00"/>
    <x v="1"/>
    <s v="MH-17785"/>
    <s v="Maya Herman"/>
    <s v="Corporate"/>
    <x v="3"/>
    <x v="1"/>
    <n v="55.48"/>
    <n v="5548"/>
    <n v="1109.6000000000001"/>
  </r>
  <r>
    <n v="472"/>
    <s v="CA-2015-144666"/>
    <x v="187"/>
    <d v="2015-11-11T00:00:00"/>
    <x v="0"/>
    <s v="JP-15520"/>
    <s v="Jeremy Pistek"/>
    <s v="Consumer"/>
    <x v="1"/>
    <x v="1"/>
    <n v="340.92"/>
    <n v="34092"/>
    <n v="6818.4000000000005"/>
  </r>
  <r>
    <n v="473"/>
    <s v="CA-2015-144666"/>
    <x v="187"/>
    <d v="2015-11-11T00:00:00"/>
    <x v="0"/>
    <s v="JP-15520"/>
    <s v="Jeremy Pistek"/>
    <s v="Consumer"/>
    <x v="1"/>
    <x v="0"/>
    <n v="222.666"/>
    <n v="22266.6"/>
    <n v="4453.32"/>
  </r>
  <r>
    <n v="474"/>
    <s v="CA-2015-144666"/>
    <x v="187"/>
    <d v="2015-11-11T00:00:00"/>
    <x v="0"/>
    <s v="JP-15520"/>
    <s v="Jeremy Pistek"/>
    <s v="Consumer"/>
    <x v="1"/>
    <x v="2"/>
    <n v="703.96799999999996"/>
    <n v="70396.800000000003"/>
    <n v="14079.36"/>
  </r>
  <r>
    <n v="475"/>
    <s v="CA-2015-144666"/>
    <x v="187"/>
    <d v="2015-11-11T00:00:00"/>
    <x v="0"/>
    <s v="JP-15520"/>
    <s v="Jeremy Pistek"/>
    <s v="Consumer"/>
    <x v="1"/>
    <x v="1"/>
    <n v="92.52"/>
    <n v="9252"/>
    <n v="1850.4"/>
  </r>
  <r>
    <n v="476"/>
    <s v="CA-2015-144666"/>
    <x v="187"/>
    <d v="2015-11-11T00:00:00"/>
    <x v="0"/>
    <s v="JP-15520"/>
    <s v="Jeremy Pistek"/>
    <s v="Consumer"/>
    <x v="1"/>
    <x v="1"/>
    <n v="62.65"/>
    <n v="6265"/>
    <n v="1253"/>
  </r>
  <r>
    <n v="477"/>
    <s v="CA-2015-144666"/>
    <x v="187"/>
    <d v="2015-11-11T00:00:00"/>
    <x v="0"/>
    <s v="JP-15520"/>
    <s v="Jeremy Pistek"/>
    <s v="Consumer"/>
    <x v="1"/>
    <x v="1"/>
    <n v="94.85"/>
    <n v="9485"/>
    <n v="1897"/>
  </r>
  <r>
    <n v="478"/>
    <s v="CA-2017-103891"/>
    <x v="188"/>
    <d v="2017-07-19T00:00:00"/>
    <x v="1"/>
    <s v="KH-16690"/>
    <s v="Kristen Hastings"/>
    <s v="Corporate"/>
    <x v="1"/>
    <x v="2"/>
    <n v="95.76"/>
    <n v="9576"/>
    <n v="1915.2"/>
  </r>
  <r>
    <n v="479"/>
    <s v="CA-2017-152632"/>
    <x v="189"/>
    <d v="2017-11-02T00:00:00"/>
    <x v="1"/>
    <s v="JE-15475"/>
    <s v="Jeremy Ellison"/>
    <s v="Consumer"/>
    <x v="3"/>
    <x v="0"/>
    <n v="40.200000000000003"/>
    <n v="4020.0000000000005"/>
    <n v="804.00000000000011"/>
  </r>
  <r>
    <n v="480"/>
    <s v="CA-2017-100790"/>
    <x v="190"/>
    <d v="2017-07-02T00:00:00"/>
    <x v="1"/>
    <s v="JG-15805"/>
    <s v="John Grady"/>
    <s v="Corporate"/>
    <x v="3"/>
    <x v="1"/>
    <n v="14.7"/>
    <n v="1470"/>
    <n v="294"/>
  </r>
  <r>
    <n v="481"/>
    <s v="CA-2017-100790"/>
    <x v="190"/>
    <d v="2017-07-02T00:00:00"/>
    <x v="1"/>
    <s v="JG-15805"/>
    <s v="John Grady"/>
    <s v="Corporate"/>
    <x v="3"/>
    <x v="1"/>
    <n v="704.25"/>
    <n v="70425"/>
    <n v="14085"/>
  </r>
  <r>
    <n v="482"/>
    <s v="CA-2015-134677"/>
    <x v="191"/>
    <d v="2015-10-10T00:00:00"/>
    <x v="1"/>
    <s v="XP-21865"/>
    <s v="Xylona Preis"/>
    <s v="Consumer"/>
    <x v="1"/>
    <x v="2"/>
    <n v="9.09"/>
    <n v="909"/>
    <n v="181.8"/>
  </r>
  <r>
    <n v="483"/>
    <s v="CA-2015-127691"/>
    <x v="192"/>
    <d v="2015-07-27T00:00:00"/>
    <x v="1"/>
    <s v="EM-14065"/>
    <s v="Erin Mull"/>
    <s v="Consumer"/>
    <x v="3"/>
    <x v="1"/>
    <n v="5.96"/>
    <n v="596"/>
    <n v="119.2"/>
  </r>
  <r>
    <n v="484"/>
    <s v="CA-2015-127691"/>
    <x v="192"/>
    <d v="2015-07-27T00:00:00"/>
    <x v="1"/>
    <s v="EM-14065"/>
    <s v="Erin Mull"/>
    <s v="Consumer"/>
    <x v="3"/>
    <x v="2"/>
    <n v="159.97999999999999"/>
    <n v="15997.999999999998"/>
    <n v="3199.6"/>
  </r>
  <r>
    <n v="485"/>
    <s v="CA-2018-140963"/>
    <x v="193"/>
    <d v="2018-06-13T00:00:00"/>
    <x v="2"/>
    <s v="MT-18070"/>
    <s v="Michelle Tran"/>
    <s v="Home Office"/>
    <x v="1"/>
    <x v="1"/>
    <n v="29.6"/>
    <n v="2960"/>
    <n v="592"/>
  </r>
  <r>
    <n v="486"/>
    <s v="CA-2018-140963"/>
    <x v="193"/>
    <d v="2018-06-13T00:00:00"/>
    <x v="2"/>
    <s v="MT-18070"/>
    <s v="Michelle Tran"/>
    <s v="Home Office"/>
    <x v="1"/>
    <x v="0"/>
    <n v="514.16499999999996"/>
    <n v="51416.5"/>
    <n v="10283.300000000001"/>
  </r>
  <r>
    <n v="487"/>
    <s v="CA-2018-140963"/>
    <x v="193"/>
    <d v="2018-06-13T00:00:00"/>
    <x v="2"/>
    <s v="MT-18070"/>
    <s v="Michelle Tran"/>
    <s v="Home Office"/>
    <x v="1"/>
    <x v="2"/>
    <n v="279.95999999999998"/>
    <n v="27995.999999999996"/>
    <n v="5599.2"/>
  </r>
  <r>
    <n v="488"/>
    <s v="CA-2015-154627"/>
    <x v="194"/>
    <d v="2015-10-31T00:00:00"/>
    <x v="2"/>
    <s v="SA-20830"/>
    <s v="Sue Ann Reed"/>
    <s v="Consumer"/>
    <x v="2"/>
    <x v="2"/>
    <n v="2735.9520000000002"/>
    <n v="273595.2"/>
    <n v="54719.040000000008"/>
  </r>
  <r>
    <n v="489"/>
    <s v="CA-2015-133753"/>
    <x v="3"/>
    <d v="2015-06-13T00:00:00"/>
    <x v="0"/>
    <s v="CW-11905"/>
    <s v="Carl Weiss"/>
    <s v="Home Office"/>
    <x v="2"/>
    <x v="2"/>
    <n v="7.992"/>
    <n v="799.2"/>
    <n v="159.84000000000003"/>
  </r>
  <r>
    <n v="490"/>
    <s v="CA-2015-133753"/>
    <x v="3"/>
    <d v="2015-06-13T00:00:00"/>
    <x v="0"/>
    <s v="CW-11905"/>
    <s v="Carl Weiss"/>
    <s v="Home Office"/>
    <x v="2"/>
    <x v="2"/>
    <n v="63.984000000000002"/>
    <n v="6398.4000000000005"/>
    <n v="1279.6800000000003"/>
  </r>
  <r>
    <n v="491"/>
    <s v="CA-2015-133753"/>
    <x v="3"/>
    <d v="2015-06-13T00:00:00"/>
    <x v="0"/>
    <s v="CW-11905"/>
    <s v="Carl Weiss"/>
    <s v="Home Office"/>
    <x v="2"/>
    <x v="1"/>
    <n v="70.367999999999995"/>
    <n v="7036.7999999999993"/>
    <n v="1407.36"/>
  </r>
  <r>
    <n v="492"/>
    <s v="CA-2015-113362"/>
    <x v="80"/>
    <d v="2015-09-19T00:00:00"/>
    <x v="1"/>
    <s v="AJ-10960"/>
    <s v="Astrea Jones"/>
    <s v="Consumer"/>
    <x v="3"/>
    <x v="1"/>
    <n v="449.15"/>
    <n v="44915"/>
    <n v="8983"/>
  </r>
  <r>
    <n v="493"/>
    <s v="CA-2015-113362"/>
    <x v="80"/>
    <d v="2015-09-19T00:00:00"/>
    <x v="1"/>
    <s v="AJ-10960"/>
    <s v="Astrea Jones"/>
    <s v="Consumer"/>
    <x v="3"/>
    <x v="1"/>
    <n v="11.07"/>
    <n v="1107"/>
    <n v="221.4"/>
  </r>
  <r>
    <n v="494"/>
    <s v="CA-2017-169166"/>
    <x v="195"/>
    <d v="2017-05-14T00:00:00"/>
    <x v="1"/>
    <s v="SS-20590"/>
    <s v="Sonia Sunley"/>
    <s v="Consumer"/>
    <x v="1"/>
    <x v="2"/>
    <n v="93.98"/>
    <n v="9398"/>
    <n v="1879.6000000000001"/>
  </r>
  <r>
    <n v="495"/>
    <s v="US-2017-120929"/>
    <x v="196"/>
    <d v="2017-03-21T00:00:00"/>
    <x v="0"/>
    <s v="RO-19780"/>
    <s v="Rose O'Brian"/>
    <s v="Consumer"/>
    <x v="0"/>
    <x v="0"/>
    <n v="189.88200000000001"/>
    <n v="18988.2"/>
    <n v="3797.6400000000003"/>
  </r>
  <r>
    <n v="496"/>
    <s v="CA-2016-134782"/>
    <x v="17"/>
    <d v="2016-12-31T00:00:00"/>
    <x v="1"/>
    <s v="MD-17350"/>
    <s v="Maribeth Dona"/>
    <s v="Consumer"/>
    <x v="0"/>
    <x v="1"/>
    <n v="105.42"/>
    <n v="10542"/>
    <n v="2108.4"/>
  </r>
  <r>
    <n v="497"/>
    <s v="CA-2017-126158"/>
    <x v="197"/>
    <d v="2017-07-31T00:00:00"/>
    <x v="1"/>
    <s v="SC-20095"/>
    <s v="Sanjit Chand"/>
    <s v="Consumer"/>
    <x v="1"/>
    <x v="1"/>
    <n v="119.616"/>
    <n v="11961.6"/>
    <n v="2392.3200000000002"/>
  </r>
  <r>
    <n v="498"/>
    <s v="CA-2017-126158"/>
    <x v="197"/>
    <d v="2017-07-31T00:00:00"/>
    <x v="1"/>
    <s v="SC-20095"/>
    <s v="Sanjit Chand"/>
    <s v="Consumer"/>
    <x v="1"/>
    <x v="0"/>
    <n v="255.76"/>
    <n v="25576"/>
    <n v="5115.2000000000007"/>
  </r>
  <r>
    <n v="499"/>
    <s v="CA-2017-126158"/>
    <x v="197"/>
    <d v="2017-07-31T00:00:00"/>
    <x v="1"/>
    <s v="SC-20095"/>
    <s v="Sanjit Chand"/>
    <s v="Consumer"/>
    <x v="1"/>
    <x v="0"/>
    <n v="241.56800000000001"/>
    <n v="24156.800000000003"/>
    <n v="4831.3600000000006"/>
  </r>
  <r>
    <n v="500"/>
    <s v="CA-2017-126158"/>
    <x v="197"/>
    <d v="2017-07-31T00:00:00"/>
    <x v="1"/>
    <s v="SC-20095"/>
    <s v="Sanjit Chand"/>
    <s v="Consumer"/>
    <x v="1"/>
    <x v="0"/>
    <n v="69.3"/>
    <n v="6930"/>
    <n v="1386"/>
  </r>
  <r>
    <n v="501"/>
    <s v="US-2017-105578"/>
    <x v="198"/>
    <d v="2017-06-04T00:00:00"/>
    <x v="1"/>
    <s v="MY-17380"/>
    <s v="Maribeth Yedwab"/>
    <s v="Corporate"/>
    <x v="1"/>
    <x v="1"/>
    <n v="22.62"/>
    <n v="2262"/>
    <n v="452.40000000000003"/>
  </r>
  <r>
    <n v="502"/>
    <s v="US-2017-105578"/>
    <x v="198"/>
    <d v="2017-06-04T00:00:00"/>
    <x v="1"/>
    <s v="MY-17380"/>
    <s v="Maribeth Yedwab"/>
    <s v="Corporate"/>
    <x v="1"/>
    <x v="1"/>
    <n v="14.952"/>
    <n v="1495.2"/>
    <n v="299.04000000000002"/>
  </r>
  <r>
    <n v="503"/>
    <s v="US-2017-105578"/>
    <x v="198"/>
    <d v="2017-06-04T00:00:00"/>
    <x v="1"/>
    <s v="MY-17380"/>
    <s v="Maribeth Yedwab"/>
    <s v="Corporate"/>
    <x v="1"/>
    <x v="0"/>
    <n v="801.56799999999998"/>
    <n v="80156.800000000003"/>
    <n v="16031.36"/>
  </r>
  <r>
    <n v="504"/>
    <s v="US-2017-105578"/>
    <x v="198"/>
    <d v="2017-06-04T00:00:00"/>
    <x v="1"/>
    <s v="MY-17380"/>
    <s v="Maribeth Yedwab"/>
    <s v="Corporate"/>
    <x v="1"/>
    <x v="1"/>
    <n v="2.3759999999999999"/>
    <n v="237.6"/>
    <n v="47.52"/>
  </r>
  <r>
    <n v="505"/>
    <s v="US-2017-105578"/>
    <x v="198"/>
    <d v="2017-06-04T00:00:00"/>
    <x v="1"/>
    <s v="MY-17380"/>
    <s v="Maribeth Yedwab"/>
    <s v="Corporate"/>
    <x v="1"/>
    <x v="1"/>
    <n v="32.792000000000002"/>
    <n v="3279.2000000000003"/>
    <n v="655.84000000000015"/>
  </r>
  <r>
    <n v="506"/>
    <s v="CA-2018-134978"/>
    <x v="105"/>
    <d v="2018-11-15T00:00:00"/>
    <x v="0"/>
    <s v="EB-13705"/>
    <s v="Ed Braxton"/>
    <s v="Corporate"/>
    <x v="3"/>
    <x v="1"/>
    <n v="15.92"/>
    <n v="1592"/>
    <n v="318.40000000000003"/>
  </r>
  <r>
    <n v="507"/>
    <s v="CA-2016-145352"/>
    <x v="199"/>
    <d v="2016-03-22T00:00:00"/>
    <x v="1"/>
    <s v="CM-12385"/>
    <s v="Christopher Martinez"/>
    <s v="Consumer"/>
    <x v="0"/>
    <x v="1"/>
    <n v="2.74"/>
    <n v="274"/>
    <n v="54.800000000000004"/>
  </r>
  <r>
    <n v="508"/>
    <s v="CA-2016-145352"/>
    <x v="199"/>
    <d v="2016-03-22T00:00:00"/>
    <x v="1"/>
    <s v="CM-12385"/>
    <s v="Christopher Martinez"/>
    <s v="Consumer"/>
    <x v="0"/>
    <x v="1"/>
    <n v="8.34"/>
    <n v="834"/>
    <n v="166.8"/>
  </r>
  <r>
    <n v="509"/>
    <s v="CA-2016-145352"/>
    <x v="199"/>
    <d v="2016-03-22T00:00:00"/>
    <x v="1"/>
    <s v="CM-12385"/>
    <s v="Christopher Martinez"/>
    <s v="Consumer"/>
    <x v="0"/>
    <x v="1"/>
    <n v="46.74"/>
    <n v="4674"/>
    <n v="934.80000000000007"/>
  </r>
  <r>
    <n v="510"/>
    <s v="CA-2016-145352"/>
    <x v="199"/>
    <d v="2016-03-22T00:00:00"/>
    <x v="1"/>
    <s v="CM-12385"/>
    <s v="Christopher Martinez"/>
    <s v="Consumer"/>
    <x v="0"/>
    <x v="1"/>
    <n v="6354.95"/>
    <n v="635495"/>
    <n v="127099"/>
  </r>
  <r>
    <n v="511"/>
    <s v="CA-2018-135307"/>
    <x v="200"/>
    <d v="2018-11-27T00:00:00"/>
    <x v="2"/>
    <s v="LS-17245"/>
    <s v="Lynn Smith"/>
    <s v="Consumer"/>
    <x v="2"/>
    <x v="0"/>
    <n v="126.3"/>
    <n v="12630"/>
    <n v="2526"/>
  </r>
  <r>
    <n v="512"/>
    <s v="CA-2018-135307"/>
    <x v="200"/>
    <d v="2018-11-27T00:00:00"/>
    <x v="2"/>
    <s v="LS-17245"/>
    <s v="Lynn Smith"/>
    <s v="Consumer"/>
    <x v="2"/>
    <x v="2"/>
    <n v="38.04"/>
    <n v="3804"/>
    <n v="760.80000000000007"/>
  </r>
  <r>
    <n v="513"/>
    <s v="CA-2017-106341"/>
    <x v="201"/>
    <d v="2017-10-23T00:00:00"/>
    <x v="2"/>
    <s v="LF-17185"/>
    <s v="Luke Foster"/>
    <s v="Consumer"/>
    <x v="3"/>
    <x v="1"/>
    <n v="7.1520000000000001"/>
    <n v="715.2"/>
    <n v="143.04000000000002"/>
  </r>
  <r>
    <n v="514"/>
    <s v="CA-2018-163405"/>
    <x v="202"/>
    <d v="2018-12-25T00:00:00"/>
    <x v="1"/>
    <s v="BN-11515"/>
    <s v="Bradley Nguyen"/>
    <s v="Consumer"/>
    <x v="1"/>
    <x v="1"/>
    <n v="6.63"/>
    <n v="663"/>
    <n v="132.6"/>
  </r>
  <r>
    <n v="515"/>
    <s v="CA-2018-163405"/>
    <x v="202"/>
    <d v="2018-12-25T00:00:00"/>
    <x v="1"/>
    <s v="BN-11515"/>
    <s v="Bradley Nguyen"/>
    <s v="Consumer"/>
    <x v="1"/>
    <x v="1"/>
    <n v="5.88"/>
    <n v="588"/>
    <n v="117.60000000000001"/>
  </r>
  <r>
    <n v="516"/>
    <s v="CA-2018-127432"/>
    <x v="203"/>
    <d v="2018-01-27T00:00:00"/>
    <x v="1"/>
    <s v="AD-10180"/>
    <s v="Alan Dominguez"/>
    <s v="Home Office"/>
    <x v="1"/>
    <x v="2"/>
    <n v="2999.95"/>
    <n v="299995"/>
    <n v="59999"/>
  </r>
  <r>
    <n v="517"/>
    <s v="CA-2018-127432"/>
    <x v="203"/>
    <d v="2018-01-27T00:00:00"/>
    <x v="1"/>
    <s v="AD-10180"/>
    <s v="Alan Dominguez"/>
    <s v="Home Office"/>
    <x v="1"/>
    <x v="1"/>
    <n v="51.45"/>
    <n v="5145"/>
    <n v="1029"/>
  </r>
  <r>
    <n v="518"/>
    <s v="CA-2018-127432"/>
    <x v="203"/>
    <d v="2018-01-27T00:00:00"/>
    <x v="1"/>
    <s v="AD-10180"/>
    <s v="Alan Dominguez"/>
    <s v="Home Office"/>
    <x v="1"/>
    <x v="1"/>
    <n v="11.96"/>
    <n v="1196"/>
    <n v="239.20000000000002"/>
  </r>
  <r>
    <n v="519"/>
    <s v="CA-2018-127432"/>
    <x v="203"/>
    <d v="2018-01-27T00:00:00"/>
    <x v="1"/>
    <s v="AD-10180"/>
    <s v="Alan Dominguez"/>
    <s v="Home Office"/>
    <x v="1"/>
    <x v="1"/>
    <n v="1126.02"/>
    <n v="112602"/>
    <n v="22520.400000000001"/>
  </r>
  <r>
    <n v="520"/>
    <s v="CA-2016-157812"/>
    <x v="204"/>
    <d v="2016-03-26T00:00:00"/>
    <x v="1"/>
    <s v="DB-13210"/>
    <s v="Dean Braden"/>
    <s v="Consumer"/>
    <x v="2"/>
    <x v="2"/>
    <n v="18.391999999999999"/>
    <n v="1839.2"/>
    <n v="367.84000000000003"/>
  </r>
  <r>
    <n v="521"/>
    <s v="CA-2016-157812"/>
    <x v="204"/>
    <d v="2016-03-26T00:00:00"/>
    <x v="1"/>
    <s v="DB-13210"/>
    <s v="Dean Braden"/>
    <s v="Consumer"/>
    <x v="2"/>
    <x v="1"/>
    <n v="129.56800000000001"/>
    <n v="12956.800000000001"/>
    <n v="2591.3600000000006"/>
  </r>
  <r>
    <n v="522"/>
    <s v="CA-2016-157812"/>
    <x v="204"/>
    <d v="2016-03-26T00:00:00"/>
    <x v="1"/>
    <s v="DB-13210"/>
    <s v="Dean Braden"/>
    <s v="Consumer"/>
    <x v="2"/>
    <x v="1"/>
    <n v="14.112"/>
    <n v="1411.2"/>
    <n v="282.24"/>
  </r>
  <r>
    <n v="523"/>
    <s v="CA-2018-145142"/>
    <x v="205"/>
    <d v="2018-01-25T00:00:00"/>
    <x v="2"/>
    <s v="MC-17605"/>
    <s v="Matt Connell"/>
    <s v="Corporate"/>
    <x v="2"/>
    <x v="0"/>
    <n v="210.98"/>
    <n v="21098"/>
    <n v="4219.6000000000004"/>
  </r>
  <r>
    <n v="524"/>
    <s v="US-2017-139486"/>
    <x v="206"/>
    <d v="2017-05-23T00:00:00"/>
    <x v="2"/>
    <s v="LH-17155"/>
    <s v="Logan Haushalter"/>
    <s v="Consumer"/>
    <x v="1"/>
    <x v="2"/>
    <n v="55.176000000000002"/>
    <n v="5517.6"/>
    <n v="1103.5200000000002"/>
  </r>
  <r>
    <n v="525"/>
    <s v="US-2017-139486"/>
    <x v="206"/>
    <d v="2017-05-23T00:00:00"/>
    <x v="2"/>
    <s v="LH-17155"/>
    <s v="Logan Haushalter"/>
    <s v="Consumer"/>
    <x v="1"/>
    <x v="2"/>
    <n v="66.260000000000005"/>
    <n v="6626.0000000000009"/>
    <n v="1325.2000000000003"/>
  </r>
  <r>
    <n v="526"/>
    <s v="CA-2016-158792"/>
    <x v="207"/>
    <d v="2017-01-02T00:00:00"/>
    <x v="1"/>
    <s v="BD-11605"/>
    <s v="Brian Dahlen"/>
    <s v="Consumer"/>
    <x v="3"/>
    <x v="1"/>
    <n v="22.2"/>
    <n v="2220"/>
    <n v="444"/>
  </r>
  <r>
    <n v="527"/>
    <s v="CA-2018-113558"/>
    <x v="208"/>
    <d v="2018-10-26T00:00:00"/>
    <x v="1"/>
    <s v="PH-18790"/>
    <s v="Patricia Hirasaki"/>
    <s v="Home Office"/>
    <x v="0"/>
    <x v="0"/>
    <n v="683.952"/>
    <n v="68395.199999999997"/>
    <n v="13679.04"/>
  </r>
  <r>
    <n v="528"/>
    <s v="CA-2018-113558"/>
    <x v="208"/>
    <d v="2018-10-26T00:00:00"/>
    <x v="1"/>
    <s v="PH-18790"/>
    <s v="Patricia Hirasaki"/>
    <s v="Home Office"/>
    <x v="0"/>
    <x v="0"/>
    <n v="45.695999999999998"/>
    <n v="4569.5999999999995"/>
    <n v="913.92"/>
  </r>
  <r>
    <n v="529"/>
    <s v="US-2016-138303"/>
    <x v="37"/>
    <d v="2016-09-07T00:00:00"/>
    <x v="1"/>
    <s v="MG-18145"/>
    <s v="Mike Gockenbach"/>
    <s v="Consumer"/>
    <x v="3"/>
    <x v="1"/>
    <n v="36.335999999999999"/>
    <n v="3633.6"/>
    <n v="726.72"/>
  </r>
  <r>
    <n v="530"/>
    <s v="US-2016-138303"/>
    <x v="37"/>
    <d v="2016-09-07T00:00:00"/>
    <x v="1"/>
    <s v="MG-18145"/>
    <s v="Mike Gockenbach"/>
    <s v="Consumer"/>
    <x v="3"/>
    <x v="1"/>
    <n v="666.24800000000005"/>
    <n v="66624.800000000003"/>
    <n v="13324.960000000001"/>
  </r>
  <r>
    <n v="531"/>
    <s v="US-2016-138303"/>
    <x v="37"/>
    <d v="2016-09-07T00:00:00"/>
    <x v="1"/>
    <s v="MG-18145"/>
    <s v="Mike Gockenbach"/>
    <s v="Consumer"/>
    <x v="3"/>
    <x v="1"/>
    <n v="52.512"/>
    <n v="5251.2"/>
    <n v="1050.24"/>
  </r>
  <r>
    <n v="532"/>
    <s v="CA-2016-102848"/>
    <x v="209"/>
    <d v="2016-11-09T00:00:00"/>
    <x v="0"/>
    <s v="KB-16240"/>
    <s v="Karen Bern"/>
    <s v="Corporate"/>
    <x v="1"/>
    <x v="0"/>
    <n v="190.72"/>
    <n v="19072"/>
    <n v="3814.4"/>
  </r>
  <r>
    <n v="533"/>
    <s v="US-2018-129441"/>
    <x v="210"/>
    <d v="2018-09-11T00:00:00"/>
    <x v="1"/>
    <s v="JC-15340"/>
    <s v="Jasper Cacioppo"/>
    <s v="Consumer"/>
    <x v="1"/>
    <x v="0"/>
    <n v="47.94"/>
    <n v="4794"/>
    <n v="958.80000000000007"/>
  </r>
  <r>
    <n v="534"/>
    <s v="CA-2017-168753"/>
    <x v="211"/>
    <d v="2017-06-01T00:00:00"/>
    <x v="0"/>
    <s v="RL-19615"/>
    <s v="Rob Lucas"/>
    <s v="Consumer"/>
    <x v="0"/>
    <x v="2"/>
    <n v="979.95"/>
    <n v="97995"/>
    <n v="19599"/>
  </r>
  <r>
    <n v="535"/>
    <s v="CA-2017-168753"/>
    <x v="211"/>
    <d v="2017-06-01T00:00:00"/>
    <x v="0"/>
    <s v="RL-19615"/>
    <s v="Rob Lucas"/>
    <s v="Consumer"/>
    <x v="0"/>
    <x v="1"/>
    <n v="22.75"/>
    <n v="2275"/>
    <n v="455"/>
  </r>
  <r>
    <n v="536"/>
    <s v="CA-2017-126613"/>
    <x v="212"/>
    <d v="2017-07-16T00:00:00"/>
    <x v="1"/>
    <s v="AA-10375"/>
    <s v="Allen Armold"/>
    <s v="Consumer"/>
    <x v="1"/>
    <x v="1"/>
    <n v="16.768000000000001"/>
    <n v="1676.8000000000002"/>
    <n v="335.36000000000007"/>
  </r>
  <r>
    <n v="537"/>
    <s v="US-2018-122637"/>
    <x v="213"/>
    <d v="2018-09-08T00:00:00"/>
    <x v="0"/>
    <s v="EP-13915"/>
    <s v="Emily Phan"/>
    <s v="Consumer"/>
    <x v="2"/>
    <x v="1"/>
    <n v="42.616"/>
    <n v="4261.6000000000004"/>
    <n v="852.32000000000016"/>
  </r>
  <r>
    <n v="538"/>
    <s v="CA-2016-147851"/>
    <x v="155"/>
    <d v="2016-12-08T00:00:00"/>
    <x v="1"/>
    <s v="MP-17470"/>
    <s v="Mark Packer"/>
    <s v="Home Office"/>
    <x v="3"/>
    <x v="1"/>
    <n v="10.752000000000001"/>
    <n v="1075.2"/>
    <n v="215.04000000000002"/>
  </r>
  <r>
    <n v="539"/>
    <s v="CA-2016-134894"/>
    <x v="214"/>
    <d v="2016-12-11T00:00:00"/>
    <x v="1"/>
    <s v="DK-12985"/>
    <s v="Darren Koutras"/>
    <s v="Consumer"/>
    <x v="0"/>
    <x v="1"/>
    <n v="152.94"/>
    <n v="15294"/>
    <n v="3058.8"/>
  </r>
  <r>
    <n v="540"/>
    <s v="CA-2016-134894"/>
    <x v="214"/>
    <d v="2016-12-11T00:00:00"/>
    <x v="1"/>
    <s v="DK-12985"/>
    <s v="Darren Koutras"/>
    <s v="Consumer"/>
    <x v="0"/>
    <x v="0"/>
    <n v="283.92"/>
    <n v="28392"/>
    <n v="5678.4000000000005"/>
  </r>
  <r>
    <n v="541"/>
    <s v="CA-2015-140795"/>
    <x v="215"/>
    <d v="2015-02-03T00:00:00"/>
    <x v="2"/>
    <s v="BD-11500"/>
    <s v="Bradley Drucker"/>
    <s v="Consumer"/>
    <x v="2"/>
    <x v="2"/>
    <n v="468.9"/>
    <n v="46890"/>
    <n v="9378"/>
  </r>
  <r>
    <n v="542"/>
    <s v="CA-2017-136924"/>
    <x v="216"/>
    <d v="2017-07-17T00:00:00"/>
    <x v="2"/>
    <s v="ES-14080"/>
    <s v="Erin Smith"/>
    <s v="Corporate"/>
    <x v="1"/>
    <x v="2"/>
    <n v="380.86399999999998"/>
    <n v="38086.399999999994"/>
    <n v="7617.2799999999988"/>
  </r>
  <r>
    <n v="543"/>
    <s v="US-2016-120161"/>
    <x v="217"/>
    <d v="2016-12-23T00:00:00"/>
    <x v="1"/>
    <s v="LM-17065"/>
    <s v="Liz MacKendrick"/>
    <s v="Consumer"/>
    <x v="3"/>
    <x v="1"/>
    <n v="646.77599999999995"/>
    <n v="64677.599999999999"/>
    <n v="12935.52"/>
  </r>
  <r>
    <n v="544"/>
    <s v="CA-2015-103849"/>
    <x v="218"/>
    <d v="2015-05-16T00:00:00"/>
    <x v="1"/>
    <s v="PG-18895"/>
    <s v="Paul Gonzalez"/>
    <s v="Consumer"/>
    <x v="2"/>
    <x v="2"/>
    <n v="58.112000000000002"/>
    <n v="5811.2"/>
    <n v="1162.24"/>
  </r>
  <r>
    <n v="545"/>
    <s v="CA-2015-103849"/>
    <x v="218"/>
    <d v="2015-05-16T00:00:00"/>
    <x v="1"/>
    <s v="PG-18895"/>
    <s v="Paul Gonzalez"/>
    <s v="Consumer"/>
    <x v="2"/>
    <x v="2"/>
    <n v="100.792"/>
    <n v="10079.200000000001"/>
    <n v="2015.8400000000001"/>
  </r>
  <r>
    <n v="546"/>
    <s v="CA-2015-103849"/>
    <x v="218"/>
    <d v="2015-05-16T00:00:00"/>
    <x v="1"/>
    <s v="PG-18895"/>
    <s v="Paul Gonzalez"/>
    <s v="Consumer"/>
    <x v="2"/>
    <x v="0"/>
    <n v="66.111999999999995"/>
    <n v="6611.2"/>
    <n v="1322.24"/>
  </r>
  <r>
    <n v="547"/>
    <s v="CA-2018-162929"/>
    <x v="123"/>
    <d v="2018-11-22T00:00:00"/>
    <x v="2"/>
    <s v="AS-10135"/>
    <s v="Adrian Shami"/>
    <s v="Home Office"/>
    <x v="3"/>
    <x v="1"/>
    <n v="41.28"/>
    <n v="4128"/>
    <n v="825.6"/>
  </r>
  <r>
    <n v="548"/>
    <s v="CA-2018-162929"/>
    <x v="123"/>
    <d v="2018-11-22T00:00:00"/>
    <x v="2"/>
    <s v="AS-10135"/>
    <s v="Adrian Shami"/>
    <s v="Home Office"/>
    <x v="3"/>
    <x v="1"/>
    <n v="13.36"/>
    <n v="1336"/>
    <n v="267.2"/>
  </r>
  <r>
    <n v="549"/>
    <s v="CA-2016-113173"/>
    <x v="219"/>
    <d v="2016-11-17T00:00:00"/>
    <x v="0"/>
    <s v="DK-13225"/>
    <s v="Dean Katz"/>
    <s v="Corporate"/>
    <x v="2"/>
    <x v="1"/>
    <n v="250.27199999999999"/>
    <n v="25027.200000000001"/>
    <n v="5005.4400000000005"/>
  </r>
  <r>
    <n v="550"/>
    <s v="CA-2016-113173"/>
    <x v="219"/>
    <d v="2016-11-17T00:00:00"/>
    <x v="0"/>
    <s v="DK-13225"/>
    <s v="Dean Katz"/>
    <s v="Corporate"/>
    <x v="2"/>
    <x v="1"/>
    <n v="11.364000000000001"/>
    <n v="1136.4000000000001"/>
    <n v="227.28000000000003"/>
  </r>
  <r>
    <n v="551"/>
    <s v="CA-2016-113173"/>
    <x v="219"/>
    <d v="2016-11-17T00:00:00"/>
    <x v="0"/>
    <s v="DK-13225"/>
    <s v="Dean Katz"/>
    <s v="Corporate"/>
    <x v="2"/>
    <x v="1"/>
    <n v="8.7200000000000006"/>
    <n v="872.00000000000011"/>
    <n v="174.40000000000003"/>
  </r>
  <r>
    <n v="552"/>
    <s v="CA-2017-136406"/>
    <x v="173"/>
    <d v="2017-04-17T00:00:00"/>
    <x v="0"/>
    <s v="BD-11320"/>
    <s v="Bill Donatelli"/>
    <s v="Consumer"/>
    <x v="1"/>
    <x v="0"/>
    <n v="1121.568"/>
    <n v="112156.8"/>
    <n v="22431.360000000001"/>
  </r>
  <r>
    <n v="553"/>
    <s v="CA-2018-112774"/>
    <x v="220"/>
    <d v="2018-09-12T00:00:00"/>
    <x v="2"/>
    <s v="RC-19960"/>
    <s v="Ryan Crowe"/>
    <s v="Consumer"/>
    <x v="0"/>
    <x v="0"/>
    <n v="34.503999999999998"/>
    <n v="3450.3999999999996"/>
    <n v="690.07999999999993"/>
  </r>
  <r>
    <n v="554"/>
    <s v="CA-2018-101945"/>
    <x v="221"/>
    <d v="2018-11-28T00:00:00"/>
    <x v="1"/>
    <s v="GT-14710"/>
    <s v="Greg Tran"/>
    <s v="Consumer"/>
    <x v="2"/>
    <x v="1"/>
    <n v="10.824"/>
    <n v="1082.4000000000001"/>
    <n v="216.48000000000002"/>
  </r>
  <r>
    <n v="555"/>
    <s v="CA-2018-100650"/>
    <x v="222"/>
    <d v="2018-07-03T00:00:00"/>
    <x v="0"/>
    <s v="DK-13225"/>
    <s v="Dean Katz"/>
    <s v="Corporate"/>
    <x v="1"/>
    <x v="1"/>
    <n v="1295.78"/>
    <n v="129578"/>
    <n v="25915.600000000002"/>
  </r>
  <r>
    <n v="556"/>
    <s v="CA-2015-155852"/>
    <x v="223"/>
    <d v="2015-03-07T00:00:00"/>
    <x v="0"/>
    <s v="AJ-10945"/>
    <s v="Ashley Jarboe"/>
    <s v="Consumer"/>
    <x v="0"/>
    <x v="1"/>
    <n v="19.456"/>
    <n v="1945.6"/>
    <n v="389.12"/>
  </r>
  <r>
    <n v="557"/>
    <s v="CA-2017-113243"/>
    <x v="224"/>
    <d v="2017-06-15T00:00:00"/>
    <x v="1"/>
    <s v="OT-18730"/>
    <s v="Olvera Toch"/>
    <s v="Consumer"/>
    <x v="1"/>
    <x v="1"/>
    <n v="20.7"/>
    <n v="2070"/>
    <n v="414"/>
  </r>
  <r>
    <n v="558"/>
    <s v="CA-2017-113243"/>
    <x v="224"/>
    <d v="2017-06-15T00:00:00"/>
    <x v="1"/>
    <s v="OT-18730"/>
    <s v="Olvera Toch"/>
    <s v="Consumer"/>
    <x v="1"/>
    <x v="0"/>
    <n v="1335.68"/>
    <n v="133568"/>
    <n v="26713.600000000002"/>
  </r>
  <r>
    <n v="559"/>
    <s v="CA-2017-113243"/>
    <x v="224"/>
    <d v="2017-06-15T00:00:00"/>
    <x v="1"/>
    <s v="OT-18730"/>
    <s v="Olvera Toch"/>
    <s v="Consumer"/>
    <x v="1"/>
    <x v="1"/>
    <n v="32.4"/>
    <n v="3240"/>
    <n v="648"/>
  </r>
  <r>
    <n v="560"/>
    <s v="CA-2018-118731"/>
    <x v="225"/>
    <d v="2018-11-22T00:00:00"/>
    <x v="0"/>
    <s v="LP-17080"/>
    <s v="Liz Pelletier"/>
    <s v="Consumer"/>
    <x v="1"/>
    <x v="0"/>
    <n v="42.6"/>
    <n v="4260"/>
    <n v="852"/>
  </r>
  <r>
    <n v="561"/>
    <s v="CA-2018-118731"/>
    <x v="225"/>
    <d v="2018-11-22T00:00:00"/>
    <x v="0"/>
    <s v="LP-17080"/>
    <s v="Liz Pelletier"/>
    <s v="Consumer"/>
    <x v="1"/>
    <x v="1"/>
    <n v="84.055999999999997"/>
    <n v="8405.6"/>
    <n v="1681.1200000000001"/>
  </r>
  <r>
    <n v="562"/>
    <s v="CA-2015-145576"/>
    <x v="80"/>
    <d v="2015-09-18T00:00:00"/>
    <x v="0"/>
    <s v="CA-12775"/>
    <s v="Cynthia Arntzen"/>
    <s v="Consumer"/>
    <x v="0"/>
    <x v="1"/>
    <n v="13"/>
    <n v="1300"/>
    <n v="260"/>
  </r>
  <r>
    <n v="563"/>
    <s v="CA-2015-145576"/>
    <x v="80"/>
    <d v="2015-09-18T00:00:00"/>
    <x v="0"/>
    <s v="CA-12775"/>
    <s v="Cynthia Arntzen"/>
    <s v="Consumer"/>
    <x v="0"/>
    <x v="0"/>
    <n v="13.128"/>
    <n v="1312.8"/>
    <n v="262.56"/>
  </r>
  <r>
    <n v="564"/>
    <s v="CA-2016-130736"/>
    <x v="214"/>
    <d v="2016-12-09T00:00:00"/>
    <x v="2"/>
    <s v="JF-15490"/>
    <s v="Jeremy Farry"/>
    <s v="Consumer"/>
    <x v="1"/>
    <x v="1"/>
    <n v="3.96"/>
    <n v="396"/>
    <n v="79.2"/>
  </r>
  <r>
    <n v="565"/>
    <s v="CA-2016-130736"/>
    <x v="214"/>
    <d v="2016-12-09T00:00:00"/>
    <x v="2"/>
    <s v="JF-15490"/>
    <s v="Jeremy Farry"/>
    <s v="Consumer"/>
    <x v="1"/>
    <x v="1"/>
    <n v="2.61"/>
    <n v="261"/>
    <n v="52.2"/>
  </r>
  <r>
    <n v="566"/>
    <s v="CA-2018-137099"/>
    <x v="226"/>
    <d v="2018-12-10T00:00:00"/>
    <x v="2"/>
    <s v="FP-14320"/>
    <s v="Frank Preis"/>
    <s v="Consumer"/>
    <x v="1"/>
    <x v="2"/>
    <n v="374.37599999999998"/>
    <n v="37437.599999999999"/>
    <n v="7487.52"/>
  </r>
  <r>
    <n v="567"/>
    <s v="CA-2018-156951"/>
    <x v="172"/>
    <d v="2018-10-08T00:00:00"/>
    <x v="1"/>
    <s v="EB-13840"/>
    <s v="Ellis Ballard"/>
    <s v="Corporate"/>
    <x v="1"/>
    <x v="1"/>
    <n v="91.84"/>
    <n v="9184"/>
    <n v="1836.8000000000002"/>
  </r>
  <r>
    <n v="568"/>
    <s v="CA-2018-156951"/>
    <x v="172"/>
    <d v="2018-10-08T00:00:00"/>
    <x v="1"/>
    <s v="EB-13840"/>
    <s v="Ellis Ballard"/>
    <s v="Corporate"/>
    <x v="1"/>
    <x v="1"/>
    <n v="81.087999999999994"/>
    <n v="8108.7999999999993"/>
    <n v="1621.76"/>
  </r>
  <r>
    <n v="569"/>
    <s v="CA-2018-156951"/>
    <x v="172"/>
    <d v="2018-10-08T00:00:00"/>
    <x v="1"/>
    <s v="EB-13840"/>
    <s v="Ellis Ballard"/>
    <s v="Corporate"/>
    <x v="1"/>
    <x v="1"/>
    <n v="19.440000000000001"/>
    <n v="1944.0000000000002"/>
    <n v="388.80000000000007"/>
  </r>
  <r>
    <n v="570"/>
    <s v="CA-2018-156951"/>
    <x v="172"/>
    <d v="2018-10-08T00:00:00"/>
    <x v="1"/>
    <s v="EB-13840"/>
    <s v="Ellis Ballard"/>
    <s v="Corporate"/>
    <x v="1"/>
    <x v="0"/>
    <n v="451.15199999999999"/>
    <n v="45115.199999999997"/>
    <n v="9023.0399999999991"/>
  </r>
  <r>
    <n v="571"/>
    <s v="CA-2018-164826"/>
    <x v="116"/>
    <d v="2019-01-04T00:00:00"/>
    <x v="1"/>
    <s v="JF-15415"/>
    <s v="Jennifer Ferguson"/>
    <s v="Consumer"/>
    <x v="3"/>
    <x v="1"/>
    <n v="72.45"/>
    <n v="7245"/>
    <n v="1449"/>
  </r>
  <r>
    <n v="572"/>
    <s v="CA-2018-164826"/>
    <x v="116"/>
    <d v="2019-01-04T00:00:00"/>
    <x v="1"/>
    <s v="JF-15415"/>
    <s v="Jennifer Ferguson"/>
    <s v="Consumer"/>
    <x v="3"/>
    <x v="1"/>
    <n v="13.96"/>
    <n v="1396"/>
    <n v="279.2"/>
  </r>
  <r>
    <n v="573"/>
    <s v="CA-2018-164826"/>
    <x v="116"/>
    <d v="2019-01-04T00:00:00"/>
    <x v="1"/>
    <s v="JF-15415"/>
    <s v="Jennifer Ferguson"/>
    <s v="Consumer"/>
    <x v="3"/>
    <x v="1"/>
    <n v="33.264000000000003"/>
    <n v="3326.4"/>
    <n v="665.28000000000009"/>
  </r>
  <r>
    <n v="574"/>
    <s v="CA-2018-164826"/>
    <x v="116"/>
    <d v="2019-01-04T00:00:00"/>
    <x v="1"/>
    <s v="JF-15415"/>
    <s v="Jennifer Ferguson"/>
    <s v="Consumer"/>
    <x v="3"/>
    <x v="2"/>
    <n v="14.85"/>
    <n v="1485"/>
    <n v="297"/>
  </r>
  <r>
    <n v="575"/>
    <s v="CA-2017-127250"/>
    <x v="54"/>
    <d v="2017-11-07T00:00:00"/>
    <x v="1"/>
    <s v="SF-20200"/>
    <s v="Sarah Foster"/>
    <s v="Consumer"/>
    <x v="1"/>
    <x v="1"/>
    <n v="8.82"/>
    <n v="882"/>
    <n v="176.4"/>
  </r>
  <r>
    <n v="576"/>
    <s v="CA-2016-149713"/>
    <x v="227"/>
    <d v="2016-09-22T00:00:00"/>
    <x v="0"/>
    <s v="TG-21640"/>
    <s v="Trudy Glocke"/>
    <s v="Consumer"/>
    <x v="1"/>
    <x v="1"/>
    <n v="160.72"/>
    <n v="16072"/>
    <n v="3214.4"/>
  </r>
  <r>
    <n v="577"/>
    <s v="CA-2016-149713"/>
    <x v="227"/>
    <d v="2016-09-22T00:00:00"/>
    <x v="0"/>
    <s v="TG-21640"/>
    <s v="Trudy Glocke"/>
    <s v="Consumer"/>
    <x v="1"/>
    <x v="1"/>
    <n v="19.920000000000002"/>
    <n v="1992.0000000000002"/>
    <n v="398.40000000000009"/>
  </r>
  <r>
    <n v="578"/>
    <s v="CA-2016-149713"/>
    <x v="227"/>
    <d v="2016-09-22T00:00:00"/>
    <x v="0"/>
    <s v="TG-21640"/>
    <s v="Trudy Glocke"/>
    <s v="Consumer"/>
    <x v="1"/>
    <x v="1"/>
    <n v="7.3"/>
    <n v="730"/>
    <n v="146"/>
  </r>
  <r>
    <n v="579"/>
    <s v="CA-2018-118640"/>
    <x v="228"/>
    <d v="2018-07-26T00:00:00"/>
    <x v="1"/>
    <s v="CS-11950"/>
    <s v="Carlos Soltero"/>
    <s v="Consumer"/>
    <x v="2"/>
    <x v="1"/>
    <n v="69.712000000000003"/>
    <n v="6971.2000000000007"/>
    <n v="1394.2400000000002"/>
  </r>
  <r>
    <n v="580"/>
    <s v="CA-2018-118640"/>
    <x v="228"/>
    <d v="2018-07-26T00:00:00"/>
    <x v="1"/>
    <s v="CS-11950"/>
    <s v="Carlos Soltero"/>
    <s v="Consumer"/>
    <x v="2"/>
    <x v="0"/>
    <n v="8.7919999999999998"/>
    <n v="879.19999999999993"/>
    <n v="175.84"/>
  </r>
  <r>
    <n v="581"/>
    <s v="CA-2016-132906"/>
    <x v="229"/>
    <d v="2016-09-14T00:00:00"/>
    <x v="1"/>
    <s v="CC-12145"/>
    <s v="Charles Crestani"/>
    <s v="Consumer"/>
    <x v="1"/>
    <x v="1"/>
    <n v="51.52"/>
    <n v="5152"/>
    <n v="1030.4000000000001"/>
  </r>
  <r>
    <n v="582"/>
    <s v="CA-2018-145233"/>
    <x v="96"/>
    <d v="2018-12-05T00:00:00"/>
    <x v="1"/>
    <s v="DV-13465"/>
    <s v="Dianna Vittorini"/>
    <s v="Consumer"/>
    <x v="1"/>
    <x v="2"/>
    <n v="470.37599999999998"/>
    <n v="47037.599999999999"/>
    <n v="9407.52"/>
  </r>
  <r>
    <n v="583"/>
    <s v="CA-2018-145233"/>
    <x v="96"/>
    <d v="2018-12-05T00:00:00"/>
    <x v="1"/>
    <s v="DV-13465"/>
    <s v="Dianna Vittorini"/>
    <s v="Consumer"/>
    <x v="1"/>
    <x v="2"/>
    <n v="105.584"/>
    <n v="10558.4"/>
    <n v="2111.6799999999998"/>
  </r>
  <r>
    <n v="584"/>
    <s v="CA-2018-145233"/>
    <x v="96"/>
    <d v="2018-12-05T00:00:00"/>
    <x v="1"/>
    <s v="DV-13465"/>
    <s v="Dianna Vittorini"/>
    <s v="Consumer"/>
    <x v="1"/>
    <x v="1"/>
    <n v="31.152000000000001"/>
    <n v="3115.2000000000003"/>
    <n v="623.04000000000008"/>
  </r>
  <r>
    <n v="585"/>
    <s v="CA-2018-145233"/>
    <x v="96"/>
    <d v="2018-12-05T00:00:00"/>
    <x v="1"/>
    <s v="DV-13465"/>
    <s v="Dianna Vittorini"/>
    <s v="Consumer"/>
    <x v="1"/>
    <x v="1"/>
    <n v="6.7830000000000004"/>
    <n v="678.30000000000007"/>
    <n v="135.66000000000003"/>
  </r>
  <r>
    <n v="586"/>
    <s v="CA-2018-145233"/>
    <x v="96"/>
    <d v="2018-12-05T00:00:00"/>
    <x v="1"/>
    <s v="DV-13465"/>
    <s v="Dianna Vittorini"/>
    <s v="Consumer"/>
    <x v="1"/>
    <x v="2"/>
    <n v="406.36799999999999"/>
    <n v="40636.800000000003"/>
    <n v="8127.3600000000006"/>
  </r>
  <r>
    <n v="587"/>
    <s v="CA-2016-128139"/>
    <x v="230"/>
    <d v="2016-07-09T00:00:00"/>
    <x v="1"/>
    <s v="BD-11725"/>
    <s v="Bruce Degenhardt"/>
    <s v="Consumer"/>
    <x v="0"/>
    <x v="0"/>
    <n v="70.98"/>
    <n v="7098"/>
    <n v="1419.6000000000001"/>
  </r>
  <r>
    <n v="588"/>
    <s v="CA-2016-128139"/>
    <x v="230"/>
    <d v="2016-07-09T00:00:00"/>
    <x v="1"/>
    <s v="BD-11725"/>
    <s v="Bruce Degenhardt"/>
    <s v="Consumer"/>
    <x v="0"/>
    <x v="1"/>
    <n v="294.93"/>
    <n v="29493"/>
    <n v="5898.6"/>
  </r>
  <r>
    <n v="589"/>
    <s v="US-2017-156986"/>
    <x v="231"/>
    <d v="2017-03-24T00:00:00"/>
    <x v="1"/>
    <s v="ZC-21910"/>
    <s v="Zuschuss Carroll"/>
    <s v="Consumer"/>
    <x v="1"/>
    <x v="2"/>
    <n v="84.784000000000006"/>
    <n v="8478.4000000000015"/>
    <n v="1695.6800000000003"/>
  </r>
  <r>
    <n v="590"/>
    <s v="US-2017-156986"/>
    <x v="231"/>
    <d v="2017-03-24T00:00:00"/>
    <x v="1"/>
    <s v="ZC-21910"/>
    <s v="Zuschuss Carroll"/>
    <s v="Consumer"/>
    <x v="1"/>
    <x v="1"/>
    <n v="20.736000000000001"/>
    <n v="2073.6"/>
    <n v="414.72"/>
  </r>
  <r>
    <n v="591"/>
    <s v="US-2017-156986"/>
    <x v="231"/>
    <d v="2017-03-24T00:00:00"/>
    <x v="1"/>
    <s v="ZC-21910"/>
    <s v="Zuschuss Carroll"/>
    <s v="Consumer"/>
    <x v="1"/>
    <x v="1"/>
    <n v="16.821000000000002"/>
    <n v="1682.1000000000001"/>
    <n v="336.42000000000007"/>
  </r>
  <r>
    <n v="592"/>
    <s v="US-2017-156986"/>
    <x v="231"/>
    <d v="2017-03-24T00:00:00"/>
    <x v="1"/>
    <s v="ZC-21910"/>
    <s v="Zuschuss Carroll"/>
    <s v="Consumer"/>
    <x v="1"/>
    <x v="1"/>
    <n v="10.368"/>
    <n v="1036.8"/>
    <n v="207.36"/>
  </r>
  <r>
    <n v="593"/>
    <s v="CA-2015-135405"/>
    <x v="232"/>
    <d v="2015-01-13T00:00:00"/>
    <x v="1"/>
    <s v="MS-17830"/>
    <s v="Melanie Seite"/>
    <s v="Consumer"/>
    <x v="2"/>
    <x v="1"/>
    <n v="9.3439999999999994"/>
    <n v="934.4"/>
    <n v="186.88"/>
  </r>
  <r>
    <n v="594"/>
    <s v="CA-2015-135405"/>
    <x v="232"/>
    <d v="2015-01-13T00:00:00"/>
    <x v="1"/>
    <s v="MS-17830"/>
    <s v="Melanie Seite"/>
    <s v="Consumer"/>
    <x v="2"/>
    <x v="2"/>
    <n v="31.2"/>
    <n v="3120"/>
    <n v="624"/>
  </r>
  <r>
    <n v="595"/>
    <s v="CA-2015-131450"/>
    <x v="233"/>
    <d v="2015-08-15T00:00:00"/>
    <x v="1"/>
    <s v="LR-16915"/>
    <s v="Lena Radford"/>
    <s v="Consumer"/>
    <x v="1"/>
    <x v="1"/>
    <n v="76.12"/>
    <n v="7612"/>
    <n v="1522.4"/>
  </r>
  <r>
    <n v="596"/>
    <s v="CA-2015-131450"/>
    <x v="233"/>
    <d v="2015-08-15T00:00:00"/>
    <x v="1"/>
    <s v="LR-16915"/>
    <s v="Lena Radford"/>
    <s v="Consumer"/>
    <x v="1"/>
    <x v="2"/>
    <n v="1199.9760000000001"/>
    <n v="119997.6"/>
    <n v="23999.520000000004"/>
  </r>
  <r>
    <n v="597"/>
    <s v="CA-2015-131450"/>
    <x v="233"/>
    <d v="2015-08-15T00:00:00"/>
    <x v="1"/>
    <s v="LR-16915"/>
    <s v="Lena Radford"/>
    <s v="Consumer"/>
    <x v="1"/>
    <x v="2"/>
    <n v="445.96"/>
    <n v="44596"/>
    <n v="8919.2000000000007"/>
  </r>
  <r>
    <n v="598"/>
    <s v="CA-2015-131450"/>
    <x v="233"/>
    <d v="2015-08-15T00:00:00"/>
    <x v="1"/>
    <s v="LR-16915"/>
    <s v="Lena Radford"/>
    <s v="Consumer"/>
    <x v="1"/>
    <x v="0"/>
    <n v="327.76"/>
    <n v="32776"/>
    <n v="6555.2000000000007"/>
  </r>
  <r>
    <n v="599"/>
    <s v="CA-2017-120180"/>
    <x v="216"/>
    <d v="2017-07-16T00:00:00"/>
    <x v="2"/>
    <s v="TP-21130"/>
    <s v="Theone Pippenger"/>
    <s v="Consumer"/>
    <x v="3"/>
    <x v="1"/>
    <n v="11.632"/>
    <n v="1163.2"/>
    <n v="232.64000000000001"/>
  </r>
  <r>
    <n v="600"/>
    <s v="US-2017-100720"/>
    <x v="87"/>
    <d v="2017-07-21T00:00:00"/>
    <x v="1"/>
    <s v="CK-12205"/>
    <s v="Chloris Kastensmidt"/>
    <s v="Consumer"/>
    <x v="3"/>
    <x v="2"/>
    <n v="143.982"/>
    <n v="14398.2"/>
    <n v="2879.6400000000003"/>
  </r>
  <r>
    <n v="601"/>
    <s v="US-2017-100720"/>
    <x v="87"/>
    <d v="2017-07-21T00:00:00"/>
    <x v="1"/>
    <s v="CK-12205"/>
    <s v="Chloris Kastensmidt"/>
    <s v="Consumer"/>
    <x v="3"/>
    <x v="2"/>
    <n v="494.37599999999998"/>
    <n v="49437.599999999999"/>
    <n v="9887.52"/>
  </r>
  <r>
    <n v="602"/>
    <s v="US-2017-100720"/>
    <x v="87"/>
    <d v="2017-07-21T00:00:00"/>
    <x v="1"/>
    <s v="CK-12205"/>
    <s v="Chloris Kastensmidt"/>
    <s v="Consumer"/>
    <x v="3"/>
    <x v="1"/>
    <n v="5.84"/>
    <n v="584"/>
    <n v="116.80000000000001"/>
  </r>
  <r>
    <n v="603"/>
    <s v="CA-2015-149958"/>
    <x v="234"/>
    <d v="2015-03-19T00:00:00"/>
    <x v="1"/>
    <s v="AS-10240"/>
    <s v="Alan Shonely"/>
    <s v="Consumer"/>
    <x v="0"/>
    <x v="1"/>
    <n v="142.77600000000001"/>
    <n v="14277.6"/>
    <n v="2855.5200000000004"/>
  </r>
  <r>
    <n v="604"/>
    <s v="CA-2015-149958"/>
    <x v="234"/>
    <d v="2015-03-19T00:00:00"/>
    <x v="1"/>
    <s v="AS-10240"/>
    <s v="Alan Shonely"/>
    <s v="Consumer"/>
    <x v="0"/>
    <x v="0"/>
    <n v="45.695999999999998"/>
    <n v="4569.5999999999995"/>
    <n v="913.92"/>
  </r>
  <r>
    <n v="605"/>
    <s v="CA-2015-149958"/>
    <x v="234"/>
    <d v="2015-03-19T00:00:00"/>
    <x v="1"/>
    <s v="AS-10240"/>
    <s v="Alan Shonely"/>
    <s v="Consumer"/>
    <x v="0"/>
    <x v="1"/>
    <n v="7.218"/>
    <n v="721.8"/>
    <n v="144.35999999999999"/>
  </r>
  <r>
    <n v="606"/>
    <s v="CA-2015-149958"/>
    <x v="234"/>
    <d v="2015-03-19T00:00:00"/>
    <x v="1"/>
    <s v="AS-10240"/>
    <s v="Alan Shonely"/>
    <s v="Consumer"/>
    <x v="0"/>
    <x v="1"/>
    <n v="43.188000000000002"/>
    <n v="4318.8"/>
    <n v="863.7600000000001"/>
  </r>
  <r>
    <n v="607"/>
    <s v="CA-2015-149958"/>
    <x v="234"/>
    <d v="2015-03-19T00:00:00"/>
    <x v="1"/>
    <s v="AS-10240"/>
    <s v="Alan Shonely"/>
    <s v="Consumer"/>
    <x v="0"/>
    <x v="1"/>
    <n v="131.904"/>
    <n v="13190.4"/>
    <n v="2638.08"/>
  </r>
  <r>
    <n v="608"/>
    <s v="US-2015-105767"/>
    <x v="235"/>
    <d v="2015-05-27T00:00:00"/>
    <x v="1"/>
    <s v="AR-10510"/>
    <s v="Andrew Roberts"/>
    <s v="Consumer"/>
    <x v="3"/>
    <x v="1"/>
    <n v="3.282"/>
    <n v="328.2"/>
    <n v="65.64"/>
  </r>
  <r>
    <n v="609"/>
    <s v="US-2015-105767"/>
    <x v="235"/>
    <d v="2015-05-27T00:00:00"/>
    <x v="1"/>
    <s v="AR-10510"/>
    <s v="Andrew Roberts"/>
    <s v="Consumer"/>
    <x v="3"/>
    <x v="1"/>
    <n v="21.167999999999999"/>
    <n v="2116.7999999999997"/>
    <n v="423.35999999999996"/>
  </r>
  <r>
    <n v="610"/>
    <s v="US-2015-105767"/>
    <x v="235"/>
    <d v="2015-05-27T00:00:00"/>
    <x v="1"/>
    <s v="AR-10510"/>
    <s v="Andrew Roberts"/>
    <s v="Consumer"/>
    <x v="3"/>
    <x v="2"/>
    <n v="55.188000000000002"/>
    <n v="5518.8"/>
    <n v="1103.76"/>
  </r>
  <r>
    <n v="611"/>
    <s v="CA-2017-161816"/>
    <x v="236"/>
    <d v="2017-05-01T00:00:00"/>
    <x v="2"/>
    <s v="NB-18655"/>
    <s v="Nona Balk"/>
    <s v="Corporate"/>
    <x v="2"/>
    <x v="2"/>
    <n v="369.57600000000002"/>
    <n v="36957.600000000006"/>
    <n v="7391.5200000000013"/>
  </r>
  <r>
    <n v="612"/>
    <s v="CA-2017-161816"/>
    <x v="236"/>
    <d v="2017-05-01T00:00:00"/>
    <x v="2"/>
    <s v="NB-18655"/>
    <s v="Nona Balk"/>
    <s v="Corporate"/>
    <x v="2"/>
    <x v="1"/>
    <n v="15.712"/>
    <n v="1571.2"/>
    <n v="314.24"/>
  </r>
  <r>
    <n v="613"/>
    <s v="CA-2017-121223"/>
    <x v="108"/>
    <d v="2017-09-13T00:00:00"/>
    <x v="0"/>
    <s v="GD-14590"/>
    <s v="Giulietta Dortch"/>
    <s v="Corporate"/>
    <x v="3"/>
    <x v="1"/>
    <n v="8.4480000000000004"/>
    <n v="844.80000000000007"/>
    <n v="168.96000000000004"/>
  </r>
  <r>
    <n v="614"/>
    <s v="CA-2017-121223"/>
    <x v="108"/>
    <d v="2017-09-13T00:00:00"/>
    <x v="0"/>
    <s v="GD-14590"/>
    <s v="Giulietta Dortch"/>
    <s v="Corporate"/>
    <x v="3"/>
    <x v="2"/>
    <n v="728.94600000000003"/>
    <n v="72894.600000000006"/>
    <n v="14578.920000000002"/>
  </r>
  <r>
    <n v="615"/>
    <s v="CA-2018-138611"/>
    <x v="237"/>
    <d v="2018-11-17T00:00:00"/>
    <x v="0"/>
    <s v="CK-12595"/>
    <s v="Clytie Kelty"/>
    <s v="Consumer"/>
    <x v="3"/>
    <x v="2"/>
    <n v="119.94"/>
    <n v="11994"/>
    <n v="2398.8000000000002"/>
  </r>
  <r>
    <n v="616"/>
    <s v="CA-2018-138611"/>
    <x v="237"/>
    <d v="2018-11-17T00:00:00"/>
    <x v="0"/>
    <s v="CK-12595"/>
    <s v="Clytie Kelty"/>
    <s v="Consumer"/>
    <x v="3"/>
    <x v="1"/>
    <n v="3.6480000000000001"/>
    <n v="364.8"/>
    <n v="72.960000000000008"/>
  </r>
  <r>
    <n v="617"/>
    <s v="CA-2018-117947"/>
    <x v="238"/>
    <d v="2018-08-23T00:00:00"/>
    <x v="0"/>
    <s v="NG-18355"/>
    <s v="Nat Gilpin"/>
    <s v="Corporate"/>
    <x v="3"/>
    <x v="0"/>
    <n v="40.479999999999997"/>
    <n v="4047.9999999999995"/>
    <n v="809.59999999999991"/>
  </r>
  <r>
    <n v="618"/>
    <s v="CA-2018-117947"/>
    <x v="238"/>
    <d v="2018-08-23T00:00:00"/>
    <x v="0"/>
    <s v="NG-18355"/>
    <s v="Nat Gilpin"/>
    <s v="Corporate"/>
    <x v="3"/>
    <x v="0"/>
    <n v="9.94"/>
    <n v="994"/>
    <n v="198.8"/>
  </r>
  <r>
    <n v="619"/>
    <s v="CA-2018-117947"/>
    <x v="238"/>
    <d v="2018-08-23T00:00:00"/>
    <x v="0"/>
    <s v="NG-18355"/>
    <s v="Nat Gilpin"/>
    <s v="Corporate"/>
    <x v="3"/>
    <x v="1"/>
    <n v="107.42400000000001"/>
    <n v="10742.400000000001"/>
    <n v="2148.4800000000005"/>
  </r>
  <r>
    <n v="620"/>
    <s v="CA-2018-117947"/>
    <x v="238"/>
    <d v="2018-08-23T00:00:00"/>
    <x v="0"/>
    <s v="NG-18355"/>
    <s v="Nat Gilpin"/>
    <s v="Corporate"/>
    <x v="3"/>
    <x v="2"/>
    <n v="37.909999999999997"/>
    <n v="3790.9999999999995"/>
    <n v="758.19999999999993"/>
  </r>
  <r>
    <n v="621"/>
    <s v="CA-2018-117947"/>
    <x v="238"/>
    <d v="2018-08-23T00:00:00"/>
    <x v="0"/>
    <s v="NG-18355"/>
    <s v="Nat Gilpin"/>
    <s v="Corporate"/>
    <x v="3"/>
    <x v="0"/>
    <n v="88.02"/>
    <n v="8802"/>
    <n v="1760.4"/>
  </r>
  <r>
    <n v="622"/>
    <s v="US-2015-111171"/>
    <x v="58"/>
    <d v="2015-12-31T00:00:00"/>
    <x v="1"/>
    <s v="CA-12265"/>
    <s v="Christina Anderson"/>
    <s v="Consumer"/>
    <x v="2"/>
    <x v="1"/>
    <n v="8.69"/>
    <n v="869"/>
    <n v="173.8"/>
  </r>
  <r>
    <n v="623"/>
    <s v="CA-2016-138009"/>
    <x v="239"/>
    <d v="2016-12-03T00:00:00"/>
    <x v="1"/>
    <s v="SF-20965"/>
    <s v="Sylvia Foulston"/>
    <s v="Corporate"/>
    <x v="2"/>
    <x v="0"/>
    <n v="301.95999999999998"/>
    <n v="30195.999999999996"/>
    <n v="6039.2"/>
  </r>
  <r>
    <n v="624"/>
    <s v="CA-2016-138009"/>
    <x v="239"/>
    <d v="2016-12-03T00:00:00"/>
    <x v="1"/>
    <s v="SF-20965"/>
    <s v="Sylvia Foulston"/>
    <s v="Corporate"/>
    <x v="2"/>
    <x v="1"/>
    <n v="555.21"/>
    <n v="55521"/>
    <n v="11104.2"/>
  </r>
  <r>
    <n v="625"/>
    <s v="CA-2016-138009"/>
    <x v="239"/>
    <d v="2016-12-03T00:00:00"/>
    <x v="1"/>
    <s v="SF-20965"/>
    <s v="Sylvia Foulston"/>
    <s v="Corporate"/>
    <x v="2"/>
    <x v="1"/>
    <n v="523.48"/>
    <n v="52348"/>
    <n v="10469.6"/>
  </r>
  <r>
    <n v="626"/>
    <s v="CA-2016-138009"/>
    <x v="239"/>
    <d v="2016-12-03T00:00:00"/>
    <x v="1"/>
    <s v="SF-20965"/>
    <s v="Sylvia Foulston"/>
    <s v="Corporate"/>
    <x v="2"/>
    <x v="1"/>
    <n v="161.82"/>
    <n v="16182"/>
    <n v="3236.4"/>
  </r>
  <r>
    <n v="627"/>
    <s v="CA-2018-163020"/>
    <x v="175"/>
    <d v="2018-09-19T00:00:00"/>
    <x v="1"/>
    <s v="MO-17800"/>
    <s v="Meg O'Connel"/>
    <s v="Home Office"/>
    <x v="3"/>
    <x v="0"/>
    <n v="35.56"/>
    <n v="3556"/>
    <n v="711.2"/>
  </r>
  <r>
    <n v="628"/>
    <s v="CA-2018-153787"/>
    <x v="240"/>
    <d v="2018-05-23T00:00:00"/>
    <x v="1"/>
    <s v="AT-10735"/>
    <s v="Annie Thurman"/>
    <s v="Consumer"/>
    <x v="1"/>
    <x v="1"/>
    <n v="97.16"/>
    <n v="9716"/>
    <n v="1943.2"/>
  </r>
  <r>
    <n v="629"/>
    <s v="CA-2018-133431"/>
    <x v="94"/>
    <d v="2018-12-21T00:00:00"/>
    <x v="1"/>
    <s v="LC-17140"/>
    <s v="Logan Currie"/>
    <s v="Consumer"/>
    <x v="1"/>
    <x v="1"/>
    <n v="15.24"/>
    <n v="1524"/>
    <n v="304.8"/>
  </r>
  <r>
    <n v="630"/>
    <s v="CA-2018-133431"/>
    <x v="94"/>
    <d v="2018-12-21T00:00:00"/>
    <x v="1"/>
    <s v="LC-17140"/>
    <s v="Logan Currie"/>
    <s v="Consumer"/>
    <x v="1"/>
    <x v="1"/>
    <n v="13.23"/>
    <n v="1323"/>
    <n v="264.60000000000002"/>
  </r>
  <r>
    <n v="631"/>
    <s v="US-2017-135720"/>
    <x v="25"/>
    <d v="2017-12-13T00:00:00"/>
    <x v="0"/>
    <s v="FM-14380"/>
    <s v="Fred McMath"/>
    <s v="Consumer"/>
    <x v="1"/>
    <x v="1"/>
    <n v="243.38399999999999"/>
    <n v="24338.399999999998"/>
    <n v="4867.6799999999994"/>
  </r>
  <r>
    <n v="632"/>
    <s v="US-2017-135720"/>
    <x v="25"/>
    <d v="2017-12-13T00:00:00"/>
    <x v="0"/>
    <s v="FM-14380"/>
    <s v="Fred McMath"/>
    <s v="Consumer"/>
    <x v="1"/>
    <x v="2"/>
    <n v="119.8"/>
    <n v="11980"/>
    <n v="2396"/>
  </r>
  <r>
    <n v="633"/>
    <s v="US-2017-135720"/>
    <x v="25"/>
    <d v="2017-12-13T00:00:00"/>
    <x v="0"/>
    <s v="FM-14380"/>
    <s v="Fred McMath"/>
    <s v="Consumer"/>
    <x v="1"/>
    <x v="2"/>
    <n v="300.76799999999997"/>
    <n v="30076.799999999996"/>
    <n v="6015.36"/>
  </r>
  <r>
    <n v="634"/>
    <s v="CA-2018-144694"/>
    <x v="241"/>
    <d v="2018-09-26T00:00:00"/>
    <x v="0"/>
    <s v="BD-11605"/>
    <s v="Brian Dahlen"/>
    <s v="Consumer"/>
    <x v="0"/>
    <x v="2"/>
    <n v="17.88"/>
    <n v="1788"/>
    <n v="357.6"/>
  </r>
  <r>
    <n v="635"/>
    <s v="CA-2018-144694"/>
    <x v="241"/>
    <d v="2018-09-26T00:00:00"/>
    <x v="0"/>
    <s v="BD-11605"/>
    <s v="Brian Dahlen"/>
    <s v="Consumer"/>
    <x v="0"/>
    <x v="1"/>
    <n v="235.94399999999999"/>
    <n v="23594.399999999998"/>
    <n v="4718.88"/>
  </r>
  <r>
    <n v="636"/>
    <s v="CA-2016-168004"/>
    <x v="242"/>
    <d v="2016-10-09T00:00:00"/>
    <x v="0"/>
    <s v="DJ-13420"/>
    <s v="Denny Joy"/>
    <s v="Corporate"/>
    <x v="0"/>
    <x v="0"/>
    <n v="392.94"/>
    <n v="39294"/>
    <n v="7858.8"/>
  </r>
  <r>
    <n v="637"/>
    <s v="US-2017-123470"/>
    <x v="243"/>
    <d v="2017-08-21T00:00:00"/>
    <x v="1"/>
    <s v="ME-17725"/>
    <s v="Max Engle"/>
    <s v="Consumer"/>
    <x v="1"/>
    <x v="1"/>
    <n v="18.882000000000001"/>
    <n v="1888.2"/>
    <n v="377.64000000000004"/>
  </r>
  <r>
    <n v="638"/>
    <s v="US-2017-123470"/>
    <x v="243"/>
    <d v="2017-08-21T00:00:00"/>
    <x v="1"/>
    <s v="ME-17725"/>
    <s v="Max Engle"/>
    <s v="Consumer"/>
    <x v="1"/>
    <x v="1"/>
    <n v="122.328"/>
    <n v="12232.800000000001"/>
    <n v="2446.5600000000004"/>
  </r>
  <r>
    <n v="639"/>
    <s v="CA-2017-115917"/>
    <x v="244"/>
    <d v="2017-05-25T00:00:00"/>
    <x v="1"/>
    <s v="RB-19465"/>
    <s v="Rick Bensley"/>
    <s v="Home Office"/>
    <x v="1"/>
    <x v="0"/>
    <n v="1049.2"/>
    <n v="104920"/>
    <n v="20984"/>
  </r>
  <r>
    <n v="640"/>
    <s v="CA-2017-115917"/>
    <x v="244"/>
    <d v="2017-05-25T00:00:00"/>
    <x v="1"/>
    <s v="RB-19465"/>
    <s v="Rick Bensley"/>
    <s v="Home Office"/>
    <x v="1"/>
    <x v="1"/>
    <n v="15.423999999999999"/>
    <n v="1542.3999999999999"/>
    <n v="308.48"/>
  </r>
  <r>
    <n v="641"/>
    <s v="CA-2017-147067"/>
    <x v="122"/>
    <d v="2017-12-22T00:00:00"/>
    <x v="1"/>
    <s v="JD-16150"/>
    <s v="Justin Deggeller"/>
    <s v="Corporate"/>
    <x v="2"/>
    <x v="0"/>
    <n v="18.84"/>
    <n v="1884"/>
    <n v="376.8"/>
  </r>
  <r>
    <n v="642"/>
    <s v="CA-2018-167913"/>
    <x v="245"/>
    <d v="2018-08-03T00:00:00"/>
    <x v="0"/>
    <s v="JL-15835"/>
    <s v="John Lee"/>
    <s v="Consumer"/>
    <x v="1"/>
    <x v="1"/>
    <n v="330.4"/>
    <n v="33040"/>
    <n v="6608"/>
  </r>
  <r>
    <n v="643"/>
    <s v="CA-2018-167913"/>
    <x v="245"/>
    <d v="2018-08-03T00:00:00"/>
    <x v="0"/>
    <s v="JL-15835"/>
    <s v="John Lee"/>
    <s v="Consumer"/>
    <x v="1"/>
    <x v="1"/>
    <n v="26.25"/>
    <n v="2625"/>
    <n v="525"/>
  </r>
  <r>
    <n v="644"/>
    <s v="CA-2018-106103"/>
    <x v="193"/>
    <d v="2018-06-15T00:00:00"/>
    <x v="1"/>
    <s v="SC-20305"/>
    <s v="Sean Christensen"/>
    <s v="Consumer"/>
    <x v="2"/>
    <x v="2"/>
    <n v="132.52000000000001"/>
    <n v="13252.000000000002"/>
    <n v="2650.4000000000005"/>
  </r>
  <r>
    <n v="645"/>
    <s v="US-2018-127719"/>
    <x v="246"/>
    <d v="2018-07-25T00:00:00"/>
    <x v="1"/>
    <s v="TW-21025"/>
    <s v="Tamara Willingham"/>
    <s v="Home Office"/>
    <x v="3"/>
    <x v="1"/>
    <n v="6.48"/>
    <n v="648"/>
    <n v="129.6"/>
  </r>
  <r>
    <n v="646"/>
    <s v="CA-2018-126221"/>
    <x v="247"/>
    <d v="2019-01-05T00:00:00"/>
    <x v="1"/>
    <s v="CC-12430"/>
    <s v="Chuck Clark"/>
    <s v="Home Office"/>
    <x v="2"/>
    <x v="1"/>
    <n v="209.3"/>
    <n v="20930"/>
    <n v="4186"/>
  </r>
  <r>
    <n v="647"/>
    <s v="CA-2017-103947"/>
    <x v="178"/>
    <d v="2017-04-08T00:00:00"/>
    <x v="1"/>
    <s v="BB-10990"/>
    <s v="Barry Blumstein"/>
    <s v="Corporate"/>
    <x v="1"/>
    <x v="1"/>
    <n v="31.56"/>
    <n v="3156"/>
    <n v="631.20000000000005"/>
  </r>
  <r>
    <n v="648"/>
    <s v="CA-2017-103947"/>
    <x v="178"/>
    <d v="2017-04-08T00:00:00"/>
    <x v="1"/>
    <s v="BB-10990"/>
    <s v="Barry Blumstein"/>
    <s v="Corporate"/>
    <x v="1"/>
    <x v="1"/>
    <n v="30.143999999999998"/>
    <n v="3014.3999999999996"/>
    <n v="602.88"/>
  </r>
  <r>
    <n v="649"/>
    <s v="CA-2017-160745"/>
    <x v="25"/>
    <d v="2017-12-16T00:00:00"/>
    <x v="0"/>
    <s v="AR-10825"/>
    <s v="Anthony Rawles"/>
    <s v="Corporate"/>
    <x v="1"/>
    <x v="0"/>
    <n v="14.8"/>
    <n v="1480"/>
    <n v="296"/>
  </r>
  <r>
    <n v="650"/>
    <s v="CA-2017-160745"/>
    <x v="25"/>
    <d v="2017-12-16T00:00:00"/>
    <x v="0"/>
    <s v="AR-10825"/>
    <s v="Anthony Rawles"/>
    <s v="Corporate"/>
    <x v="1"/>
    <x v="2"/>
    <n v="302.37599999999998"/>
    <n v="30237.599999999999"/>
    <n v="6047.52"/>
  </r>
  <r>
    <n v="651"/>
    <s v="CA-2017-160745"/>
    <x v="25"/>
    <d v="2017-12-16T00:00:00"/>
    <x v="0"/>
    <s v="AR-10825"/>
    <s v="Anthony Rawles"/>
    <s v="Corporate"/>
    <x v="1"/>
    <x v="2"/>
    <n v="316"/>
    <n v="31600"/>
    <n v="6320"/>
  </r>
  <r>
    <n v="652"/>
    <s v="CA-2017-132661"/>
    <x v="248"/>
    <d v="2017-10-29T00:00:00"/>
    <x v="1"/>
    <s v="SR-20740"/>
    <s v="Steven Roelle"/>
    <s v="Home Office"/>
    <x v="3"/>
    <x v="1"/>
    <n v="379.4"/>
    <n v="37940"/>
    <n v="7588"/>
  </r>
  <r>
    <n v="653"/>
    <s v="CA-2018-140844"/>
    <x v="249"/>
    <d v="2018-06-23T00:00:00"/>
    <x v="1"/>
    <s v="AR-10405"/>
    <s v="Allen Rosenblatt"/>
    <s v="Corporate"/>
    <x v="3"/>
    <x v="1"/>
    <n v="97.82"/>
    <n v="9782"/>
    <n v="1956.4"/>
  </r>
  <r>
    <n v="654"/>
    <s v="CA-2018-140844"/>
    <x v="249"/>
    <d v="2018-06-23T00:00:00"/>
    <x v="1"/>
    <s v="AR-10405"/>
    <s v="Allen Rosenblatt"/>
    <s v="Corporate"/>
    <x v="3"/>
    <x v="2"/>
    <n v="103.12"/>
    <n v="10312"/>
    <n v="2062.4"/>
  </r>
  <r>
    <n v="655"/>
    <s v="CA-2017-137239"/>
    <x v="250"/>
    <d v="2017-08-28T00:00:00"/>
    <x v="1"/>
    <s v="CR-12730"/>
    <s v="Craig Reiter"/>
    <s v="Consumer"/>
    <x v="3"/>
    <x v="1"/>
    <n v="113.55200000000001"/>
    <n v="11355.2"/>
    <n v="2271.0400000000004"/>
  </r>
  <r>
    <n v="656"/>
    <s v="CA-2017-137239"/>
    <x v="250"/>
    <d v="2017-08-28T00:00:00"/>
    <x v="1"/>
    <s v="CR-12730"/>
    <s v="Craig Reiter"/>
    <s v="Consumer"/>
    <x v="3"/>
    <x v="1"/>
    <n v="3.3180000000000001"/>
    <n v="331.8"/>
    <n v="66.36"/>
  </r>
  <r>
    <n v="657"/>
    <s v="CA-2017-137239"/>
    <x v="250"/>
    <d v="2017-08-28T00:00:00"/>
    <x v="1"/>
    <s v="CR-12730"/>
    <s v="Craig Reiter"/>
    <s v="Consumer"/>
    <x v="3"/>
    <x v="1"/>
    <n v="134.28800000000001"/>
    <n v="13428.800000000001"/>
    <n v="2685.76"/>
  </r>
  <r>
    <n v="658"/>
    <s v="US-2017-156097"/>
    <x v="251"/>
    <d v="2017-09-19T00:00:00"/>
    <x v="3"/>
    <s v="EH-14125"/>
    <s v="Eugene Hildebrand"/>
    <s v="Home Office"/>
    <x v="2"/>
    <x v="0"/>
    <n v="701.37199999999996"/>
    <n v="70137.2"/>
    <n v="14027.44"/>
  </r>
  <r>
    <n v="659"/>
    <s v="US-2017-156097"/>
    <x v="251"/>
    <d v="2017-09-19T00:00:00"/>
    <x v="3"/>
    <s v="EH-14125"/>
    <s v="Eugene Hildebrand"/>
    <s v="Home Office"/>
    <x v="2"/>
    <x v="1"/>
    <n v="2.3079999999999998"/>
    <n v="230.79999999999998"/>
    <n v="46.16"/>
  </r>
  <r>
    <n v="660"/>
    <s v="CA-2016-146563"/>
    <x v="252"/>
    <d v="2016-08-28T00:00:00"/>
    <x v="1"/>
    <s v="CB-12025"/>
    <s v="Cassandra Brandow"/>
    <s v="Consumer"/>
    <x v="2"/>
    <x v="1"/>
    <n v="999.43200000000002"/>
    <n v="99943.2"/>
    <n v="19988.64"/>
  </r>
  <r>
    <n v="661"/>
    <s v="CA-2016-146563"/>
    <x v="252"/>
    <d v="2016-08-28T00:00:00"/>
    <x v="1"/>
    <s v="CB-12025"/>
    <s v="Cassandra Brandow"/>
    <s v="Consumer"/>
    <x v="2"/>
    <x v="1"/>
    <n v="724.08"/>
    <n v="72408"/>
    <n v="14481.6"/>
  </r>
  <r>
    <n v="662"/>
    <s v="CA-2016-146563"/>
    <x v="252"/>
    <d v="2016-08-28T00:00:00"/>
    <x v="1"/>
    <s v="CB-12025"/>
    <s v="Cassandra Brandow"/>
    <s v="Consumer"/>
    <x v="2"/>
    <x v="0"/>
    <n v="918.78499999999997"/>
    <n v="91878.5"/>
    <n v="18375.7"/>
  </r>
  <r>
    <n v="663"/>
    <s v="CA-2016-146563"/>
    <x v="252"/>
    <d v="2016-08-28T00:00:00"/>
    <x v="1"/>
    <s v="CB-12025"/>
    <s v="Cassandra Brandow"/>
    <s v="Consumer"/>
    <x v="2"/>
    <x v="1"/>
    <n v="2.7240000000000002"/>
    <n v="272.40000000000003"/>
    <n v="54.480000000000011"/>
  </r>
  <r>
    <n v="664"/>
    <s v="CA-2017-123666"/>
    <x v="253"/>
    <d v="2017-03-30T00:00:00"/>
    <x v="1"/>
    <s v="SP-20545"/>
    <s v="Sibella Parks"/>
    <s v="Corporate"/>
    <x v="3"/>
    <x v="1"/>
    <n v="459.95"/>
    <n v="45995"/>
    <n v="9199"/>
  </r>
  <r>
    <n v="665"/>
    <s v="CA-2017-143308"/>
    <x v="254"/>
    <d v="2017-11-04T00:00:00"/>
    <x v="3"/>
    <s v="RC-19825"/>
    <s v="Roy Collins"/>
    <s v="Consumer"/>
    <x v="0"/>
    <x v="1"/>
    <n v="10.74"/>
    <n v="1074"/>
    <n v="214.8"/>
  </r>
  <r>
    <n v="666"/>
    <s v="CA-2018-132682"/>
    <x v="110"/>
    <d v="2018-06-10T00:00:00"/>
    <x v="0"/>
    <s v="TH-21235"/>
    <s v="Tiffany House"/>
    <s v="Corporate"/>
    <x v="2"/>
    <x v="1"/>
    <n v="23.76"/>
    <n v="2376"/>
    <n v="475.20000000000005"/>
  </r>
  <r>
    <n v="667"/>
    <s v="CA-2018-132682"/>
    <x v="110"/>
    <d v="2018-06-10T00:00:00"/>
    <x v="0"/>
    <s v="TH-21235"/>
    <s v="Tiffany House"/>
    <s v="Corporate"/>
    <x v="2"/>
    <x v="1"/>
    <n v="85.055999999999997"/>
    <n v="8505.6"/>
    <n v="1701.1200000000001"/>
  </r>
  <r>
    <n v="668"/>
    <s v="CA-2018-132682"/>
    <x v="110"/>
    <d v="2018-06-10T00:00:00"/>
    <x v="0"/>
    <s v="TH-21235"/>
    <s v="Tiffany House"/>
    <s v="Corporate"/>
    <x v="2"/>
    <x v="2"/>
    <n v="381.57600000000002"/>
    <n v="38157.600000000006"/>
    <n v="7631.5200000000013"/>
  </r>
  <r>
    <n v="669"/>
    <s v="CA-2015-156314"/>
    <x v="163"/>
    <d v="2015-12-26T00:00:00"/>
    <x v="2"/>
    <s v="RP-19390"/>
    <s v="Resi PÃ¶lking"/>
    <s v="Consumer"/>
    <x v="3"/>
    <x v="0"/>
    <n v="30.36"/>
    <n v="3036"/>
    <n v="607.20000000000005"/>
  </r>
  <r>
    <n v="670"/>
    <s v="US-2018-106663"/>
    <x v="255"/>
    <d v="2018-06-13T00:00:00"/>
    <x v="1"/>
    <s v="MO-17800"/>
    <s v="Meg O'Connel"/>
    <s v="Home Office"/>
    <x v="2"/>
    <x v="0"/>
    <n v="23.975999999999999"/>
    <n v="2397.6"/>
    <n v="479.52"/>
  </r>
  <r>
    <n v="671"/>
    <s v="US-2018-106663"/>
    <x v="255"/>
    <d v="2018-06-13T00:00:00"/>
    <x v="1"/>
    <s v="MO-17800"/>
    <s v="Meg O'Connel"/>
    <s v="Home Office"/>
    <x v="2"/>
    <x v="0"/>
    <n v="108.925"/>
    <n v="10892.5"/>
    <n v="2178.5"/>
  </r>
  <r>
    <n v="672"/>
    <s v="US-2018-106663"/>
    <x v="255"/>
    <d v="2018-06-13T00:00:00"/>
    <x v="1"/>
    <s v="MO-17800"/>
    <s v="Meg O'Connel"/>
    <s v="Home Office"/>
    <x v="2"/>
    <x v="1"/>
    <n v="36.351999999999997"/>
    <n v="3635.2"/>
    <n v="727.04"/>
  </r>
  <r>
    <n v="673"/>
    <s v="CA-2018-111178"/>
    <x v="140"/>
    <d v="2018-06-22T00:00:00"/>
    <x v="1"/>
    <s v="TD-20995"/>
    <s v="Tamara Dahlen"/>
    <s v="Consumer"/>
    <x v="2"/>
    <x v="1"/>
    <n v="19.559999999999999"/>
    <n v="1955.9999999999998"/>
    <n v="391.2"/>
  </r>
  <r>
    <n v="674"/>
    <s v="CA-2018-130351"/>
    <x v="256"/>
    <d v="2018-12-08T00:00:00"/>
    <x v="2"/>
    <s v="RB-19570"/>
    <s v="Rob Beeghly"/>
    <s v="Consumer"/>
    <x v="2"/>
    <x v="1"/>
    <n v="61.44"/>
    <n v="6144"/>
    <n v="1228.8000000000002"/>
  </r>
  <r>
    <n v="675"/>
    <s v="CA-2018-130351"/>
    <x v="256"/>
    <d v="2018-12-08T00:00:00"/>
    <x v="2"/>
    <s v="RB-19570"/>
    <s v="Rob Beeghly"/>
    <s v="Consumer"/>
    <x v="2"/>
    <x v="1"/>
    <n v="38.9"/>
    <n v="3890"/>
    <n v="778"/>
  </r>
  <r>
    <n v="676"/>
    <s v="CA-2018-130351"/>
    <x v="256"/>
    <d v="2018-12-08T00:00:00"/>
    <x v="2"/>
    <s v="RB-19570"/>
    <s v="Rob Beeghly"/>
    <s v="Consumer"/>
    <x v="2"/>
    <x v="2"/>
    <n v="99.39"/>
    <n v="9939"/>
    <n v="1987.8000000000002"/>
  </r>
  <r>
    <n v="677"/>
    <s v="US-2018-119438"/>
    <x v="257"/>
    <d v="2018-03-23T00:00:00"/>
    <x v="1"/>
    <s v="CD-11980"/>
    <s v="Carol Darley"/>
    <s v="Consumer"/>
    <x v="2"/>
    <x v="1"/>
    <n v="2.6880000000000002"/>
    <n v="268.8"/>
    <n v="53.760000000000005"/>
  </r>
  <r>
    <n v="678"/>
    <s v="US-2018-119438"/>
    <x v="257"/>
    <d v="2018-03-23T00:00:00"/>
    <x v="1"/>
    <s v="CD-11980"/>
    <s v="Carol Darley"/>
    <s v="Consumer"/>
    <x v="2"/>
    <x v="2"/>
    <n v="27.815999999999999"/>
    <n v="2781.6"/>
    <n v="556.32000000000005"/>
  </r>
  <r>
    <n v="679"/>
    <s v="US-2018-119438"/>
    <x v="257"/>
    <d v="2018-03-23T00:00:00"/>
    <x v="1"/>
    <s v="CD-11980"/>
    <s v="Carol Darley"/>
    <s v="Consumer"/>
    <x v="2"/>
    <x v="0"/>
    <n v="82.524000000000001"/>
    <n v="8252.4"/>
    <n v="1650.48"/>
  </r>
  <r>
    <n v="680"/>
    <s v="US-2018-119438"/>
    <x v="257"/>
    <d v="2018-03-23T00:00:00"/>
    <x v="1"/>
    <s v="CD-11980"/>
    <s v="Carol Darley"/>
    <s v="Consumer"/>
    <x v="2"/>
    <x v="1"/>
    <n v="182.994"/>
    <n v="18299.400000000001"/>
    <n v="3659.8800000000006"/>
  </r>
  <r>
    <n v="681"/>
    <s v="CA-2017-164511"/>
    <x v="258"/>
    <d v="2017-11-24T00:00:00"/>
    <x v="1"/>
    <s v="DJ-13630"/>
    <s v="Doug Jacobs"/>
    <s v="Consumer"/>
    <x v="3"/>
    <x v="1"/>
    <n v="14.352"/>
    <n v="1435.2"/>
    <n v="287.04000000000002"/>
  </r>
  <r>
    <n v="682"/>
    <s v="CA-2017-164511"/>
    <x v="258"/>
    <d v="2017-11-24T00:00:00"/>
    <x v="1"/>
    <s v="DJ-13630"/>
    <s v="Doug Jacobs"/>
    <s v="Consumer"/>
    <x v="3"/>
    <x v="1"/>
    <n v="64.959999999999994"/>
    <n v="6495.9999999999991"/>
    <n v="1299.1999999999998"/>
  </r>
  <r>
    <n v="683"/>
    <s v="CA-2017-164511"/>
    <x v="258"/>
    <d v="2017-11-24T00:00:00"/>
    <x v="1"/>
    <s v="DJ-13630"/>
    <s v="Doug Jacobs"/>
    <s v="Consumer"/>
    <x v="3"/>
    <x v="1"/>
    <n v="68.599999999999994"/>
    <n v="6859.9999999999991"/>
    <n v="1372"/>
  </r>
  <r>
    <n v="684"/>
    <s v="US-2018-168116"/>
    <x v="259"/>
    <d v="2018-11-04T00:00:00"/>
    <x v="3"/>
    <s v="GT-14635"/>
    <s v="Grant Thornton"/>
    <s v="Corporate"/>
    <x v="0"/>
    <x v="2"/>
    <n v="7999.98"/>
    <n v="799998"/>
    <n v="159999.6"/>
  </r>
  <r>
    <n v="685"/>
    <s v="US-2018-168116"/>
    <x v="259"/>
    <d v="2018-11-04T00:00:00"/>
    <x v="3"/>
    <s v="GT-14635"/>
    <s v="Grant Thornton"/>
    <s v="Corporate"/>
    <x v="0"/>
    <x v="1"/>
    <n v="167.44"/>
    <n v="16744"/>
    <n v="3348.8"/>
  </r>
  <r>
    <n v="686"/>
    <s v="CA-2015-157784"/>
    <x v="260"/>
    <d v="2015-07-08T00:00:00"/>
    <x v="2"/>
    <s v="MC-17845"/>
    <s v="Michael Chen"/>
    <s v="Consumer"/>
    <x v="0"/>
    <x v="2"/>
    <n v="479.97"/>
    <n v="47997"/>
    <n v="9599.4"/>
  </r>
  <r>
    <n v="687"/>
    <s v="CA-2015-157784"/>
    <x v="260"/>
    <d v="2015-07-08T00:00:00"/>
    <x v="2"/>
    <s v="MC-17845"/>
    <s v="Michael Chen"/>
    <s v="Consumer"/>
    <x v="0"/>
    <x v="1"/>
    <n v="14.62"/>
    <n v="1462"/>
    <n v="292.40000000000003"/>
  </r>
  <r>
    <n v="688"/>
    <s v="CA-2015-157784"/>
    <x v="260"/>
    <d v="2015-07-08T00:00:00"/>
    <x v="2"/>
    <s v="MC-17845"/>
    <s v="Michael Chen"/>
    <s v="Consumer"/>
    <x v="0"/>
    <x v="1"/>
    <n v="19.440000000000001"/>
    <n v="1944.0000000000002"/>
    <n v="388.80000000000007"/>
  </r>
  <r>
    <n v="689"/>
    <s v="CA-2018-161480"/>
    <x v="53"/>
    <d v="2018-12-29T00:00:00"/>
    <x v="1"/>
    <s v="RA-19285"/>
    <s v="Ralph Arnett"/>
    <s v="Consumer"/>
    <x v="3"/>
    <x v="0"/>
    <n v="191.98400000000001"/>
    <n v="19198.400000000001"/>
    <n v="3839.6800000000003"/>
  </r>
  <r>
    <n v="690"/>
    <s v="US-2015-117135"/>
    <x v="261"/>
    <d v="2015-06-23T00:00:00"/>
    <x v="0"/>
    <s v="NP-18325"/>
    <s v="Naresj Patel"/>
    <s v="Consumer"/>
    <x v="0"/>
    <x v="0"/>
    <n v="104.01"/>
    <n v="10401"/>
    <n v="2080.2000000000003"/>
  </r>
  <r>
    <n v="691"/>
    <s v="US-2015-117135"/>
    <x v="261"/>
    <d v="2015-06-23T00:00:00"/>
    <x v="0"/>
    <s v="NP-18325"/>
    <s v="Naresj Patel"/>
    <s v="Consumer"/>
    <x v="0"/>
    <x v="2"/>
    <n v="284.82"/>
    <n v="28482"/>
    <n v="5696.4000000000005"/>
  </r>
  <r>
    <n v="692"/>
    <s v="US-2015-117135"/>
    <x v="261"/>
    <d v="2015-06-23T00:00:00"/>
    <x v="0"/>
    <s v="NP-18325"/>
    <s v="Naresj Patel"/>
    <s v="Consumer"/>
    <x v="0"/>
    <x v="1"/>
    <n v="36.840000000000003"/>
    <n v="3684.0000000000005"/>
    <n v="736.80000000000018"/>
  </r>
  <r>
    <n v="693"/>
    <s v="CA-2016-131534"/>
    <x v="262"/>
    <d v="2016-04-02T00:00:00"/>
    <x v="1"/>
    <s v="AB-10165"/>
    <s v="Alan Barnes"/>
    <s v="Consumer"/>
    <x v="1"/>
    <x v="2"/>
    <n v="166.24"/>
    <n v="16624"/>
    <n v="3324.8"/>
  </r>
  <r>
    <n v="694"/>
    <s v="CA-2016-131534"/>
    <x v="262"/>
    <d v="2016-04-02T00:00:00"/>
    <x v="1"/>
    <s v="AB-10165"/>
    <s v="Alan Barnes"/>
    <s v="Consumer"/>
    <x v="1"/>
    <x v="1"/>
    <n v="33.4"/>
    <n v="3340"/>
    <n v="668"/>
  </r>
  <r>
    <n v="695"/>
    <s v="CA-2016-119291"/>
    <x v="263"/>
    <d v="2016-05-17T00:00:00"/>
    <x v="2"/>
    <s v="JO-15550"/>
    <s v="Jesus Ocampo"/>
    <s v="Home Office"/>
    <x v="3"/>
    <x v="1"/>
    <n v="198.27199999999999"/>
    <n v="19827.2"/>
    <n v="3965.4400000000005"/>
  </r>
  <r>
    <n v="696"/>
    <s v="CA-2016-119291"/>
    <x v="263"/>
    <d v="2016-05-17T00:00:00"/>
    <x v="2"/>
    <s v="JO-15550"/>
    <s v="Jesus Ocampo"/>
    <s v="Home Office"/>
    <x v="3"/>
    <x v="1"/>
    <n v="47.36"/>
    <n v="4736"/>
    <n v="947.2"/>
  </r>
  <r>
    <n v="697"/>
    <s v="CA-2016-119291"/>
    <x v="263"/>
    <d v="2016-05-17T00:00:00"/>
    <x v="2"/>
    <s v="JO-15550"/>
    <s v="Jesus Ocampo"/>
    <s v="Home Office"/>
    <x v="3"/>
    <x v="1"/>
    <n v="200.98400000000001"/>
    <n v="20098.400000000001"/>
    <n v="4019.6800000000003"/>
  </r>
  <r>
    <n v="698"/>
    <s v="CA-2016-119291"/>
    <x v="263"/>
    <d v="2016-05-17T00:00:00"/>
    <x v="2"/>
    <s v="JO-15550"/>
    <s v="Jesus Ocampo"/>
    <s v="Home Office"/>
    <x v="3"/>
    <x v="1"/>
    <n v="97.695999999999998"/>
    <n v="9769.6"/>
    <n v="1953.92"/>
  </r>
  <r>
    <n v="699"/>
    <s v="CA-2016-119291"/>
    <x v="263"/>
    <d v="2016-05-17T00:00:00"/>
    <x v="2"/>
    <s v="JO-15550"/>
    <s v="Jesus Ocampo"/>
    <s v="Home Office"/>
    <x v="3"/>
    <x v="1"/>
    <n v="2.6960000000000002"/>
    <n v="269.60000000000002"/>
    <n v="53.920000000000009"/>
  </r>
  <r>
    <n v="700"/>
    <s v="CA-2016-119291"/>
    <x v="263"/>
    <d v="2016-05-17T00:00:00"/>
    <x v="2"/>
    <s v="JO-15550"/>
    <s v="Jesus Ocampo"/>
    <s v="Home Office"/>
    <x v="3"/>
    <x v="1"/>
    <n v="18.588000000000001"/>
    <n v="1858.8000000000002"/>
    <n v="371.76000000000005"/>
  </r>
  <r>
    <n v="701"/>
    <s v="CA-2016-119291"/>
    <x v="263"/>
    <d v="2016-05-17T00:00:00"/>
    <x v="2"/>
    <s v="JO-15550"/>
    <s v="Jesus Ocampo"/>
    <s v="Home Office"/>
    <x v="3"/>
    <x v="1"/>
    <n v="4.8959999999999999"/>
    <n v="489.59999999999997"/>
    <n v="97.92"/>
  </r>
  <r>
    <n v="702"/>
    <s v="CA-2018-114552"/>
    <x v="264"/>
    <d v="2018-09-08T00:00:00"/>
    <x v="1"/>
    <s v="Dl-13600"/>
    <s v="Dorris liebe"/>
    <s v="Corporate"/>
    <x v="3"/>
    <x v="0"/>
    <n v="15.071999999999999"/>
    <n v="1507.1999999999998"/>
    <n v="301.44"/>
  </r>
  <r>
    <n v="703"/>
    <s v="CA-2017-163755"/>
    <x v="254"/>
    <d v="2017-11-08T00:00:00"/>
    <x v="0"/>
    <s v="AS-10285"/>
    <s v="Alejandro Savely"/>
    <s v="Corporate"/>
    <x v="1"/>
    <x v="0"/>
    <n v="209.88"/>
    <n v="20988"/>
    <n v="4197.6000000000004"/>
  </r>
  <r>
    <n v="704"/>
    <s v="CA-2016-142027"/>
    <x v="265"/>
    <d v="2016-04-14T00:00:00"/>
    <x v="1"/>
    <s v="JK-15370"/>
    <s v="Jay Kimmel"/>
    <s v="Consumer"/>
    <x v="1"/>
    <x v="0"/>
    <n v="369.91199999999998"/>
    <n v="36991.199999999997"/>
    <n v="7398.24"/>
  </r>
  <r>
    <n v="705"/>
    <s v="CA-2015-138527"/>
    <x v="171"/>
    <d v="2015-09-17T00:00:00"/>
    <x v="1"/>
    <s v="BN-11470"/>
    <s v="Brad Norvell"/>
    <s v="Corporate"/>
    <x v="0"/>
    <x v="1"/>
    <n v="10.368"/>
    <n v="1036.8"/>
    <n v="207.36"/>
  </r>
  <r>
    <n v="706"/>
    <s v="CA-2015-138527"/>
    <x v="171"/>
    <d v="2015-09-17T00:00:00"/>
    <x v="1"/>
    <s v="BN-11470"/>
    <s v="Brad Norvell"/>
    <s v="Corporate"/>
    <x v="0"/>
    <x v="1"/>
    <n v="166.84"/>
    <n v="16684"/>
    <n v="3336.8"/>
  </r>
  <r>
    <n v="707"/>
    <s v="CA-2015-138527"/>
    <x v="171"/>
    <d v="2015-09-17T00:00:00"/>
    <x v="1"/>
    <s v="BN-11470"/>
    <s v="Brad Norvell"/>
    <s v="Corporate"/>
    <x v="0"/>
    <x v="2"/>
    <n v="15.215999999999999"/>
    <n v="1521.6"/>
    <n v="304.32"/>
  </r>
  <r>
    <n v="708"/>
    <s v="CA-2015-112158"/>
    <x v="266"/>
    <d v="2015-12-04T00:00:00"/>
    <x v="2"/>
    <s v="DP-13165"/>
    <s v="David Philippe"/>
    <s v="Consumer"/>
    <x v="3"/>
    <x v="2"/>
    <n v="119.96"/>
    <n v="11996"/>
    <n v="2399.2000000000003"/>
  </r>
  <r>
    <n v="709"/>
    <s v="CA-2015-112158"/>
    <x v="266"/>
    <d v="2015-12-04T00:00:00"/>
    <x v="2"/>
    <s v="DP-13165"/>
    <s v="David Philippe"/>
    <s v="Consumer"/>
    <x v="3"/>
    <x v="0"/>
    <n v="883.92"/>
    <n v="88392"/>
    <n v="17678.400000000001"/>
  </r>
  <r>
    <n v="710"/>
    <s v="CA-2015-112158"/>
    <x v="266"/>
    <d v="2015-12-04T00:00:00"/>
    <x v="2"/>
    <s v="DP-13165"/>
    <s v="David Philippe"/>
    <s v="Consumer"/>
    <x v="3"/>
    <x v="1"/>
    <n v="46.72"/>
    <n v="4672"/>
    <n v="934.40000000000009"/>
  </r>
  <r>
    <n v="711"/>
    <s v="CA-2015-113887"/>
    <x v="267"/>
    <d v="2015-04-07T00:00:00"/>
    <x v="2"/>
    <s v="TH-21550"/>
    <s v="Tracy Hopkins"/>
    <s v="Home Office"/>
    <x v="3"/>
    <x v="1"/>
    <n v="55.48"/>
    <n v="5548"/>
    <n v="1109.6000000000001"/>
  </r>
  <r>
    <n v="712"/>
    <s v="CA-2018-146136"/>
    <x v="213"/>
    <d v="2018-09-07T00:00:00"/>
    <x v="1"/>
    <s v="AP-10915"/>
    <s v="Arthur Prichep"/>
    <s v="Consumer"/>
    <x v="0"/>
    <x v="1"/>
    <n v="24.448"/>
    <n v="2444.8000000000002"/>
    <n v="488.96000000000004"/>
  </r>
  <r>
    <n v="713"/>
    <s v="US-2018-100048"/>
    <x v="240"/>
    <d v="2018-05-24T00:00:00"/>
    <x v="1"/>
    <s v="RS-19765"/>
    <s v="Roland Schwarz"/>
    <s v="Corporate"/>
    <x v="3"/>
    <x v="1"/>
    <n v="281.33999999999997"/>
    <n v="28133.999999999996"/>
    <n v="5626.7999999999993"/>
  </r>
  <r>
    <n v="714"/>
    <s v="US-2018-100048"/>
    <x v="240"/>
    <d v="2018-05-24T00:00:00"/>
    <x v="1"/>
    <s v="RS-19765"/>
    <s v="Roland Schwarz"/>
    <s v="Corporate"/>
    <x v="3"/>
    <x v="2"/>
    <n v="307.98"/>
    <n v="30798"/>
    <n v="6159.6"/>
  </r>
  <r>
    <n v="715"/>
    <s v="US-2018-100048"/>
    <x v="240"/>
    <d v="2018-05-24T00:00:00"/>
    <x v="1"/>
    <s v="RS-19765"/>
    <s v="Roland Schwarz"/>
    <s v="Corporate"/>
    <x v="3"/>
    <x v="2"/>
    <n v="299.97000000000003"/>
    <n v="29997.000000000004"/>
    <n v="5999.4000000000015"/>
  </r>
  <r>
    <n v="716"/>
    <s v="CA-2015-153150"/>
    <x v="268"/>
    <d v="2015-07-06T00:00:00"/>
    <x v="0"/>
    <s v="Dl-13600"/>
    <s v="Dorris liebe"/>
    <s v="Corporate"/>
    <x v="1"/>
    <x v="1"/>
    <n v="19.920000000000002"/>
    <n v="1992.0000000000002"/>
    <n v="398.40000000000009"/>
  </r>
  <r>
    <n v="717"/>
    <s v="CA-2015-130092"/>
    <x v="269"/>
    <d v="2015-01-14T00:00:00"/>
    <x v="2"/>
    <s v="SV-20365"/>
    <s v="Seth Vernon"/>
    <s v="Consumer"/>
    <x v="3"/>
    <x v="0"/>
    <n v="9.94"/>
    <n v="994"/>
    <n v="198.8"/>
  </r>
  <r>
    <n v="718"/>
    <s v="CA-2018-108910"/>
    <x v="241"/>
    <d v="2018-09-29T00:00:00"/>
    <x v="1"/>
    <s v="KC-16540"/>
    <s v="Kelly Collister"/>
    <s v="Consumer"/>
    <x v="3"/>
    <x v="0"/>
    <n v="103.056"/>
    <n v="10305.6"/>
    <n v="2061.1200000000003"/>
  </r>
  <r>
    <n v="719"/>
    <s v="CA-2015-104472"/>
    <x v="270"/>
    <d v="2015-06-07T00:00:00"/>
    <x v="1"/>
    <s v="CK-12325"/>
    <s v="Christine Kargatis"/>
    <s v="Home Office"/>
    <x v="1"/>
    <x v="1"/>
    <n v="59.808"/>
    <n v="5980.8"/>
    <n v="1196.1600000000001"/>
  </r>
  <r>
    <n v="720"/>
    <s v="CA-2015-104472"/>
    <x v="270"/>
    <d v="2015-06-07T00:00:00"/>
    <x v="1"/>
    <s v="CK-12325"/>
    <s v="Christine Kargatis"/>
    <s v="Home Office"/>
    <x v="1"/>
    <x v="0"/>
    <n v="73.319999999999993"/>
    <n v="7331.9999999999991"/>
    <n v="1466.3999999999999"/>
  </r>
  <r>
    <n v="721"/>
    <s v="CA-2017-112942"/>
    <x v="271"/>
    <d v="2017-02-18T00:00:00"/>
    <x v="1"/>
    <s v="RD-19810"/>
    <s v="Ross DeVincentis"/>
    <s v="Home Office"/>
    <x v="1"/>
    <x v="1"/>
    <n v="146.82"/>
    <n v="14682"/>
    <n v="2936.4"/>
  </r>
  <r>
    <n v="722"/>
    <s v="CA-2017-142335"/>
    <x v="272"/>
    <d v="2017-12-19T00:00:00"/>
    <x v="1"/>
    <s v="MP-17965"/>
    <s v="Michael Paige"/>
    <s v="Corporate"/>
    <x v="2"/>
    <x v="0"/>
    <n v="1652.94"/>
    <n v="165294"/>
    <n v="33058.800000000003"/>
  </r>
  <r>
    <n v="723"/>
    <s v="CA-2017-142335"/>
    <x v="272"/>
    <d v="2017-12-19T00:00:00"/>
    <x v="1"/>
    <s v="MP-17965"/>
    <s v="Michael Paige"/>
    <s v="Corporate"/>
    <x v="2"/>
    <x v="1"/>
    <n v="296.37"/>
    <n v="29637"/>
    <n v="5927.4000000000005"/>
  </r>
  <r>
    <n v="724"/>
    <s v="CA-2015-117429"/>
    <x v="273"/>
    <d v="2015-10-13T00:00:00"/>
    <x v="1"/>
    <s v="MR-17545"/>
    <s v="Mathew Reese"/>
    <s v="Home Office"/>
    <x v="3"/>
    <x v="0"/>
    <n v="129.91999999999999"/>
    <n v="12991.999999999998"/>
    <n v="2598.3999999999996"/>
  </r>
  <r>
    <n v="725"/>
    <s v="CA-2017-114713"/>
    <x v="274"/>
    <d v="2017-07-12T00:00:00"/>
    <x v="1"/>
    <s v="SC-20695"/>
    <s v="Steve Chapman"/>
    <s v="Corporate"/>
    <x v="0"/>
    <x v="1"/>
    <n v="45.584000000000003"/>
    <n v="4558.4000000000005"/>
    <n v="911.68000000000018"/>
  </r>
  <r>
    <n v="726"/>
    <s v="CA-2018-144113"/>
    <x v="118"/>
    <d v="2018-09-20T00:00:00"/>
    <x v="1"/>
    <s v="JF-15355"/>
    <s v="Jay Fein"/>
    <s v="Consumer"/>
    <x v="2"/>
    <x v="1"/>
    <n v="17.568000000000001"/>
    <n v="1756.8000000000002"/>
    <n v="351.36000000000007"/>
  </r>
  <r>
    <n v="727"/>
    <s v="CA-2018-144113"/>
    <x v="118"/>
    <d v="2018-09-20T00:00:00"/>
    <x v="1"/>
    <s v="JF-15355"/>
    <s v="Jay Fein"/>
    <s v="Consumer"/>
    <x v="2"/>
    <x v="2"/>
    <n v="55.991999999999997"/>
    <n v="5599.2"/>
    <n v="1119.8399999999999"/>
  </r>
  <r>
    <n v="728"/>
    <s v="US-2017-150861"/>
    <x v="275"/>
    <d v="2017-12-06T00:00:00"/>
    <x v="2"/>
    <s v="EG-13900"/>
    <s v="Emily Grady"/>
    <s v="Consumer"/>
    <x v="3"/>
    <x v="1"/>
    <n v="182.72"/>
    <n v="18272"/>
    <n v="3654.4"/>
  </r>
  <r>
    <n v="729"/>
    <s v="US-2017-150861"/>
    <x v="275"/>
    <d v="2017-12-06T00:00:00"/>
    <x v="2"/>
    <s v="EG-13900"/>
    <s v="Emily Grady"/>
    <s v="Consumer"/>
    <x v="3"/>
    <x v="0"/>
    <n v="400.03199999999998"/>
    <n v="40003.199999999997"/>
    <n v="8000.6399999999994"/>
  </r>
  <r>
    <n v="730"/>
    <s v="US-2017-150861"/>
    <x v="275"/>
    <d v="2017-12-06T00:00:00"/>
    <x v="2"/>
    <s v="EG-13900"/>
    <s v="Emily Grady"/>
    <s v="Consumer"/>
    <x v="3"/>
    <x v="1"/>
    <n v="33.630000000000003"/>
    <n v="3363.0000000000005"/>
    <n v="672.60000000000014"/>
  </r>
  <r>
    <n v="731"/>
    <s v="US-2017-150861"/>
    <x v="275"/>
    <d v="2017-12-06T00:00:00"/>
    <x v="2"/>
    <s v="EG-13900"/>
    <s v="Emily Grady"/>
    <s v="Consumer"/>
    <x v="3"/>
    <x v="0"/>
    <n v="542.64599999999996"/>
    <n v="54264.6"/>
    <n v="10852.92"/>
  </r>
  <r>
    <n v="732"/>
    <s v="US-2017-150861"/>
    <x v="275"/>
    <d v="2017-12-06T00:00:00"/>
    <x v="2"/>
    <s v="EG-13900"/>
    <s v="Emily Grady"/>
    <s v="Consumer"/>
    <x v="3"/>
    <x v="1"/>
    <n v="6.3"/>
    <n v="630"/>
    <n v="126"/>
  </r>
  <r>
    <n v="733"/>
    <s v="CA-2018-131954"/>
    <x v="276"/>
    <d v="2018-01-25T00:00:00"/>
    <x v="1"/>
    <s v="DS-13030"/>
    <s v="Darrin Sayre"/>
    <s v="Home Office"/>
    <x v="1"/>
    <x v="1"/>
    <n v="242.94"/>
    <n v="24294"/>
    <n v="4858.8"/>
  </r>
  <r>
    <n v="734"/>
    <s v="CA-2018-131954"/>
    <x v="276"/>
    <d v="2018-01-25T00:00:00"/>
    <x v="1"/>
    <s v="DS-13030"/>
    <s v="Darrin Sayre"/>
    <s v="Home Office"/>
    <x v="1"/>
    <x v="2"/>
    <n v="179.97"/>
    <n v="17997"/>
    <n v="3599.4"/>
  </r>
  <r>
    <n v="735"/>
    <s v="CA-2018-131954"/>
    <x v="276"/>
    <d v="2018-01-25T00:00:00"/>
    <x v="1"/>
    <s v="DS-13030"/>
    <s v="Darrin Sayre"/>
    <s v="Home Office"/>
    <x v="1"/>
    <x v="1"/>
    <n v="99.695999999999998"/>
    <n v="9969.6"/>
    <n v="1993.92"/>
  </r>
  <r>
    <n v="736"/>
    <s v="CA-2018-131954"/>
    <x v="276"/>
    <d v="2018-01-25T00:00:00"/>
    <x v="1"/>
    <s v="DS-13030"/>
    <s v="Darrin Sayre"/>
    <s v="Home Office"/>
    <x v="1"/>
    <x v="1"/>
    <n v="27.936"/>
    <n v="2793.6"/>
    <n v="558.72"/>
  </r>
  <r>
    <n v="737"/>
    <s v="CA-2018-131954"/>
    <x v="276"/>
    <d v="2018-01-25T00:00:00"/>
    <x v="1"/>
    <s v="DS-13030"/>
    <s v="Darrin Sayre"/>
    <s v="Home Office"/>
    <x v="1"/>
    <x v="0"/>
    <n v="84.98"/>
    <n v="8498"/>
    <n v="1699.6000000000001"/>
  </r>
  <r>
    <n v="738"/>
    <s v="CA-2018-131954"/>
    <x v="276"/>
    <d v="2018-01-25T00:00:00"/>
    <x v="1"/>
    <s v="DS-13030"/>
    <s v="Darrin Sayre"/>
    <s v="Home Office"/>
    <x v="1"/>
    <x v="1"/>
    <n v="18.72"/>
    <n v="1872"/>
    <n v="374.40000000000003"/>
  </r>
  <r>
    <n v="739"/>
    <s v="CA-2015-132500"/>
    <x v="78"/>
    <d v="2015-09-12T00:00:00"/>
    <x v="1"/>
    <s v="GZ-14470"/>
    <s v="Gary Zandusky"/>
    <s v="Consumer"/>
    <x v="1"/>
    <x v="2"/>
    <n v="49.98"/>
    <n v="4998"/>
    <n v="999.6"/>
  </r>
  <r>
    <n v="740"/>
    <s v="CA-2015-112326"/>
    <x v="277"/>
    <d v="2015-01-08T00:00:00"/>
    <x v="1"/>
    <s v="PO-19195"/>
    <s v="Phillina Ober"/>
    <s v="Home Office"/>
    <x v="2"/>
    <x v="1"/>
    <n v="11.784000000000001"/>
    <n v="1178.4000000000001"/>
    <n v="235.68000000000004"/>
  </r>
  <r>
    <n v="741"/>
    <s v="CA-2015-112326"/>
    <x v="277"/>
    <d v="2015-01-08T00:00:00"/>
    <x v="1"/>
    <s v="PO-19195"/>
    <s v="Phillina Ober"/>
    <s v="Home Office"/>
    <x v="2"/>
    <x v="1"/>
    <n v="272.73599999999999"/>
    <n v="27273.599999999999"/>
    <n v="5454.72"/>
  </r>
  <r>
    <n v="742"/>
    <s v="CA-2015-112326"/>
    <x v="277"/>
    <d v="2015-01-08T00:00:00"/>
    <x v="1"/>
    <s v="PO-19195"/>
    <s v="Phillina Ober"/>
    <s v="Home Office"/>
    <x v="2"/>
    <x v="1"/>
    <n v="3.54"/>
    <n v="354"/>
    <n v="70.8"/>
  </r>
  <r>
    <n v="743"/>
    <s v="US-2017-146710"/>
    <x v="278"/>
    <d v="2017-09-01T00:00:00"/>
    <x v="1"/>
    <s v="SS-20875"/>
    <s v="Sung Shariari"/>
    <s v="Consumer"/>
    <x v="2"/>
    <x v="1"/>
    <n v="51.52"/>
    <n v="5152"/>
    <n v="1030.4000000000001"/>
  </r>
  <r>
    <n v="744"/>
    <s v="US-2017-146710"/>
    <x v="278"/>
    <d v="2017-09-01T00:00:00"/>
    <x v="1"/>
    <s v="SS-20875"/>
    <s v="Sung Shariari"/>
    <s v="Consumer"/>
    <x v="2"/>
    <x v="1"/>
    <n v="3.528"/>
    <n v="352.8"/>
    <n v="70.56"/>
  </r>
  <r>
    <n v="745"/>
    <s v="US-2017-146710"/>
    <x v="278"/>
    <d v="2017-09-01T00:00:00"/>
    <x v="1"/>
    <s v="SS-20875"/>
    <s v="Sung Shariari"/>
    <s v="Consumer"/>
    <x v="2"/>
    <x v="1"/>
    <n v="4.6239999999999997"/>
    <n v="462.4"/>
    <n v="92.48"/>
  </r>
  <r>
    <n v="746"/>
    <s v="US-2017-146710"/>
    <x v="278"/>
    <d v="2017-09-01T00:00:00"/>
    <x v="1"/>
    <s v="SS-20875"/>
    <s v="Sung Shariari"/>
    <s v="Consumer"/>
    <x v="2"/>
    <x v="1"/>
    <n v="55.167999999999999"/>
    <n v="5516.8"/>
    <n v="1103.3600000000001"/>
  </r>
  <r>
    <n v="747"/>
    <s v="CA-2015-124429"/>
    <x v="279"/>
    <d v="2015-05-27T00:00:00"/>
    <x v="3"/>
    <s v="MH-17785"/>
    <s v="Maya Herman"/>
    <s v="Corporate"/>
    <x v="1"/>
    <x v="0"/>
    <n v="567.12"/>
    <n v="56712"/>
    <n v="11342.400000000001"/>
  </r>
  <r>
    <n v="748"/>
    <s v="CA-2015-124429"/>
    <x v="279"/>
    <d v="2015-05-27T00:00:00"/>
    <x v="3"/>
    <s v="MH-17785"/>
    <s v="Maya Herman"/>
    <s v="Corporate"/>
    <x v="1"/>
    <x v="1"/>
    <n v="359.32"/>
    <n v="35932"/>
    <n v="7186.4000000000005"/>
  </r>
  <r>
    <n v="749"/>
    <s v="CA-2017-150889"/>
    <x v="231"/>
    <d v="2017-03-22T00:00:00"/>
    <x v="0"/>
    <s v="PB-19105"/>
    <s v="Peter BÃ¼hler"/>
    <s v="Consumer"/>
    <x v="2"/>
    <x v="2"/>
    <n v="11.992000000000001"/>
    <n v="1199.2"/>
    <n v="239.84000000000003"/>
  </r>
  <r>
    <n v="750"/>
    <s v="CA-2018-126074"/>
    <x v="280"/>
    <d v="2018-10-06T00:00:00"/>
    <x v="1"/>
    <s v="RF-19735"/>
    <s v="Roland Fjeld"/>
    <s v="Consumer"/>
    <x v="2"/>
    <x v="1"/>
    <n v="58.05"/>
    <n v="5805"/>
    <n v="1161"/>
  </r>
  <r>
    <n v="751"/>
    <s v="CA-2018-126074"/>
    <x v="280"/>
    <d v="2018-10-06T00:00:00"/>
    <x v="1"/>
    <s v="RF-19735"/>
    <s v="Roland Fjeld"/>
    <s v="Consumer"/>
    <x v="2"/>
    <x v="0"/>
    <n v="157.74"/>
    <n v="15774"/>
    <n v="3154.8"/>
  </r>
  <r>
    <n v="752"/>
    <s v="CA-2018-126074"/>
    <x v="280"/>
    <d v="2018-10-06T00:00:00"/>
    <x v="1"/>
    <s v="RF-19735"/>
    <s v="Roland Fjeld"/>
    <s v="Consumer"/>
    <x v="2"/>
    <x v="1"/>
    <n v="56.98"/>
    <n v="5698"/>
    <n v="1139.6000000000001"/>
  </r>
  <r>
    <n v="753"/>
    <s v="CA-2018-126074"/>
    <x v="280"/>
    <d v="2018-10-06T00:00:00"/>
    <x v="1"/>
    <s v="RF-19735"/>
    <s v="Roland Fjeld"/>
    <s v="Consumer"/>
    <x v="2"/>
    <x v="1"/>
    <n v="2.88"/>
    <n v="288"/>
    <n v="57.6"/>
  </r>
  <r>
    <n v="754"/>
    <s v="CA-2017-110499"/>
    <x v="281"/>
    <d v="2017-04-09T00:00:00"/>
    <x v="2"/>
    <s v="YC-21895"/>
    <s v="Yoseph Carroll"/>
    <s v="Corporate"/>
    <x v="1"/>
    <x v="2"/>
    <n v="1199.9760000000001"/>
    <n v="119997.6"/>
    <n v="23999.520000000004"/>
  </r>
  <r>
    <n v="755"/>
    <s v="CA-2016-135272"/>
    <x v="214"/>
    <d v="2016-12-12T00:00:00"/>
    <x v="1"/>
    <s v="MS-17830"/>
    <s v="Melanie Seite"/>
    <s v="Consumer"/>
    <x v="1"/>
    <x v="0"/>
    <n v="79.92"/>
    <n v="7992"/>
    <n v="1598.4"/>
  </r>
  <r>
    <n v="756"/>
    <s v="CA-2017-140928"/>
    <x v="31"/>
    <d v="2017-09-22T00:00:00"/>
    <x v="1"/>
    <s v="NB-18655"/>
    <s v="Nona Balk"/>
    <s v="Corporate"/>
    <x v="0"/>
    <x v="0"/>
    <n v="383.43799999999999"/>
    <n v="38343.799999999996"/>
    <n v="7668.7599999999993"/>
  </r>
  <r>
    <n v="757"/>
    <s v="CA-2015-106803"/>
    <x v="282"/>
    <d v="2016-01-02T00:00:00"/>
    <x v="1"/>
    <s v="DC-13285"/>
    <s v="Debra Catini"/>
    <s v="Consumer"/>
    <x v="2"/>
    <x v="1"/>
    <n v="24.56"/>
    <n v="2456"/>
    <n v="491.20000000000005"/>
  </r>
  <r>
    <n v="758"/>
    <s v="CA-2015-106803"/>
    <x v="282"/>
    <d v="2016-01-02T00:00:00"/>
    <x v="1"/>
    <s v="DC-13285"/>
    <s v="Debra Catini"/>
    <s v="Consumer"/>
    <x v="2"/>
    <x v="2"/>
    <n v="119.8"/>
    <n v="11980"/>
    <n v="2396"/>
  </r>
  <r>
    <n v="759"/>
    <s v="CA-2018-117240"/>
    <x v="283"/>
    <d v="2018-07-28T00:00:00"/>
    <x v="1"/>
    <s v="CP-12340"/>
    <s v="Christine Phan"/>
    <s v="Corporate"/>
    <x v="3"/>
    <x v="1"/>
    <n v="13.128"/>
    <n v="1312.8"/>
    <n v="262.56"/>
  </r>
  <r>
    <n v="760"/>
    <s v="CA-2018-133333"/>
    <x v="65"/>
    <d v="2018-09-22T00:00:00"/>
    <x v="1"/>
    <s v="BF-11020"/>
    <s v="Barry FranzÃ¶sisch"/>
    <s v="Corporate"/>
    <x v="2"/>
    <x v="1"/>
    <n v="22.72"/>
    <n v="2272"/>
    <n v="454.40000000000003"/>
  </r>
  <r>
    <n v="761"/>
    <s v="CA-2016-112319"/>
    <x v="284"/>
    <d v="2016-09-05T00:00:00"/>
    <x v="1"/>
    <s v="AR-10510"/>
    <s v="Andrew Roberts"/>
    <s v="Consumer"/>
    <x v="1"/>
    <x v="1"/>
    <n v="58.32"/>
    <n v="5832"/>
    <n v="1166.4000000000001"/>
  </r>
  <r>
    <n v="762"/>
    <s v="CA-2018-126046"/>
    <x v="132"/>
    <d v="2018-11-07T00:00:00"/>
    <x v="1"/>
    <s v="JC-16105"/>
    <s v="Julie Creighton"/>
    <s v="Corporate"/>
    <x v="0"/>
    <x v="1"/>
    <n v="12.39"/>
    <n v="1239"/>
    <n v="247.8"/>
  </r>
  <r>
    <n v="763"/>
    <s v="CA-2016-114923"/>
    <x v="285"/>
    <d v="2016-02-13T00:00:00"/>
    <x v="1"/>
    <s v="LH-17020"/>
    <s v="Lisa Hazard"/>
    <s v="Consumer"/>
    <x v="3"/>
    <x v="2"/>
    <n v="107.982"/>
    <n v="10798.2"/>
    <n v="2159.6400000000003"/>
  </r>
  <r>
    <n v="764"/>
    <s v="CA-2015-162775"/>
    <x v="286"/>
    <d v="2015-01-15T00:00:00"/>
    <x v="0"/>
    <s v="CS-12250"/>
    <s v="Chris Selesnick"/>
    <s v="Corporate"/>
    <x v="0"/>
    <x v="1"/>
    <n v="11.36"/>
    <n v="1136"/>
    <n v="227.20000000000002"/>
  </r>
  <r>
    <n v="765"/>
    <s v="CA-2015-162775"/>
    <x v="286"/>
    <d v="2015-01-15T00:00:00"/>
    <x v="0"/>
    <s v="CS-12250"/>
    <s v="Chris Selesnick"/>
    <s v="Corporate"/>
    <x v="0"/>
    <x v="1"/>
    <n v="50.94"/>
    <n v="5094"/>
    <n v="1018.8000000000001"/>
  </r>
  <r>
    <n v="766"/>
    <s v="CA-2015-162775"/>
    <x v="286"/>
    <d v="2015-01-15T00:00:00"/>
    <x v="0"/>
    <s v="CS-12250"/>
    <s v="Chris Selesnick"/>
    <s v="Corporate"/>
    <x v="0"/>
    <x v="2"/>
    <n v="646.74"/>
    <n v="64674"/>
    <n v="12934.800000000001"/>
  </r>
  <r>
    <n v="767"/>
    <s v="CA-2015-162775"/>
    <x v="286"/>
    <d v="2015-01-15T00:00:00"/>
    <x v="0"/>
    <s v="CS-12250"/>
    <s v="Chris Selesnick"/>
    <s v="Corporate"/>
    <x v="0"/>
    <x v="1"/>
    <n v="5.64"/>
    <n v="564"/>
    <n v="112.80000000000001"/>
  </r>
  <r>
    <n v="768"/>
    <s v="CA-2015-162775"/>
    <x v="286"/>
    <d v="2015-01-15T00:00:00"/>
    <x v="0"/>
    <s v="CS-12250"/>
    <s v="Chris Selesnick"/>
    <s v="Corporate"/>
    <x v="0"/>
    <x v="1"/>
    <n v="572.58000000000004"/>
    <n v="57258.000000000007"/>
    <n v="11451.600000000002"/>
  </r>
  <r>
    <n v="769"/>
    <s v="CA-2015-106810"/>
    <x v="287"/>
    <d v="2015-05-20T00:00:00"/>
    <x v="1"/>
    <s v="AJ-10795"/>
    <s v="Anthony Johnson"/>
    <s v="Corporate"/>
    <x v="0"/>
    <x v="0"/>
    <n v="310.88"/>
    <n v="31088"/>
    <n v="6217.6"/>
  </r>
  <r>
    <n v="770"/>
    <s v="CA-2017-157245"/>
    <x v="288"/>
    <d v="2017-05-24T00:00:00"/>
    <x v="1"/>
    <s v="LE-16810"/>
    <s v="Laurel Elliston"/>
    <s v="Consumer"/>
    <x v="0"/>
    <x v="0"/>
    <n v="641.96"/>
    <n v="64196"/>
    <n v="12839.2"/>
  </r>
  <r>
    <n v="771"/>
    <s v="CA-2018-104220"/>
    <x v="289"/>
    <d v="2018-02-05T00:00:00"/>
    <x v="1"/>
    <s v="BV-11245"/>
    <s v="Benjamin Venier"/>
    <s v="Corporate"/>
    <x v="2"/>
    <x v="1"/>
    <n v="18.28"/>
    <n v="1828"/>
    <n v="365.6"/>
  </r>
  <r>
    <n v="772"/>
    <s v="CA-2018-104220"/>
    <x v="289"/>
    <d v="2018-02-05T00:00:00"/>
    <x v="1"/>
    <s v="BV-11245"/>
    <s v="Benjamin Venier"/>
    <s v="Corporate"/>
    <x v="2"/>
    <x v="2"/>
    <n v="207"/>
    <n v="20700"/>
    <n v="4140"/>
  </r>
  <r>
    <n v="773"/>
    <s v="CA-2018-104220"/>
    <x v="289"/>
    <d v="2018-02-05T00:00:00"/>
    <x v="1"/>
    <s v="BV-11245"/>
    <s v="Benjamin Venier"/>
    <s v="Corporate"/>
    <x v="2"/>
    <x v="1"/>
    <n v="32.35"/>
    <n v="3235"/>
    <n v="647"/>
  </r>
  <r>
    <n v="774"/>
    <s v="CA-2018-104220"/>
    <x v="289"/>
    <d v="2018-02-05T00:00:00"/>
    <x v="1"/>
    <s v="BV-11245"/>
    <s v="Benjamin Venier"/>
    <s v="Corporate"/>
    <x v="2"/>
    <x v="1"/>
    <n v="7.71"/>
    <n v="771"/>
    <n v="154.20000000000002"/>
  </r>
  <r>
    <n v="775"/>
    <s v="CA-2018-104220"/>
    <x v="289"/>
    <d v="2018-02-05T00:00:00"/>
    <x v="1"/>
    <s v="BV-11245"/>
    <s v="Benjamin Venier"/>
    <s v="Corporate"/>
    <x v="2"/>
    <x v="1"/>
    <n v="40.299999999999997"/>
    <n v="4029.9999999999995"/>
    <n v="806"/>
  </r>
  <r>
    <n v="776"/>
    <s v="CA-2018-104220"/>
    <x v="289"/>
    <d v="2018-02-05T00:00:00"/>
    <x v="1"/>
    <s v="BV-11245"/>
    <s v="Benjamin Venier"/>
    <s v="Corporate"/>
    <x v="2"/>
    <x v="0"/>
    <n v="34.58"/>
    <n v="3458"/>
    <n v="691.6"/>
  </r>
  <r>
    <n v="777"/>
    <s v="CA-2015-165974"/>
    <x v="290"/>
    <d v="2015-07-06T00:00:00"/>
    <x v="1"/>
    <s v="DL-12865"/>
    <s v="Dan Lawera"/>
    <s v="Consumer"/>
    <x v="3"/>
    <x v="1"/>
    <n v="32.76"/>
    <n v="3276"/>
    <n v="655.20000000000005"/>
  </r>
  <r>
    <n v="778"/>
    <s v="CA-2016-144267"/>
    <x v="291"/>
    <d v="2016-08-23T00:00:00"/>
    <x v="2"/>
    <s v="NZ-18565"/>
    <s v="Nick Zandusky"/>
    <s v="Home Office"/>
    <x v="1"/>
    <x v="0"/>
    <n v="544.00800000000004"/>
    <n v="54400.800000000003"/>
    <n v="10880.160000000002"/>
  </r>
  <r>
    <n v="779"/>
    <s v="CA-2016-144267"/>
    <x v="291"/>
    <d v="2016-08-23T00:00:00"/>
    <x v="2"/>
    <s v="NZ-18565"/>
    <s v="Nick Zandusky"/>
    <s v="Home Office"/>
    <x v="1"/>
    <x v="1"/>
    <n v="59.94"/>
    <n v="5994"/>
    <n v="1198.8"/>
  </r>
  <r>
    <n v="780"/>
    <s v="CA-2016-144267"/>
    <x v="291"/>
    <d v="2016-08-23T00:00:00"/>
    <x v="2"/>
    <s v="NZ-18565"/>
    <s v="Nick Zandusky"/>
    <s v="Home Office"/>
    <x v="1"/>
    <x v="1"/>
    <n v="23.92"/>
    <n v="2392"/>
    <n v="478.40000000000003"/>
  </r>
  <r>
    <n v="781"/>
    <s v="CA-2016-144267"/>
    <x v="291"/>
    <d v="2016-08-23T00:00:00"/>
    <x v="2"/>
    <s v="NZ-18565"/>
    <s v="Nick Zandusky"/>
    <s v="Home Office"/>
    <x v="1"/>
    <x v="1"/>
    <n v="4.28"/>
    <n v="428"/>
    <n v="85.600000000000009"/>
  </r>
  <r>
    <n v="782"/>
    <s v="US-2016-157014"/>
    <x v="292"/>
    <d v="2016-10-06T00:00:00"/>
    <x v="0"/>
    <s v="BM-11785"/>
    <s v="Bryan Mills"/>
    <s v="Consumer"/>
    <x v="3"/>
    <x v="1"/>
    <n v="32.07"/>
    <n v="3207"/>
    <n v="641.40000000000009"/>
  </r>
  <r>
    <n v="783"/>
    <s v="US-2016-157014"/>
    <x v="292"/>
    <d v="2016-10-06T00:00:00"/>
    <x v="0"/>
    <s v="BM-11785"/>
    <s v="Bryan Mills"/>
    <s v="Consumer"/>
    <x v="3"/>
    <x v="2"/>
    <n v="24"/>
    <n v="2400"/>
    <n v="480"/>
  </r>
  <r>
    <n v="784"/>
    <s v="US-2016-157014"/>
    <x v="292"/>
    <d v="2016-10-06T00:00:00"/>
    <x v="0"/>
    <s v="BM-11785"/>
    <s v="Bryan Mills"/>
    <s v="Consumer"/>
    <x v="3"/>
    <x v="0"/>
    <n v="35.49"/>
    <n v="3549"/>
    <n v="709.80000000000007"/>
  </r>
  <r>
    <n v="785"/>
    <s v="US-2016-157014"/>
    <x v="292"/>
    <d v="2016-10-06T00:00:00"/>
    <x v="0"/>
    <s v="BM-11785"/>
    <s v="Bryan Mills"/>
    <s v="Consumer"/>
    <x v="3"/>
    <x v="2"/>
    <n v="47.984000000000002"/>
    <n v="4798.4000000000005"/>
    <n v="959.68000000000018"/>
  </r>
  <r>
    <n v="786"/>
    <s v="CA-2016-154921"/>
    <x v="293"/>
    <d v="2016-05-28T00:00:00"/>
    <x v="1"/>
    <s v="EA-14035"/>
    <s v="Erin Ashbrook"/>
    <s v="Corporate"/>
    <x v="0"/>
    <x v="1"/>
    <n v="186.69"/>
    <n v="18669"/>
    <n v="3733.8"/>
  </r>
  <r>
    <n v="787"/>
    <s v="CA-2018-129567"/>
    <x v="294"/>
    <d v="2018-03-21T00:00:00"/>
    <x v="0"/>
    <s v="CL-12565"/>
    <s v="Clay Ludtke"/>
    <s v="Consumer"/>
    <x v="1"/>
    <x v="1"/>
    <n v="17.456"/>
    <n v="1745.6"/>
    <n v="349.12"/>
  </r>
  <r>
    <n v="788"/>
    <s v="CA-2016-154620"/>
    <x v="295"/>
    <d v="2016-12-16T00:00:00"/>
    <x v="1"/>
    <s v="LT-17110"/>
    <s v="Liz Thompson"/>
    <s v="Consumer"/>
    <x v="1"/>
    <x v="0"/>
    <n v="348.928"/>
    <n v="34892.800000000003"/>
    <n v="6978.5600000000013"/>
  </r>
  <r>
    <n v="789"/>
    <s v="CA-2016-115938"/>
    <x v="153"/>
    <d v="2016-06-30T00:00:00"/>
    <x v="1"/>
    <s v="SA-20830"/>
    <s v="Sue Ann Reed"/>
    <s v="Consumer"/>
    <x v="0"/>
    <x v="1"/>
    <n v="143.96"/>
    <n v="14396"/>
    <n v="2879.2000000000003"/>
  </r>
  <r>
    <n v="790"/>
    <s v="CA-2016-115938"/>
    <x v="153"/>
    <d v="2016-06-30T00:00:00"/>
    <x v="1"/>
    <s v="SA-20830"/>
    <s v="Sue Ann Reed"/>
    <s v="Consumer"/>
    <x v="0"/>
    <x v="1"/>
    <n v="15.42"/>
    <n v="1542"/>
    <n v="308.40000000000003"/>
  </r>
  <r>
    <n v="791"/>
    <s v="CA-2016-115938"/>
    <x v="153"/>
    <d v="2016-06-30T00:00:00"/>
    <x v="1"/>
    <s v="SA-20830"/>
    <s v="Sue Ann Reed"/>
    <s v="Consumer"/>
    <x v="0"/>
    <x v="1"/>
    <n v="43.04"/>
    <n v="4304"/>
    <n v="860.80000000000007"/>
  </r>
  <r>
    <n v="792"/>
    <s v="CA-2016-115938"/>
    <x v="153"/>
    <d v="2016-06-30T00:00:00"/>
    <x v="1"/>
    <s v="SA-20830"/>
    <s v="Sue Ann Reed"/>
    <s v="Consumer"/>
    <x v="0"/>
    <x v="0"/>
    <n v="332.94"/>
    <n v="33294"/>
    <n v="6658.8"/>
  </r>
  <r>
    <n v="793"/>
    <s v="CA-2017-105256"/>
    <x v="244"/>
    <d v="2017-05-20T00:00:00"/>
    <x v="3"/>
    <s v="JK-15730"/>
    <s v="Joe Kamberova"/>
    <s v="Consumer"/>
    <x v="0"/>
    <x v="2"/>
    <n v="1363.96"/>
    <n v="136396"/>
    <n v="27279.200000000001"/>
  </r>
  <r>
    <n v="794"/>
    <s v="CA-2015-156433"/>
    <x v="59"/>
    <d v="2015-09-26T00:00:00"/>
    <x v="1"/>
    <s v="ES-14020"/>
    <s v="Erica Smith"/>
    <s v="Consumer"/>
    <x v="1"/>
    <x v="1"/>
    <n v="9.9600000000000009"/>
    <n v="996.00000000000011"/>
    <n v="199.20000000000005"/>
  </r>
  <r>
    <n v="795"/>
    <s v="CA-2015-156433"/>
    <x v="59"/>
    <d v="2015-09-26T00:00:00"/>
    <x v="1"/>
    <s v="ES-14020"/>
    <s v="Erica Smith"/>
    <s v="Consumer"/>
    <x v="1"/>
    <x v="1"/>
    <n v="21.72"/>
    <n v="2172"/>
    <n v="434.40000000000003"/>
  </r>
  <r>
    <n v="796"/>
    <s v="CA-2018-151428"/>
    <x v="296"/>
    <d v="2018-09-26T00:00:00"/>
    <x v="1"/>
    <s v="RH-19495"/>
    <s v="Rick Hansen"/>
    <s v="Consumer"/>
    <x v="2"/>
    <x v="1"/>
    <n v="20.16"/>
    <n v="2016"/>
    <n v="403.20000000000005"/>
  </r>
  <r>
    <n v="797"/>
    <s v="CA-2016-124653"/>
    <x v="100"/>
    <d v="2016-12-26T00:00:00"/>
    <x v="2"/>
    <s v="DB-13120"/>
    <s v="David Bremer"/>
    <s v="Corporate"/>
    <x v="3"/>
    <x v="1"/>
    <n v="132.79"/>
    <n v="13279"/>
    <n v="2655.8"/>
  </r>
  <r>
    <n v="798"/>
    <s v="CA-2016-124653"/>
    <x v="100"/>
    <d v="2016-12-26T00:00:00"/>
    <x v="2"/>
    <s v="DB-13120"/>
    <s v="David Bremer"/>
    <s v="Corporate"/>
    <x v="3"/>
    <x v="1"/>
    <n v="12.96"/>
    <n v="1296"/>
    <n v="259.2"/>
  </r>
  <r>
    <n v="799"/>
    <s v="CA-2016-124653"/>
    <x v="100"/>
    <d v="2016-12-26T00:00:00"/>
    <x v="2"/>
    <s v="DB-13120"/>
    <s v="David Bremer"/>
    <s v="Corporate"/>
    <x v="3"/>
    <x v="1"/>
    <n v="21.56"/>
    <n v="2156"/>
    <n v="431.20000000000005"/>
  </r>
  <r>
    <n v="800"/>
    <s v="CA-2016-101910"/>
    <x v="154"/>
    <d v="2016-12-03T00:00:00"/>
    <x v="1"/>
    <s v="CD-11920"/>
    <s v="Carlos Daly"/>
    <s v="Consumer"/>
    <x v="1"/>
    <x v="0"/>
    <n v="283.92"/>
    <n v="28392"/>
    <n v="5678.4000000000005"/>
  </r>
  <r>
    <n v="801"/>
    <s v="CA-2018-105809"/>
    <x v="297"/>
    <d v="2018-02-23T00:00:00"/>
    <x v="2"/>
    <s v="HW-14935"/>
    <s v="Helen Wasserman"/>
    <s v="Corporate"/>
    <x v="1"/>
    <x v="0"/>
    <n v="22.23"/>
    <n v="2223"/>
    <n v="444.6"/>
  </r>
  <r>
    <n v="802"/>
    <s v="CA-2018-105809"/>
    <x v="297"/>
    <d v="2018-02-23T00:00:00"/>
    <x v="2"/>
    <s v="HW-14935"/>
    <s v="Helen Wasserman"/>
    <s v="Corporate"/>
    <x v="1"/>
    <x v="2"/>
    <n v="215.96799999999999"/>
    <n v="21596.799999999999"/>
    <n v="4319.3599999999997"/>
  </r>
  <r>
    <n v="803"/>
    <s v="CA-2017-136133"/>
    <x v="298"/>
    <d v="2017-08-23T00:00:00"/>
    <x v="0"/>
    <s v="HW-14935"/>
    <s v="Helen Wasserman"/>
    <s v="Corporate"/>
    <x v="3"/>
    <x v="1"/>
    <n v="355.32"/>
    <n v="35532"/>
    <n v="7106.4000000000005"/>
  </r>
  <r>
    <n v="804"/>
    <s v="CA-2017-115504"/>
    <x v="299"/>
    <d v="2017-03-17T00:00:00"/>
    <x v="1"/>
    <s v="MC-18130"/>
    <s v="Mike Caudle"/>
    <s v="Corporate"/>
    <x v="0"/>
    <x v="1"/>
    <n v="12.96"/>
    <n v="1296"/>
    <n v="259.2"/>
  </r>
  <r>
    <n v="805"/>
    <s v="CA-2018-135783"/>
    <x v="300"/>
    <d v="2018-04-24T00:00:00"/>
    <x v="2"/>
    <s v="GM-14440"/>
    <s v="Gary McGarr"/>
    <s v="Consumer"/>
    <x v="1"/>
    <x v="0"/>
    <n v="18.28"/>
    <n v="1828"/>
    <n v="365.6"/>
  </r>
  <r>
    <n v="806"/>
    <s v="CA-2015-134313"/>
    <x v="301"/>
    <d v="2015-11-07T00:00:00"/>
    <x v="1"/>
    <s v="RA-19915"/>
    <s v="Russell Applegate"/>
    <s v="Consumer"/>
    <x v="1"/>
    <x v="1"/>
    <n v="43.176000000000002"/>
    <n v="4317.6000000000004"/>
    <n v="863.5200000000001"/>
  </r>
  <r>
    <n v="807"/>
    <s v="CA-2015-134313"/>
    <x v="301"/>
    <d v="2015-11-07T00:00:00"/>
    <x v="1"/>
    <s v="RA-19915"/>
    <s v="Russell Applegate"/>
    <s v="Consumer"/>
    <x v="1"/>
    <x v="2"/>
    <n v="1983.9680000000001"/>
    <n v="198396.80000000002"/>
    <n v="39679.360000000008"/>
  </r>
  <r>
    <n v="808"/>
    <s v="CA-2016-140921"/>
    <x v="302"/>
    <d v="2016-02-05T00:00:00"/>
    <x v="2"/>
    <s v="AA-10375"/>
    <s v="Allen Armold"/>
    <s v="Consumer"/>
    <x v="2"/>
    <x v="0"/>
    <n v="28.4"/>
    <n v="2840"/>
    <n v="568"/>
  </r>
  <r>
    <n v="809"/>
    <s v="CA-2016-140921"/>
    <x v="302"/>
    <d v="2016-02-05T00:00:00"/>
    <x v="2"/>
    <s v="AA-10375"/>
    <s v="Allen Armold"/>
    <s v="Consumer"/>
    <x v="2"/>
    <x v="2"/>
    <n v="149.97"/>
    <n v="14997"/>
    <n v="2999.4"/>
  </r>
  <r>
    <n v="810"/>
    <s v="CA-2015-151995"/>
    <x v="303"/>
    <d v="2015-10-15T00:00:00"/>
    <x v="2"/>
    <s v="ZC-21910"/>
    <s v="Zuschuss Carroll"/>
    <s v="Consumer"/>
    <x v="1"/>
    <x v="1"/>
    <n v="11.52"/>
    <n v="1152"/>
    <n v="230.4"/>
  </r>
  <r>
    <n v="811"/>
    <s v="CA-2015-151995"/>
    <x v="303"/>
    <d v="2015-10-15T00:00:00"/>
    <x v="2"/>
    <s v="ZC-21910"/>
    <s v="Zuschuss Carroll"/>
    <s v="Consumer"/>
    <x v="1"/>
    <x v="0"/>
    <n v="1298.55"/>
    <n v="129855"/>
    <n v="25971"/>
  </r>
  <r>
    <n v="812"/>
    <s v="CA-2015-151995"/>
    <x v="303"/>
    <d v="2015-10-15T00:00:00"/>
    <x v="2"/>
    <s v="ZC-21910"/>
    <s v="Zuschuss Carroll"/>
    <s v="Consumer"/>
    <x v="1"/>
    <x v="1"/>
    <n v="213.92"/>
    <n v="21392"/>
    <n v="4278.4000000000005"/>
  </r>
  <r>
    <n v="813"/>
    <s v="CA-2015-151995"/>
    <x v="303"/>
    <d v="2015-10-15T00:00:00"/>
    <x v="2"/>
    <s v="ZC-21910"/>
    <s v="Zuschuss Carroll"/>
    <s v="Consumer"/>
    <x v="1"/>
    <x v="2"/>
    <n v="25.78"/>
    <n v="2578"/>
    <n v="515.6"/>
  </r>
  <r>
    <n v="814"/>
    <s v="CA-2018-143686"/>
    <x v="304"/>
    <d v="2018-05-14T00:00:00"/>
    <x v="3"/>
    <s v="PJ-19015"/>
    <s v="Pauline Johnson"/>
    <s v="Consumer"/>
    <x v="1"/>
    <x v="0"/>
    <n v="18.28"/>
    <n v="1828"/>
    <n v="365.6"/>
  </r>
  <r>
    <n v="815"/>
    <s v="CA-2018-143686"/>
    <x v="304"/>
    <d v="2018-05-14T00:00:00"/>
    <x v="3"/>
    <s v="PJ-19015"/>
    <s v="Pauline Johnson"/>
    <s v="Consumer"/>
    <x v="1"/>
    <x v="2"/>
    <n v="1399.93"/>
    <n v="139993"/>
    <n v="27998.600000000002"/>
  </r>
  <r>
    <n v="816"/>
    <s v="CA-2016-106565"/>
    <x v="305"/>
    <d v="2016-03-23T00:00:00"/>
    <x v="2"/>
    <s v="BW-11110"/>
    <s v="Bart Watters"/>
    <s v="Corporate"/>
    <x v="2"/>
    <x v="1"/>
    <n v="51.84"/>
    <n v="5184"/>
    <n v="1036.8"/>
  </r>
  <r>
    <n v="817"/>
    <s v="CA-2017-149370"/>
    <x v="306"/>
    <d v="2017-09-19T00:00:00"/>
    <x v="1"/>
    <s v="DB-13210"/>
    <s v="Dean Braden"/>
    <s v="Consumer"/>
    <x v="3"/>
    <x v="1"/>
    <n v="5.3440000000000003"/>
    <n v="534.4"/>
    <n v="106.88"/>
  </r>
  <r>
    <n v="818"/>
    <s v="CA-2015-140858"/>
    <x v="307"/>
    <d v="2015-07-02T00:00:00"/>
    <x v="1"/>
    <s v="CA-12775"/>
    <s v="Cynthia Arntzen"/>
    <s v="Consumer"/>
    <x v="3"/>
    <x v="1"/>
    <n v="41.472000000000001"/>
    <n v="4147.2"/>
    <n v="829.44"/>
  </r>
  <r>
    <n v="819"/>
    <s v="CA-2015-140858"/>
    <x v="307"/>
    <d v="2015-07-02T00:00:00"/>
    <x v="1"/>
    <s v="CA-12775"/>
    <s v="Cynthia Arntzen"/>
    <s v="Consumer"/>
    <x v="3"/>
    <x v="1"/>
    <n v="3.1680000000000001"/>
    <n v="316.8"/>
    <n v="63.360000000000007"/>
  </r>
  <r>
    <n v="820"/>
    <s v="CA-2015-140858"/>
    <x v="307"/>
    <d v="2015-07-02T00:00:00"/>
    <x v="1"/>
    <s v="CA-12775"/>
    <s v="Cynthia Arntzen"/>
    <s v="Consumer"/>
    <x v="3"/>
    <x v="0"/>
    <n v="1228.4649999999999"/>
    <n v="122846.49999999999"/>
    <n v="24569.3"/>
  </r>
  <r>
    <n v="821"/>
    <s v="CA-2015-140858"/>
    <x v="307"/>
    <d v="2015-07-02T00:00:00"/>
    <x v="1"/>
    <s v="CA-12775"/>
    <s v="Cynthia Arntzen"/>
    <s v="Consumer"/>
    <x v="3"/>
    <x v="1"/>
    <n v="31.085999999999999"/>
    <n v="3108.6"/>
    <n v="621.72"/>
  </r>
  <r>
    <n v="822"/>
    <s v="CA-2015-140858"/>
    <x v="307"/>
    <d v="2015-07-02T00:00:00"/>
    <x v="1"/>
    <s v="CA-12775"/>
    <s v="Cynthia Arntzen"/>
    <s v="Consumer"/>
    <x v="3"/>
    <x v="1"/>
    <n v="335.52"/>
    <n v="33552"/>
    <n v="6710.4000000000005"/>
  </r>
  <r>
    <n v="823"/>
    <s v="CA-2018-101434"/>
    <x v="308"/>
    <d v="2018-06-27T00:00:00"/>
    <x v="1"/>
    <s v="TR-21325"/>
    <s v="Toby Ritter"/>
    <s v="Consumer"/>
    <x v="3"/>
    <x v="2"/>
    <n v="239.97"/>
    <n v="23997"/>
    <n v="4799.4000000000005"/>
  </r>
  <r>
    <n v="824"/>
    <s v="CA-2018-101434"/>
    <x v="308"/>
    <d v="2018-06-27T00:00:00"/>
    <x v="1"/>
    <s v="TR-21325"/>
    <s v="Toby Ritter"/>
    <s v="Consumer"/>
    <x v="3"/>
    <x v="1"/>
    <n v="9.82"/>
    <n v="982"/>
    <n v="196.4"/>
  </r>
  <r>
    <n v="825"/>
    <s v="US-2015-102071"/>
    <x v="309"/>
    <d v="2015-05-15T00:00:00"/>
    <x v="1"/>
    <s v="PG-18820"/>
    <s v="Patrick Gardner"/>
    <s v="Consumer"/>
    <x v="1"/>
    <x v="2"/>
    <n v="67.8"/>
    <n v="6780"/>
    <n v="1356"/>
  </r>
  <r>
    <n v="826"/>
    <s v="US-2015-102071"/>
    <x v="309"/>
    <d v="2015-05-15T00:00:00"/>
    <x v="1"/>
    <s v="PG-18820"/>
    <s v="Patrick Gardner"/>
    <s v="Consumer"/>
    <x v="1"/>
    <x v="2"/>
    <n v="167.97"/>
    <n v="16797"/>
    <n v="3359.4"/>
  </r>
  <r>
    <n v="827"/>
    <s v="CA-2018-126956"/>
    <x v="170"/>
    <d v="2018-08-28T00:00:00"/>
    <x v="1"/>
    <s v="GT-14710"/>
    <s v="Greg Tran"/>
    <s v="Consumer"/>
    <x v="2"/>
    <x v="1"/>
    <n v="35"/>
    <n v="3500"/>
    <n v="700"/>
  </r>
  <r>
    <n v="828"/>
    <s v="CA-2018-126956"/>
    <x v="170"/>
    <d v="2018-08-28T00:00:00"/>
    <x v="1"/>
    <s v="GT-14710"/>
    <s v="Greg Tran"/>
    <s v="Consumer"/>
    <x v="2"/>
    <x v="1"/>
    <n v="37.24"/>
    <n v="3724"/>
    <n v="744.80000000000007"/>
  </r>
  <r>
    <n v="829"/>
    <s v="CA-2018-126956"/>
    <x v="170"/>
    <d v="2018-08-28T00:00:00"/>
    <x v="1"/>
    <s v="GT-14710"/>
    <s v="Greg Tran"/>
    <s v="Consumer"/>
    <x v="2"/>
    <x v="1"/>
    <n v="15.28"/>
    <n v="1528"/>
    <n v="305.60000000000002"/>
  </r>
  <r>
    <n v="830"/>
    <s v="CA-2018-129462"/>
    <x v="114"/>
    <d v="2018-06-21T00:00:00"/>
    <x v="0"/>
    <s v="JE-15745"/>
    <s v="Joel Eaton"/>
    <s v="Consumer"/>
    <x v="0"/>
    <x v="0"/>
    <n v="301.95999999999998"/>
    <n v="30195.999999999996"/>
    <n v="6039.2"/>
  </r>
  <r>
    <n v="831"/>
    <s v="CA-2018-129462"/>
    <x v="114"/>
    <d v="2018-06-21T00:00:00"/>
    <x v="0"/>
    <s v="JE-15745"/>
    <s v="Joel Eaton"/>
    <s v="Consumer"/>
    <x v="0"/>
    <x v="1"/>
    <n v="180.66"/>
    <n v="18066"/>
    <n v="3613.2000000000003"/>
  </r>
  <r>
    <n v="832"/>
    <s v="CA-2018-129462"/>
    <x v="114"/>
    <d v="2018-06-21T00:00:00"/>
    <x v="0"/>
    <s v="JE-15745"/>
    <s v="Joel Eaton"/>
    <s v="Consumer"/>
    <x v="0"/>
    <x v="2"/>
    <n v="191.98"/>
    <n v="19198"/>
    <n v="3839.6000000000004"/>
  </r>
  <r>
    <n v="833"/>
    <s v="CA-2018-129462"/>
    <x v="114"/>
    <d v="2018-06-21T00:00:00"/>
    <x v="0"/>
    <s v="JE-15745"/>
    <s v="Joel Eaton"/>
    <s v="Consumer"/>
    <x v="0"/>
    <x v="2"/>
    <n v="65.989999999999995"/>
    <n v="6598.9999999999991"/>
    <n v="1319.8"/>
  </r>
  <r>
    <n v="834"/>
    <s v="CA-2017-165316"/>
    <x v="310"/>
    <d v="2017-07-27T00:00:00"/>
    <x v="1"/>
    <s v="JB-15400"/>
    <s v="Jennifer Braxton"/>
    <s v="Corporate"/>
    <x v="0"/>
    <x v="1"/>
    <n v="35.216000000000001"/>
    <n v="3521.6"/>
    <n v="704.32"/>
  </r>
  <r>
    <n v="835"/>
    <s v="CA-2017-165316"/>
    <x v="310"/>
    <d v="2017-07-27T00:00:00"/>
    <x v="1"/>
    <s v="JB-15400"/>
    <s v="Jennifer Braxton"/>
    <s v="Corporate"/>
    <x v="0"/>
    <x v="1"/>
    <n v="23.696000000000002"/>
    <n v="2369.6000000000004"/>
    <n v="473.92000000000007"/>
  </r>
  <r>
    <n v="836"/>
    <s v="CA-2017-165316"/>
    <x v="310"/>
    <d v="2017-07-27T00:00:00"/>
    <x v="1"/>
    <s v="JB-15400"/>
    <s v="Jennifer Braxton"/>
    <s v="Corporate"/>
    <x v="0"/>
    <x v="2"/>
    <n v="265.47500000000002"/>
    <n v="26547.500000000004"/>
    <n v="5309.5000000000009"/>
  </r>
  <r>
    <n v="837"/>
    <s v="US-2015-115987"/>
    <x v="78"/>
    <d v="2015-09-13T00:00:00"/>
    <x v="0"/>
    <s v="LH-17020"/>
    <s v="Lisa Hazard"/>
    <s v="Consumer"/>
    <x v="2"/>
    <x v="1"/>
    <n v="51.183999999999997"/>
    <n v="5118.3999999999996"/>
    <n v="1023.68"/>
  </r>
  <r>
    <n v="838"/>
    <s v="US-2018-156083"/>
    <x v="259"/>
    <d v="2018-11-11T00:00:00"/>
    <x v="1"/>
    <s v="JL-15175"/>
    <s v="James Lanier"/>
    <s v="Home Office"/>
    <x v="0"/>
    <x v="1"/>
    <n v="9.6639999999999997"/>
    <n v="966.4"/>
    <n v="193.28"/>
  </r>
  <r>
    <n v="839"/>
    <s v="US-2017-137547"/>
    <x v="311"/>
    <d v="2017-03-12T00:00:00"/>
    <x v="1"/>
    <s v="EB-13705"/>
    <s v="Ed Braxton"/>
    <s v="Corporate"/>
    <x v="2"/>
    <x v="2"/>
    <n v="21.071999999999999"/>
    <n v="2107.1999999999998"/>
    <n v="421.44"/>
  </r>
  <r>
    <n v="840"/>
    <s v="CA-2016-100454"/>
    <x v="312"/>
    <d v="2016-11-25T00:00:00"/>
    <x v="1"/>
    <s v="BM-11650"/>
    <s v="Brian Moss"/>
    <s v="Corporate"/>
    <x v="3"/>
    <x v="1"/>
    <n v="60.45"/>
    <n v="6045"/>
    <n v="1209"/>
  </r>
  <r>
    <n v="841"/>
    <s v="CA-2016-100454"/>
    <x v="312"/>
    <d v="2016-11-25T00:00:00"/>
    <x v="1"/>
    <s v="BM-11650"/>
    <s v="Brian Moss"/>
    <s v="Corporate"/>
    <x v="3"/>
    <x v="1"/>
    <n v="11.52"/>
    <n v="1152"/>
    <n v="230.4"/>
  </r>
  <r>
    <n v="842"/>
    <s v="CA-2016-100454"/>
    <x v="312"/>
    <d v="2016-11-25T00:00:00"/>
    <x v="1"/>
    <s v="BM-11650"/>
    <s v="Brian Moss"/>
    <s v="Corporate"/>
    <x v="3"/>
    <x v="0"/>
    <n v="186.048"/>
    <n v="18604.8"/>
    <n v="3720.96"/>
  </r>
  <r>
    <n v="843"/>
    <s v="CA-2017-161669"/>
    <x v="77"/>
    <d v="2017-11-09T00:00:00"/>
    <x v="2"/>
    <s v="EM-14095"/>
    <s v="Eudokia Martin"/>
    <s v="Corporate"/>
    <x v="1"/>
    <x v="1"/>
    <n v="37.44"/>
    <n v="3744"/>
    <n v="748.80000000000007"/>
  </r>
  <r>
    <n v="844"/>
    <s v="CA-2017-161669"/>
    <x v="77"/>
    <d v="2017-11-09T00:00:00"/>
    <x v="2"/>
    <s v="EM-14095"/>
    <s v="Eudokia Martin"/>
    <s v="Corporate"/>
    <x v="1"/>
    <x v="1"/>
    <n v="26.975999999999999"/>
    <n v="2697.6"/>
    <n v="539.52"/>
  </r>
  <r>
    <n v="845"/>
    <s v="CA-2017-161669"/>
    <x v="77"/>
    <d v="2017-11-09T00:00:00"/>
    <x v="2"/>
    <s v="EM-14095"/>
    <s v="Eudokia Martin"/>
    <s v="Corporate"/>
    <x v="1"/>
    <x v="1"/>
    <n v="11.36"/>
    <n v="1136"/>
    <n v="227.20000000000002"/>
  </r>
  <r>
    <n v="846"/>
    <s v="CA-2017-161669"/>
    <x v="77"/>
    <d v="2017-11-09T00:00:00"/>
    <x v="2"/>
    <s v="EM-14095"/>
    <s v="Eudokia Martin"/>
    <s v="Corporate"/>
    <x v="1"/>
    <x v="1"/>
    <n v="14.62"/>
    <n v="1462"/>
    <n v="292.40000000000003"/>
  </r>
  <r>
    <n v="847"/>
    <s v="CA-2016-114300"/>
    <x v="313"/>
    <d v="2016-10-17T00:00:00"/>
    <x v="1"/>
    <s v="AF-10885"/>
    <s v="Art Foster"/>
    <s v="Consumer"/>
    <x v="0"/>
    <x v="2"/>
    <n v="83.72"/>
    <n v="8372"/>
    <n v="1674.4"/>
  </r>
  <r>
    <n v="848"/>
    <s v="CA-2016-114300"/>
    <x v="313"/>
    <d v="2016-10-17T00:00:00"/>
    <x v="1"/>
    <s v="AF-10885"/>
    <s v="Art Foster"/>
    <s v="Consumer"/>
    <x v="0"/>
    <x v="0"/>
    <n v="287.94"/>
    <n v="28794"/>
    <n v="5758.8"/>
  </r>
  <r>
    <n v="849"/>
    <s v="CA-2018-107503"/>
    <x v="314"/>
    <d v="2018-01-06T00:00:00"/>
    <x v="1"/>
    <s v="GA-14725"/>
    <s v="Guy Armstrong"/>
    <s v="Consumer"/>
    <x v="3"/>
    <x v="0"/>
    <n v="48.896000000000001"/>
    <n v="4889.6000000000004"/>
    <n v="977.92000000000007"/>
  </r>
  <r>
    <n v="850"/>
    <s v="CA-2015-107755"/>
    <x v="315"/>
    <d v="2015-02-12T00:00:00"/>
    <x v="1"/>
    <s v="CK-12760"/>
    <s v="Cyma Kinney"/>
    <s v="Corporate"/>
    <x v="3"/>
    <x v="2"/>
    <n v="115.36"/>
    <n v="11536"/>
    <n v="2307.2000000000003"/>
  </r>
  <r>
    <n v="851"/>
    <s v="CA-2017-152534"/>
    <x v="23"/>
    <d v="2017-06-25T00:00:00"/>
    <x v="0"/>
    <s v="DP-13105"/>
    <s v="Dave Poirier"/>
    <s v="Corporate"/>
    <x v="1"/>
    <x v="1"/>
    <n v="5.16"/>
    <n v="516"/>
    <n v="103.2"/>
  </r>
  <r>
    <n v="852"/>
    <s v="CA-2017-152534"/>
    <x v="23"/>
    <d v="2017-06-25T00:00:00"/>
    <x v="0"/>
    <s v="DP-13105"/>
    <s v="Dave Poirier"/>
    <s v="Corporate"/>
    <x v="1"/>
    <x v="1"/>
    <n v="38.880000000000003"/>
    <n v="3888.0000000000005"/>
    <n v="777.60000000000014"/>
  </r>
  <r>
    <n v="853"/>
    <s v="CA-2017-113747"/>
    <x v="316"/>
    <d v="2017-06-04T00:00:00"/>
    <x v="1"/>
    <s v="VD-21670"/>
    <s v="Valerie Dominguez"/>
    <s v="Consumer"/>
    <x v="0"/>
    <x v="1"/>
    <n v="185.88"/>
    <n v="18588"/>
    <n v="3717.6000000000004"/>
  </r>
  <r>
    <n v="854"/>
    <s v="CA-2017-123274"/>
    <x v="317"/>
    <d v="2017-02-24T00:00:00"/>
    <x v="1"/>
    <s v="GT-14710"/>
    <s v="Greg Tran"/>
    <s v="Consumer"/>
    <x v="3"/>
    <x v="0"/>
    <n v="44.46"/>
    <n v="4446"/>
    <n v="889.2"/>
  </r>
  <r>
    <n v="855"/>
    <s v="CA-2017-123274"/>
    <x v="317"/>
    <d v="2017-02-24T00:00:00"/>
    <x v="1"/>
    <s v="GT-14710"/>
    <s v="Greg Tran"/>
    <s v="Consumer"/>
    <x v="3"/>
    <x v="1"/>
    <n v="242.94"/>
    <n v="24294"/>
    <n v="4858.8"/>
  </r>
  <r>
    <n v="856"/>
    <s v="CA-2015-125612"/>
    <x v="93"/>
    <d v="2015-08-08T00:00:00"/>
    <x v="1"/>
    <s v="BK-11260"/>
    <s v="Berenike Kampe"/>
    <s v="Consumer"/>
    <x v="3"/>
    <x v="1"/>
    <n v="39.96"/>
    <n v="3996"/>
    <n v="799.2"/>
  </r>
  <r>
    <n v="857"/>
    <s v="CA-2015-125612"/>
    <x v="93"/>
    <d v="2015-08-08T00:00:00"/>
    <x v="1"/>
    <s v="BK-11260"/>
    <s v="Berenike Kampe"/>
    <s v="Consumer"/>
    <x v="3"/>
    <x v="1"/>
    <n v="102.3"/>
    <n v="10230"/>
    <n v="2046"/>
  </r>
  <r>
    <n v="858"/>
    <s v="CA-2015-125612"/>
    <x v="93"/>
    <d v="2015-08-08T00:00:00"/>
    <x v="1"/>
    <s v="BK-11260"/>
    <s v="Berenike Kampe"/>
    <s v="Consumer"/>
    <x v="3"/>
    <x v="1"/>
    <n v="21.36"/>
    <n v="2136"/>
    <n v="427.20000000000005"/>
  </r>
  <r>
    <n v="859"/>
    <s v="CA-2018-161984"/>
    <x v="318"/>
    <d v="2018-04-15T00:00:00"/>
    <x v="1"/>
    <s v="SJ-20125"/>
    <s v="Sanjit Jacobs"/>
    <s v="Home Office"/>
    <x v="3"/>
    <x v="1"/>
    <n v="7.61"/>
    <n v="761"/>
    <n v="152.20000000000002"/>
  </r>
  <r>
    <n v="860"/>
    <s v="CA-2018-161984"/>
    <x v="318"/>
    <d v="2018-04-15T00:00:00"/>
    <x v="1"/>
    <s v="SJ-20125"/>
    <s v="Sanjit Jacobs"/>
    <s v="Home Office"/>
    <x v="3"/>
    <x v="1"/>
    <n v="7.16"/>
    <n v="716"/>
    <n v="143.20000000000002"/>
  </r>
  <r>
    <n v="861"/>
    <s v="CA-2015-133851"/>
    <x v="3"/>
    <d v="2015-06-16T00:00:00"/>
    <x v="1"/>
    <s v="CM-12445"/>
    <s v="Chuck Magee"/>
    <s v="Consumer"/>
    <x v="1"/>
    <x v="1"/>
    <n v="7.36"/>
    <n v="736"/>
    <n v="147.20000000000002"/>
  </r>
  <r>
    <n v="862"/>
    <s v="CA-2015-133851"/>
    <x v="3"/>
    <d v="2015-06-16T00:00:00"/>
    <x v="1"/>
    <s v="CM-12445"/>
    <s v="Chuck Magee"/>
    <s v="Consumer"/>
    <x v="1"/>
    <x v="1"/>
    <n v="23.1"/>
    <n v="2310"/>
    <n v="462"/>
  </r>
  <r>
    <n v="863"/>
    <s v="CA-2017-134474"/>
    <x v="319"/>
    <d v="2017-01-07T00:00:00"/>
    <x v="0"/>
    <s v="AJ-10795"/>
    <s v="Anthony Johnson"/>
    <s v="Corporate"/>
    <x v="0"/>
    <x v="2"/>
    <n v="191.47200000000001"/>
    <n v="19147.2"/>
    <n v="3829.4400000000005"/>
  </r>
  <r>
    <n v="864"/>
    <s v="CA-2017-134474"/>
    <x v="319"/>
    <d v="2017-01-07T00:00:00"/>
    <x v="0"/>
    <s v="AJ-10795"/>
    <s v="Anthony Johnson"/>
    <s v="Corporate"/>
    <x v="0"/>
    <x v="1"/>
    <n v="5.2480000000000002"/>
    <n v="524.80000000000007"/>
    <n v="104.96000000000002"/>
  </r>
  <r>
    <n v="865"/>
    <s v="CA-2017-134474"/>
    <x v="319"/>
    <d v="2017-01-07T00:00:00"/>
    <x v="0"/>
    <s v="AJ-10795"/>
    <s v="Anthony Johnson"/>
    <s v="Corporate"/>
    <x v="0"/>
    <x v="2"/>
    <n v="59.183999999999997"/>
    <n v="5918.4"/>
    <n v="1183.68"/>
  </r>
  <r>
    <n v="866"/>
    <s v="CA-2015-149020"/>
    <x v="320"/>
    <d v="2015-01-15T00:00:00"/>
    <x v="1"/>
    <s v="AJ-10780"/>
    <s v="Anthony Jacobs"/>
    <s v="Corporate"/>
    <x v="0"/>
    <x v="1"/>
    <n v="2.89"/>
    <n v="289"/>
    <n v="57.800000000000004"/>
  </r>
  <r>
    <n v="867"/>
    <s v="CA-2015-149020"/>
    <x v="320"/>
    <d v="2015-01-15T00:00:00"/>
    <x v="1"/>
    <s v="AJ-10780"/>
    <s v="Anthony Jacobs"/>
    <s v="Corporate"/>
    <x v="0"/>
    <x v="0"/>
    <n v="51.94"/>
    <n v="5194"/>
    <n v="1038.8"/>
  </r>
  <r>
    <n v="868"/>
    <s v="CA-2017-134362"/>
    <x v="321"/>
    <d v="2017-10-02T00:00:00"/>
    <x v="2"/>
    <s v="LS-16945"/>
    <s v="Linda Kerelaworth"/>
    <s v="Corporate"/>
    <x v="3"/>
    <x v="1"/>
    <n v="15.936"/>
    <n v="1593.6"/>
    <n v="318.72000000000003"/>
  </r>
  <r>
    <n v="869"/>
    <s v="CA-2015-136742"/>
    <x v="322"/>
    <d v="2015-04-10T00:00:00"/>
    <x v="1"/>
    <s v="GP-14740"/>
    <s v="Guy Phonely"/>
    <s v="Corporate"/>
    <x v="3"/>
    <x v="1"/>
    <n v="44.91"/>
    <n v="4491"/>
    <n v="898.2"/>
  </r>
  <r>
    <n v="870"/>
    <s v="CA-2017-158099"/>
    <x v="323"/>
    <d v="2017-09-05T00:00:00"/>
    <x v="2"/>
    <s v="PK-18910"/>
    <s v="Paul Knutson"/>
    <s v="Home Office"/>
    <x v="3"/>
    <x v="1"/>
    <n v="1141.47"/>
    <n v="114147"/>
    <n v="22829.4"/>
  </r>
  <r>
    <n v="871"/>
    <s v="CA-2017-158099"/>
    <x v="323"/>
    <d v="2017-09-05T00:00:00"/>
    <x v="2"/>
    <s v="PK-18910"/>
    <s v="Paul Knutson"/>
    <s v="Home Office"/>
    <x v="3"/>
    <x v="2"/>
    <n v="280.78199999999998"/>
    <n v="28078.199999999997"/>
    <n v="5615.6399999999994"/>
  </r>
  <r>
    <n v="872"/>
    <s v="CA-2016-131128"/>
    <x v="324"/>
    <d v="2016-10-20T00:00:00"/>
    <x v="2"/>
    <s v="TB-21520"/>
    <s v="Tracy Blumstein"/>
    <s v="Consumer"/>
    <x v="3"/>
    <x v="1"/>
    <n v="34.44"/>
    <n v="3444"/>
    <n v="688.80000000000007"/>
  </r>
  <r>
    <n v="873"/>
    <s v="CA-2015-148488"/>
    <x v="325"/>
    <d v="2015-12-15T00:00:00"/>
    <x v="1"/>
    <s v="SM-20005"/>
    <s v="Sally Matthias"/>
    <s v="Consumer"/>
    <x v="3"/>
    <x v="1"/>
    <n v="11.36"/>
    <n v="1136"/>
    <n v="227.20000000000002"/>
  </r>
  <r>
    <n v="874"/>
    <s v="CA-2015-148488"/>
    <x v="325"/>
    <d v="2015-12-15T00:00:00"/>
    <x v="1"/>
    <s v="SM-20005"/>
    <s v="Sally Matthias"/>
    <s v="Consumer"/>
    <x v="3"/>
    <x v="1"/>
    <n v="106.34399999999999"/>
    <n v="10634.4"/>
    <n v="2126.88"/>
  </r>
  <r>
    <n v="875"/>
    <s v="CA-2018-114636"/>
    <x v="326"/>
    <d v="2018-08-29T00:00:00"/>
    <x v="1"/>
    <s v="GA-14725"/>
    <s v="Guy Armstrong"/>
    <s v="Consumer"/>
    <x v="0"/>
    <x v="1"/>
    <n v="192.16"/>
    <n v="19216"/>
    <n v="3843.2000000000003"/>
  </r>
  <r>
    <n v="876"/>
    <s v="CA-2017-116736"/>
    <x v="327"/>
    <d v="2017-01-21T00:00:00"/>
    <x v="1"/>
    <s v="CC-12430"/>
    <s v="Chuck Clark"/>
    <s v="Home Office"/>
    <x v="3"/>
    <x v="0"/>
    <n v="322.58999999999997"/>
    <n v="32258.999999999996"/>
    <n v="6451.7999999999993"/>
  </r>
  <r>
    <n v="877"/>
    <s v="CA-2017-116736"/>
    <x v="327"/>
    <d v="2017-01-21T00:00:00"/>
    <x v="1"/>
    <s v="CC-12430"/>
    <s v="Chuck Clark"/>
    <s v="Home Office"/>
    <x v="3"/>
    <x v="2"/>
    <n v="29.99"/>
    <n v="2999"/>
    <n v="599.80000000000007"/>
  </r>
  <r>
    <n v="878"/>
    <s v="CA-2017-116736"/>
    <x v="327"/>
    <d v="2017-01-21T00:00:00"/>
    <x v="1"/>
    <s v="CC-12430"/>
    <s v="Chuck Clark"/>
    <s v="Home Office"/>
    <x v="3"/>
    <x v="2"/>
    <n v="371.97"/>
    <n v="37197"/>
    <n v="7439.4000000000005"/>
  </r>
  <r>
    <n v="879"/>
    <s v="US-2015-158638"/>
    <x v="328"/>
    <d v="2015-09-21T00:00:00"/>
    <x v="1"/>
    <s v="AG-10765"/>
    <s v="Anthony Garverick"/>
    <s v="Home Office"/>
    <x v="3"/>
    <x v="1"/>
    <n v="5.8920000000000003"/>
    <n v="589.20000000000005"/>
    <n v="117.84000000000002"/>
  </r>
  <r>
    <n v="880"/>
    <s v="CA-2018-111689"/>
    <x v="329"/>
    <d v="2018-12-02T00:00:00"/>
    <x v="0"/>
    <s v="HP-14815"/>
    <s v="Harold Pawlan"/>
    <s v="Home Office"/>
    <x v="3"/>
    <x v="1"/>
    <n v="68.471999999999994"/>
    <n v="6847.2"/>
    <n v="1369.44"/>
  </r>
  <r>
    <n v="881"/>
    <s v="CA-2018-111689"/>
    <x v="329"/>
    <d v="2018-12-02T00:00:00"/>
    <x v="0"/>
    <s v="HP-14815"/>
    <s v="Harold Pawlan"/>
    <s v="Home Office"/>
    <x v="3"/>
    <x v="0"/>
    <n v="1242.9000000000001"/>
    <n v="124290.00000000001"/>
    <n v="24858.000000000004"/>
  </r>
  <r>
    <n v="882"/>
    <s v="CA-2016-129098"/>
    <x v="330"/>
    <d v="2016-10-13T00:00:00"/>
    <x v="1"/>
    <s v="DK-13090"/>
    <s v="Dave Kipp"/>
    <s v="Consumer"/>
    <x v="0"/>
    <x v="1"/>
    <n v="30.84"/>
    <n v="3084"/>
    <n v="616.80000000000007"/>
  </r>
  <r>
    <n v="883"/>
    <s v="US-2018-123463"/>
    <x v="331"/>
    <d v="2018-12-23T00:00:00"/>
    <x v="3"/>
    <s v="GZ-14470"/>
    <s v="Gary Zandusky"/>
    <s v="Consumer"/>
    <x v="1"/>
    <x v="1"/>
    <n v="13.48"/>
    <n v="1348"/>
    <n v="269.60000000000002"/>
  </r>
  <r>
    <n v="884"/>
    <s v="CA-2017-165148"/>
    <x v="332"/>
    <d v="2017-10-24T00:00:00"/>
    <x v="2"/>
    <s v="PM-19135"/>
    <s v="Peter McVee"/>
    <s v="Home Office"/>
    <x v="2"/>
    <x v="0"/>
    <n v="31.4"/>
    <n v="3140"/>
    <n v="628"/>
  </r>
  <r>
    <n v="885"/>
    <s v="CA-2015-134061"/>
    <x v="333"/>
    <d v="2015-05-04T00:00:00"/>
    <x v="1"/>
    <s v="LL-16840"/>
    <s v="Lauren Leatherbury"/>
    <s v="Consumer"/>
    <x v="3"/>
    <x v="0"/>
    <n v="17.46"/>
    <n v="1746"/>
    <n v="349.20000000000005"/>
  </r>
  <r>
    <n v="886"/>
    <s v="CA-2016-143602"/>
    <x v="334"/>
    <d v="2016-04-28T00:00:00"/>
    <x v="0"/>
    <s v="JS-15595"/>
    <s v="Jill Stevenson"/>
    <s v="Corporate"/>
    <x v="1"/>
    <x v="1"/>
    <n v="13.944000000000001"/>
    <n v="1394.4"/>
    <n v="278.88000000000005"/>
  </r>
  <r>
    <n v="887"/>
    <s v="CA-2018-115364"/>
    <x v="335"/>
    <d v="2018-07-02T00:00:00"/>
    <x v="1"/>
    <s v="OT-18730"/>
    <s v="Olvera Toch"/>
    <s v="Consumer"/>
    <x v="1"/>
    <x v="1"/>
    <n v="83.76"/>
    <n v="8376"/>
    <n v="1675.2"/>
  </r>
  <r>
    <n v="888"/>
    <s v="CA-2018-150707"/>
    <x v="336"/>
    <d v="2018-10-19T00:00:00"/>
    <x v="1"/>
    <s v="EL-13735"/>
    <s v="Ed Ludwig"/>
    <s v="Home Office"/>
    <x v="3"/>
    <x v="1"/>
    <n v="37.659999999999997"/>
    <n v="3765.9999999999995"/>
    <n v="753.19999999999993"/>
  </r>
  <r>
    <n v="889"/>
    <s v="CA-2015-104976"/>
    <x v="337"/>
    <d v="2015-12-16T00:00:00"/>
    <x v="1"/>
    <s v="CK-12760"/>
    <s v="Cyma Kinney"/>
    <s v="Corporate"/>
    <x v="1"/>
    <x v="1"/>
    <n v="34.68"/>
    <n v="3468"/>
    <n v="693.6"/>
  </r>
  <r>
    <n v="890"/>
    <s v="CA-2018-132934"/>
    <x v="308"/>
    <d v="2018-06-26T00:00:00"/>
    <x v="1"/>
    <s v="JE-15475"/>
    <s v="Jeremy Ellison"/>
    <s v="Consumer"/>
    <x v="3"/>
    <x v="2"/>
    <n v="149.94999999999999"/>
    <n v="14994.999999999998"/>
    <n v="2999"/>
  </r>
  <r>
    <n v="891"/>
    <s v="CA-2018-132934"/>
    <x v="308"/>
    <d v="2018-06-26T00:00:00"/>
    <x v="1"/>
    <s v="JE-15475"/>
    <s v="Jeremy Ellison"/>
    <s v="Consumer"/>
    <x v="3"/>
    <x v="1"/>
    <n v="51.311999999999998"/>
    <n v="5131.2"/>
    <n v="1026.24"/>
  </r>
  <r>
    <n v="892"/>
    <s v="CA-2018-133256"/>
    <x v="335"/>
    <d v="2018-06-27T00:00:00"/>
    <x v="2"/>
    <s v="TH-21550"/>
    <s v="Tracy Hopkins"/>
    <s v="Home Office"/>
    <x v="2"/>
    <x v="1"/>
    <n v="4.54"/>
    <n v="454"/>
    <n v="90.800000000000011"/>
  </r>
  <r>
    <n v="893"/>
    <s v="CA-2018-133256"/>
    <x v="335"/>
    <d v="2018-06-27T00:00:00"/>
    <x v="2"/>
    <s v="TH-21550"/>
    <s v="Tracy Hopkins"/>
    <s v="Home Office"/>
    <x v="2"/>
    <x v="1"/>
    <n v="15.92"/>
    <n v="1592"/>
    <n v="318.40000000000003"/>
  </r>
  <r>
    <n v="894"/>
    <s v="CA-2018-133256"/>
    <x v="335"/>
    <d v="2018-06-27T00:00:00"/>
    <x v="2"/>
    <s v="TH-21550"/>
    <s v="Tracy Hopkins"/>
    <s v="Home Office"/>
    <x v="2"/>
    <x v="2"/>
    <n v="543.91999999999996"/>
    <n v="54391.999999999993"/>
    <n v="10878.4"/>
  </r>
  <r>
    <n v="895"/>
    <s v="CA-2017-105494"/>
    <x v="338"/>
    <d v="2017-11-12T00:00:00"/>
    <x v="2"/>
    <s v="PC-18745"/>
    <s v="Pamela Coakley"/>
    <s v="Corporate"/>
    <x v="1"/>
    <x v="1"/>
    <n v="155.82"/>
    <n v="15582"/>
    <n v="3116.4"/>
  </r>
  <r>
    <n v="896"/>
    <s v="CA-2017-105494"/>
    <x v="338"/>
    <d v="2017-11-12T00:00:00"/>
    <x v="2"/>
    <s v="PC-18745"/>
    <s v="Pamela Coakley"/>
    <s v="Corporate"/>
    <x v="1"/>
    <x v="1"/>
    <n v="70.007999999999996"/>
    <n v="7000.7999999999993"/>
    <n v="1400.1599999999999"/>
  </r>
  <r>
    <n v="897"/>
    <s v="CA-2017-140634"/>
    <x v="339"/>
    <d v="2017-10-06T00:00:00"/>
    <x v="0"/>
    <s v="HL-15040"/>
    <s v="Hunter Lopez"/>
    <s v="Consumer"/>
    <x v="2"/>
    <x v="1"/>
    <n v="15.648"/>
    <n v="1564.8"/>
    <n v="312.96000000000004"/>
  </r>
  <r>
    <n v="898"/>
    <s v="CA-2015-144407"/>
    <x v="340"/>
    <d v="2015-09-15T00:00:00"/>
    <x v="1"/>
    <s v="MS-17365"/>
    <s v="Maribeth Schnelling"/>
    <s v="Consumer"/>
    <x v="2"/>
    <x v="1"/>
    <n v="103.6"/>
    <n v="10360"/>
    <n v="2072"/>
  </r>
  <r>
    <n v="899"/>
    <s v="CA-2018-160983"/>
    <x v="341"/>
    <d v="2018-10-31T00:00:00"/>
    <x v="0"/>
    <s v="GB-14530"/>
    <s v="George Bell"/>
    <s v="Corporate"/>
    <x v="3"/>
    <x v="1"/>
    <n v="46.96"/>
    <n v="4696"/>
    <n v="939.2"/>
  </r>
  <r>
    <n v="900"/>
    <s v="US-2017-114622"/>
    <x v="342"/>
    <d v="2017-04-12T00:00:00"/>
    <x v="2"/>
    <s v="JR-16210"/>
    <s v="Justin Ritter"/>
    <s v="Corporate"/>
    <x v="3"/>
    <x v="1"/>
    <n v="8.9039999999999999"/>
    <n v="890.4"/>
    <n v="178.08"/>
  </r>
  <r>
    <n v="901"/>
    <s v="CA-2018-150959"/>
    <x v="343"/>
    <d v="2018-11-13T00:00:00"/>
    <x v="2"/>
    <s v="TD-20995"/>
    <s v="Tamara Dahlen"/>
    <s v="Consumer"/>
    <x v="2"/>
    <x v="1"/>
    <n v="10.44"/>
    <n v="1044"/>
    <n v="208.8"/>
  </r>
  <r>
    <n v="902"/>
    <s v="CA-2018-150959"/>
    <x v="343"/>
    <d v="2018-11-13T00:00:00"/>
    <x v="2"/>
    <s v="TD-20995"/>
    <s v="Tamara Dahlen"/>
    <s v="Consumer"/>
    <x v="2"/>
    <x v="1"/>
    <n v="18.335999999999999"/>
    <n v="1833.6"/>
    <n v="366.72"/>
  </r>
  <r>
    <n v="903"/>
    <s v="CA-2018-132353"/>
    <x v="175"/>
    <d v="2018-09-17T00:00:00"/>
    <x v="2"/>
    <s v="DB-13060"/>
    <s v="Dave Brooks"/>
    <s v="Consumer"/>
    <x v="2"/>
    <x v="2"/>
    <n v="323.976"/>
    <n v="32397.599999999999"/>
    <n v="6479.52"/>
  </r>
  <r>
    <n v="904"/>
    <s v="CA-2017-130477"/>
    <x v="143"/>
    <d v="2017-04-12T00:00:00"/>
    <x v="1"/>
    <s v="LC-17140"/>
    <s v="Logan Currie"/>
    <s v="Consumer"/>
    <x v="1"/>
    <x v="1"/>
    <n v="20.04"/>
    <n v="2004"/>
    <n v="400.8"/>
  </r>
  <r>
    <n v="905"/>
    <s v="CA-2017-130477"/>
    <x v="143"/>
    <d v="2017-04-12T00:00:00"/>
    <x v="1"/>
    <s v="LC-17140"/>
    <s v="Logan Currie"/>
    <s v="Consumer"/>
    <x v="1"/>
    <x v="1"/>
    <n v="64.959999999999994"/>
    <n v="6495.9999999999991"/>
    <n v="1299.1999999999998"/>
  </r>
  <r>
    <n v="906"/>
    <s v="CA-2017-130477"/>
    <x v="143"/>
    <d v="2017-04-12T00:00:00"/>
    <x v="1"/>
    <s v="LC-17140"/>
    <s v="Logan Currie"/>
    <s v="Consumer"/>
    <x v="1"/>
    <x v="1"/>
    <n v="12.96"/>
    <n v="1296"/>
    <n v="259.2"/>
  </r>
  <r>
    <n v="907"/>
    <s v="CA-2018-143259"/>
    <x v="247"/>
    <d v="2019-01-03T00:00:00"/>
    <x v="1"/>
    <s v="PO-18865"/>
    <s v="Patrick O'Donnell"/>
    <s v="Consumer"/>
    <x v="3"/>
    <x v="0"/>
    <n v="323.13600000000002"/>
    <n v="32313.600000000002"/>
    <n v="6462.7200000000012"/>
  </r>
  <r>
    <n v="908"/>
    <s v="CA-2018-143259"/>
    <x v="247"/>
    <d v="2019-01-03T00:00:00"/>
    <x v="1"/>
    <s v="PO-18865"/>
    <s v="Patrick O'Donnell"/>
    <s v="Consumer"/>
    <x v="3"/>
    <x v="2"/>
    <n v="90.93"/>
    <n v="9093"/>
    <n v="1818.6000000000001"/>
  </r>
  <r>
    <n v="909"/>
    <s v="CA-2018-143259"/>
    <x v="247"/>
    <d v="2019-01-03T00:00:00"/>
    <x v="1"/>
    <s v="PO-18865"/>
    <s v="Patrick O'Donnell"/>
    <s v="Consumer"/>
    <x v="3"/>
    <x v="1"/>
    <n v="52.776000000000003"/>
    <n v="5277.6"/>
    <n v="1055.5200000000002"/>
  </r>
  <r>
    <n v="910"/>
    <s v="CA-2018-137596"/>
    <x v="264"/>
    <d v="2018-09-07T00:00:00"/>
    <x v="1"/>
    <s v="BE-11335"/>
    <s v="Bill Eplett"/>
    <s v="Home Office"/>
    <x v="2"/>
    <x v="2"/>
    <n v="1199.8"/>
    <n v="119980"/>
    <n v="23996"/>
  </r>
  <r>
    <n v="911"/>
    <s v="CA-2018-137596"/>
    <x v="264"/>
    <d v="2018-09-07T00:00:00"/>
    <x v="1"/>
    <s v="BE-11335"/>
    <s v="Bill Eplett"/>
    <s v="Home Office"/>
    <x v="2"/>
    <x v="2"/>
    <n v="1928.78"/>
    <n v="192878"/>
    <n v="38575.599999999999"/>
  </r>
  <r>
    <n v="912"/>
    <s v="CA-2018-137596"/>
    <x v="264"/>
    <d v="2018-09-07T00:00:00"/>
    <x v="1"/>
    <s v="BE-11335"/>
    <s v="Bill Eplett"/>
    <s v="Home Office"/>
    <x v="2"/>
    <x v="1"/>
    <n v="352.38"/>
    <n v="35238"/>
    <n v="7047.6"/>
  </r>
  <r>
    <n v="913"/>
    <s v="CA-2016-133627"/>
    <x v="70"/>
    <d v="2016-06-07T00:00:00"/>
    <x v="1"/>
    <s v="SC-20050"/>
    <s v="Sample Company A"/>
    <s v="Home Office"/>
    <x v="3"/>
    <x v="0"/>
    <n v="22.2"/>
    <n v="2220"/>
    <n v="444"/>
  </r>
  <r>
    <n v="914"/>
    <s v="CA-2018-102519"/>
    <x v="344"/>
    <d v="2018-11-29T00:00:00"/>
    <x v="2"/>
    <s v="BM-11650"/>
    <s v="Brian Moss"/>
    <s v="Corporate"/>
    <x v="2"/>
    <x v="0"/>
    <n v="46.94"/>
    <n v="4694"/>
    <n v="938.80000000000007"/>
  </r>
  <r>
    <n v="915"/>
    <s v="CA-2018-102519"/>
    <x v="344"/>
    <d v="2018-11-29T00:00:00"/>
    <x v="2"/>
    <s v="BM-11650"/>
    <s v="Brian Moss"/>
    <s v="Corporate"/>
    <x v="2"/>
    <x v="2"/>
    <n v="143.72999999999999"/>
    <n v="14372.999999999998"/>
    <n v="2874.6"/>
  </r>
  <r>
    <n v="916"/>
    <s v="US-2015-141215"/>
    <x v="345"/>
    <d v="2015-06-21T00:00:00"/>
    <x v="1"/>
    <s v="KL-16555"/>
    <s v="Kelly Lampkin"/>
    <s v="Corporate"/>
    <x v="2"/>
    <x v="0"/>
    <n v="99.918000000000006"/>
    <n v="9991.8000000000011"/>
    <n v="1998.3600000000004"/>
  </r>
  <r>
    <n v="917"/>
    <s v="US-2015-141215"/>
    <x v="345"/>
    <d v="2015-06-21T00:00:00"/>
    <x v="1"/>
    <s v="KL-16555"/>
    <s v="Kelly Lampkin"/>
    <s v="Corporate"/>
    <x v="2"/>
    <x v="0"/>
    <n v="797.94399999999996"/>
    <n v="79794.399999999994"/>
    <n v="15958.88"/>
  </r>
  <r>
    <n v="918"/>
    <s v="US-2015-141215"/>
    <x v="345"/>
    <d v="2015-06-21T00:00:00"/>
    <x v="1"/>
    <s v="KL-16555"/>
    <s v="Kelly Lampkin"/>
    <s v="Corporate"/>
    <x v="2"/>
    <x v="1"/>
    <n v="8.5679999999999996"/>
    <n v="856.8"/>
    <n v="171.36"/>
  </r>
  <r>
    <n v="919"/>
    <s v="CA-2017-165218"/>
    <x v="346"/>
    <d v="2017-03-11T00:00:00"/>
    <x v="1"/>
    <s v="RW-19630"/>
    <s v="Rob Williams"/>
    <s v="Corporate"/>
    <x v="2"/>
    <x v="1"/>
    <n v="149.352"/>
    <n v="14935.2"/>
    <n v="2987.0400000000004"/>
  </r>
  <r>
    <n v="920"/>
    <s v="CA-2017-165218"/>
    <x v="346"/>
    <d v="2017-03-11T00:00:00"/>
    <x v="1"/>
    <s v="RW-19630"/>
    <s v="Rob Williams"/>
    <s v="Corporate"/>
    <x v="2"/>
    <x v="1"/>
    <n v="12.992000000000001"/>
    <n v="1299.2"/>
    <n v="259.84000000000003"/>
  </r>
  <r>
    <n v="921"/>
    <s v="CA-2015-138296"/>
    <x v="29"/>
    <d v="2015-12-12T00:00:00"/>
    <x v="1"/>
    <s v="RC-19825"/>
    <s v="Roy Collins"/>
    <s v="Consumer"/>
    <x v="0"/>
    <x v="1"/>
    <n v="24.56"/>
    <n v="2456"/>
    <n v="491.20000000000005"/>
  </r>
  <r>
    <n v="922"/>
    <s v="CA-2016-111164"/>
    <x v="347"/>
    <d v="2016-04-15T00:00:00"/>
    <x v="1"/>
    <s v="SE-20110"/>
    <s v="Sanjit Engle"/>
    <s v="Consumer"/>
    <x v="3"/>
    <x v="2"/>
    <n v="85.14"/>
    <n v="8514"/>
    <n v="1702.8000000000002"/>
  </r>
  <r>
    <n v="923"/>
    <s v="CA-2016-111164"/>
    <x v="347"/>
    <d v="2016-04-15T00:00:00"/>
    <x v="1"/>
    <s v="SE-20110"/>
    <s v="Sanjit Engle"/>
    <s v="Consumer"/>
    <x v="3"/>
    <x v="2"/>
    <n v="21.99"/>
    <n v="2199"/>
    <n v="439.8"/>
  </r>
  <r>
    <n v="924"/>
    <s v="CA-2016-111164"/>
    <x v="347"/>
    <d v="2016-04-15T00:00:00"/>
    <x v="1"/>
    <s v="SE-20110"/>
    <s v="Sanjit Engle"/>
    <s v="Consumer"/>
    <x v="3"/>
    <x v="1"/>
    <n v="406.6"/>
    <n v="40660"/>
    <n v="8132"/>
  </r>
  <r>
    <n v="925"/>
    <s v="CA-2017-149797"/>
    <x v="306"/>
    <d v="2017-09-20T00:00:00"/>
    <x v="1"/>
    <s v="AH-10075"/>
    <s v="Adam Hart"/>
    <s v="Corporate"/>
    <x v="3"/>
    <x v="1"/>
    <n v="841.56799999999998"/>
    <n v="84156.800000000003"/>
    <n v="16831.36"/>
  </r>
  <r>
    <n v="926"/>
    <s v="CA-2015-132962"/>
    <x v="103"/>
    <d v="2015-09-16T00:00:00"/>
    <x v="2"/>
    <s v="JM-15535"/>
    <s v="Jessica Myrick"/>
    <s v="Consumer"/>
    <x v="3"/>
    <x v="1"/>
    <n v="15.552"/>
    <n v="1555.2"/>
    <n v="311.04000000000002"/>
  </r>
  <r>
    <n v="927"/>
    <s v="CA-2015-132962"/>
    <x v="103"/>
    <d v="2015-09-16T00:00:00"/>
    <x v="2"/>
    <s v="JM-15535"/>
    <s v="Jessica Myrick"/>
    <s v="Consumer"/>
    <x v="3"/>
    <x v="2"/>
    <n v="252"/>
    <n v="25200"/>
    <n v="5040"/>
  </r>
  <r>
    <n v="928"/>
    <s v="CA-2016-115091"/>
    <x v="348"/>
    <d v="2016-10-09T00:00:00"/>
    <x v="1"/>
    <s v="JJ-15760"/>
    <s v="Joel Jenkins"/>
    <s v="Home Office"/>
    <x v="0"/>
    <x v="1"/>
    <n v="46.2"/>
    <n v="4620"/>
    <n v="924"/>
  </r>
  <r>
    <n v="929"/>
    <s v="CA-2016-115091"/>
    <x v="348"/>
    <d v="2016-10-09T00:00:00"/>
    <x v="1"/>
    <s v="JJ-15760"/>
    <s v="Joel Jenkins"/>
    <s v="Home Office"/>
    <x v="0"/>
    <x v="1"/>
    <n v="28.84"/>
    <n v="2884"/>
    <n v="576.80000000000007"/>
  </r>
  <r>
    <n v="930"/>
    <s v="CA-2018-144932"/>
    <x v="349"/>
    <d v="2018-04-17T00:00:00"/>
    <x v="2"/>
    <s v="AB-10165"/>
    <s v="Alan Barnes"/>
    <s v="Consumer"/>
    <x v="3"/>
    <x v="1"/>
    <n v="14.592000000000001"/>
    <n v="1459.2"/>
    <n v="291.84000000000003"/>
  </r>
  <r>
    <n v="931"/>
    <s v="CA-2018-144932"/>
    <x v="349"/>
    <d v="2018-04-17T00:00:00"/>
    <x v="2"/>
    <s v="AB-10165"/>
    <s v="Alan Barnes"/>
    <s v="Consumer"/>
    <x v="3"/>
    <x v="1"/>
    <n v="89.855999999999995"/>
    <n v="8985.5999999999985"/>
    <n v="1797.12"/>
  </r>
  <r>
    <n v="932"/>
    <s v="CA-2018-144932"/>
    <x v="349"/>
    <d v="2018-04-17T00:00:00"/>
    <x v="2"/>
    <s v="AB-10165"/>
    <s v="Alan Barnes"/>
    <s v="Consumer"/>
    <x v="3"/>
    <x v="1"/>
    <n v="13.872"/>
    <n v="1387.2"/>
    <n v="277.44"/>
  </r>
  <r>
    <n v="933"/>
    <s v="CA-2018-114216"/>
    <x v="264"/>
    <d v="2018-09-06T00:00:00"/>
    <x v="1"/>
    <s v="RK-19300"/>
    <s v="Ralph Kennedy"/>
    <s v="Consumer"/>
    <x v="3"/>
    <x v="1"/>
    <n v="12.192"/>
    <n v="1219.2"/>
    <n v="243.84000000000003"/>
  </r>
  <r>
    <n v="934"/>
    <s v="CA-2017-140081"/>
    <x v="23"/>
    <d v="2017-06-24T00:00:00"/>
    <x v="1"/>
    <s v="CG-12040"/>
    <s v="Catherine Glotzbach"/>
    <s v="Home Office"/>
    <x v="3"/>
    <x v="1"/>
    <n v="45.055999999999997"/>
    <n v="4505.5999999999995"/>
    <n v="901.11999999999989"/>
  </r>
  <r>
    <n v="935"/>
    <s v="CA-2017-140081"/>
    <x v="23"/>
    <d v="2017-06-24T00:00:00"/>
    <x v="1"/>
    <s v="CG-12040"/>
    <s v="Catherine Glotzbach"/>
    <s v="Home Office"/>
    <x v="3"/>
    <x v="1"/>
    <n v="29.718"/>
    <n v="2971.8"/>
    <n v="594.36"/>
  </r>
  <r>
    <n v="936"/>
    <s v="CA-2017-140081"/>
    <x v="23"/>
    <d v="2017-06-24T00:00:00"/>
    <x v="1"/>
    <s v="CG-12040"/>
    <s v="Catherine Glotzbach"/>
    <s v="Home Office"/>
    <x v="3"/>
    <x v="1"/>
    <n v="15.552"/>
    <n v="1555.2"/>
    <n v="311.04000000000002"/>
  </r>
  <r>
    <n v="937"/>
    <s v="CA-2017-140081"/>
    <x v="23"/>
    <d v="2017-06-24T00:00:00"/>
    <x v="1"/>
    <s v="CG-12040"/>
    <s v="Catherine Glotzbach"/>
    <s v="Home Office"/>
    <x v="3"/>
    <x v="1"/>
    <n v="447.69600000000003"/>
    <n v="44769.600000000006"/>
    <n v="8953.9200000000019"/>
  </r>
  <r>
    <n v="938"/>
    <s v="US-2018-111745"/>
    <x v="60"/>
    <d v="2018-11-06T00:00:00"/>
    <x v="2"/>
    <s v="RA-19885"/>
    <s v="Ruben Ausman"/>
    <s v="Corporate"/>
    <x v="1"/>
    <x v="2"/>
    <n v="159.99"/>
    <n v="15999"/>
    <n v="3199.8"/>
  </r>
  <r>
    <n v="939"/>
    <s v="CA-2016-148250"/>
    <x v="350"/>
    <d v="2016-12-17T00:00:00"/>
    <x v="1"/>
    <s v="RP-19270"/>
    <s v="Rachel Payne"/>
    <s v="Corporate"/>
    <x v="1"/>
    <x v="1"/>
    <n v="12.96"/>
    <n v="1296"/>
    <n v="259.2"/>
  </r>
  <r>
    <n v="940"/>
    <s v="CA-2016-148250"/>
    <x v="350"/>
    <d v="2016-12-17T00:00:00"/>
    <x v="1"/>
    <s v="RP-19270"/>
    <s v="Rachel Payne"/>
    <s v="Corporate"/>
    <x v="1"/>
    <x v="1"/>
    <n v="134.47999999999999"/>
    <n v="13447.999999999998"/>
    <n v="2689.6"/>
  </r>
  <r>
    <n v="941"/>
    <s v="CA-2017-105760"/>
    <x v="351"/>
    <d v="2017-06-20T00:00:00"/>
    <x v="2"/>
    <s v="KC-16255"/>
    <s v="Karen Carlisle"/>
    <s v="Corporate"/>
    <x v="1"/>
    <x v="1"/>
    <n v="17.12"/>
    <n v="1712"/>
    <n v="342.40000000000003"/>
  </r>
  <r>
    <n v="942"/>
    <s v="CA-2017-142958"/>
    <x v="180"/>
    <d v="2017-12-20T00:00:00"/>
    <x v="1"/>
    <s v="RW-19630"/>
    <s v="Rob Williams"/>
    <s v="Corporate"/>
    <x v="1"/>
    <x v="1"/>
    <n v="6.0960000000000001"/>
    <n v="609.6"/>
    <n v="121.92000000000002"/>
  </r>
  <r>
    <n v="943"/>
    <s v="CA-2017-142958"/>
    <x v="180"/>
    <d v="2017-12-20T00:00:00"/>
    <x v="1"/>
    <s v="RW-19630"/>
    <s v="Rob Williams"/>
    <s v="Corporate"/>
    <x v="1"/>
    <x v="0"/>
    <n v="1114.2719999999999"/>
    <n v="111427.2"/>
    <n v="22285.440000000002"/>
  </r>
  <r>
    <n v="944"/>
    <s v="CA-2016-120880"/>
    <x v="352"/>
    <d v="2016-06-03T00:00:00"/>
    <x v="1"/>
    <s v="JL-15850"/>
    <s v="John Lucas"/>
    <s v="Consumer"/>
    <x v="1"/>
    <x v="1"/>
    <n v="32.4"/>
    <n v="3240"/>
    <n v="648"/>
  </r>
  <r>
    <n v="945"/>
    <s v="CA-2016-120880"/>
    <x v="352"/>
    <d v="2016-06-03T00:00:00"/>
    <x v="1"/>
    <s v="JL-15850"/>
    <s v="John Lucas"/>
    <s v="Consumer"/>
    <x v="1"/>
    <x v="1"/>
    <n v="540.57000000000005"/>
    <n v="54057.000000000007"/>
    <n v="10811.400000000001"/>
  </r>
  <r>
    <n v="946"/>
    <s v="CA-2016-120880"/>
    <x v="352"/>
    <d v="2016-06-03T00:00:00"/>
    <x v="1"/>
    <s v="JL-15850"/>
    <s v="John Lucas"/>
    <s v="Consumer"/>
    <x v="1"/>
    <x v="1"/>
    <n v="167.76"/>
    <n v="16776"/>
    <n v="3355.2000000000003"/>
  </r>
  <r>
    <n v="947"/>
    <s v="US-2016-140200"/>
    <x v="353"/>
    <d v="2016-07-28T00:00:00"/>
    <x v="2"/>
    <s v="CA-12775"/>
    <s v="Cynthia Arntzen"/>
    <s v="Consumer"/>
    <x v="1"/>
    <x v="0"/>
    <n v="393.16500000000002"/>
    <n v="39316.5"/>
    <n v="7863.3"/>
  </r>
  <r>
    <n v="948"/>
    <s v="US-2018-110576"/>
    <x v="354"/>
    <d v="2018-12-02T00:00:00"/>
    <x v="1"/>
    <s v="RB-19795"/>
    <s v="Ross Baird"/>
    <s v="Home Office"/>
    <x v="3"/>
    <x v="0"/>
    <n v="516.48800000000006"/>
    <n v="51648.800000000003"/>
    <n v="10329.760000000002"/>
  </r>
  <r>
    <n v="949"/>
    <s v="US-2018-110576"/>
    <x v="354"/>
    <d v="2018-12-02T00:00:00"/>
    <x v="1"/>
    <s v="RB-19795"/>
    <s v="Ross Baird"/>
    <s v="Home Office"/>
    <x v="3"/>
    <x v="0"/>
    <n v="1007.232"/>
    <n v="100723.2"/>
    <n v="20144.64"/>
  </r>
  <r>
    <n v="950"/>
    <s v="US-2018-110576"/>
    <x v="354"/>
    <d v="2018-12-02T00:00:00"/>
    <x v="1"/>
    <s v="RB-19795"/>
    <s v="Ross Baird"/>
    <s v="Home Office"/>
    <x v="3"/>
    <x v="0"/>
    <n v="2065.3200000000002"/>
    <n v="206532.00000000003"/>
    <n v="41306.400000000009"/>
  </r>
  <r>
    <n v="951"/>
    <s v="US-2018-110576"/>
    <x v="354"/>
    <d v="2018-12-02T00:00:00"/>
    <x v="1"/>
    <s v="RB-19795"/>
    <s v="Ross Baird"/>
    <s v="Home Office"/>
    <x v="3"/>
    <x v="1"/>
    <n v="15.552"/>
    <n v="1555.2"/>
    <n v="311.04000000000002"/>
  </r>
  <r>
    <n v="952"/>
    <s v="US-2018-110576"/>
    <x v="354"/>
    <d v="2018-12-02T00:00:00"/>
    <x v="1"/>
    <s v="RB-19795"/>
    <s v="Ross Baird"/>
    <s v="Home Office"/>
    <x v="3"/>
    <x v="1"/>
    <n v="25.344000000000001"/>
    <n v="2534.4"/>
    <n v="506.88000000000005"/>
  </r>
  <r>
    <n v="953"/>
    <s v="CA-2018-131156"/>
    <x v="355"/>
    <d v="2018-04-07T00:00:00"/>
    <x v="1"/>
    <s v="KH-16360"/>
    <s v="Katherine Hughes"/>
    <s v="Consumer"/>
    <x v="3"/>
    <x v="0"/>
    <n v="25.472000000000001"/>
    <n v="2547.2000000000003"/>
    <n v="509.44000000000005"/>
  </r>
  <r>
    <n v="954"/>
    <s v="CA-2018-136539"/>
    <x v="116"/>
    <d v="2019-01-01T00:00:00"/>
    <x v="1"/>
    <s v="GH-14665"/>
    <s v="Greg Hansen"/>
    <s v="Consumer"/>
    <x v="2"/>
    <x v="1"/>
    <n v="27.167999999999999"/>
    <n v="2716.7999999999997"/>
    <n v="543.36"/>
  </r>
  <r>
    <n v="955"/>
    <s v="CA-2018-136539"/>
    <x v="116"/>
    <d v="2019-01-01T00:00:00"/>
    <x v="1"/>
    <s v="GH-14665"/>
    <s v="Greg Hansen"/>
    <s v="Consumer"/>
    <x v="2"/>
    <x v="0"/>
    <n v="78.852800000000002"/>
    <n v="7885.2800000000007"/>
    <n v="1577.0560000000003"/>
  </r>
  <r>
    <n v="956"/>
    <s v="CA-2018-119305"/>
    <x v="329"/>
    <d v="2018-12-04T00:00:00"/>
    <x v="1"/>
    <s v="SW-20275"/>
    <s v="Scott Williamson"/>
    <s v="Consumer"/>
    <x v="0"/>
    <x v="1"/>
    <n v="173.8"/>
    <n v="17380"/>
    <n v="3476"/>
  </r>
  <r>
    <n v="957"/>
    <s v="CA-2018-102414"/>
    <x v="356"/>
    <d v="2018-05-18T00:00:00"/>
    <x v="0"/>
    <s v="JA-15970"/>
    <s v="Joseph Airdo"/>
    <s v="Consumer"/>
    <x v="1"/>
    <x v="2"/>
    <n v="29.591999999999999"/>
    <n v="2959.2"/>
    <n v="591.84"/>
  </r>
  <r>
    <n v="958"/>
    <s v="CA-2018-102414"/>
    <x v="356"/>
    <d v="2018-05-18T00:00:00"/>
    <x v="0"/>
    <s v="JA-15970"/>
    <s v="Joseph Airdo"/>
    <s v="Consumer"/>
    <x v="1"/>
    <x v="1"/>
    <n v="4.7519999999999998"/>
    <n v="475.2"/>
    <n v="95.04"/>
  </r>
  <r>
    <n v="959"/>
    <s v="CA-2018-102414"/>
    <x v="356"/>
    <d v="2018-05-18T00:00:00"/>
    <x v="0"/>
    <s v="JA-15970"/>
    <s v="Joseph Airdo"/>
    <s v="Consumer"/>
    <x v="1"/>
    <x v="1"/>
    <n v="15.552"/>
    <n v="1555.2"/>
    <n v="311.04000000000002"/>
  </r>
  <r>
    <n v="960"/>
    <s v="CA-2016-112571"/>
    <x v="357"/>
    <d v="2016-09-22T00:00:00"/>
    <x v="3"/>
    <s v="DL-12925"/>
    <s v="Daniel Lacy"/>
    <s v="Consumer"/>
    <x v="1"/>
    <x v="0"/>
    <n v="204.6"/>
    <n v="20460"/>
    <n v="4092"/>
  </r>
  <r>
    <n v="961"/>
    <s v="CA-2018-152142"/>
    <x v="237"/>
    <d v="2018-11-19T00:00:00"/>
    <x v="1"/>
    <s v="LW-16990"/>
    <s v="Lindsay Williams"/>
    <s v="Corporate"/>
    <x v="1"/>
    <x v="0"/>
    <n v="321.56799999999998"/>
    <n v="32156.799999999999"/>
    <n v="6431.3600000000006"/>
  </r>
  <r>
    <n v="962"/>
    <s v="CA-2016-160059"/>
    <x v="154"/>
    <d v="2016-12-01T00:00:00"/>
    <x v="1"/>
    <s v="TB-21190"/>
    <s v="Thomas Brumley"/>
    <s v="Home Office"/>
    <x v="0"/>
    <x v="1"/>
    <n v="6.24"/>
    <n v="624"/>
    <n v="124.80000000000001"/>
  </r>
  <r>
    <n v="963"/>
    <s v="CA-2017-120859"/>
    <x v="142"/>
    <d v="2017-09-04T00:00:00"/>
    <x v="2"/>
    <s v="CV-12805"/>
    <s v="Cynthia Voltz"/>
    <s v="Corporate"/>
    <x v="1"/>
    <x v="1"/>
    <n v="21.88"/>
    <n v="2188"/>
    <n v="437.6"/>
  </r>
  <r>
    <n v="964"/>
    <s v="CA-2015-127488"/>
    <x v="358"/>
    <d v="2015-09-24T00:00:00"/>
    <x v="0"/>
    <s v="MS-17365"/>
    <s v="Maribeth Schnelling"/>
    <s v="Consumer"/>
    <x v="0"/>
    <x v="1"/>
    <n v="4.6079999999999997"/>
    <n v="460.79999999999995"/>
    <n v="92.16"/>
  </r>
  <r>
    <n v="965"/>
    <s v="CA-2018-135279"/>
    <x v="359"/>
    <d v="2018-04-11T00:00:00"/>
    <x v="2"/>
    <s v="BS-11800"/>
    <s v="Bryan Spruell"/>
    <s v="Home Office"/>
    <x v="3"/>
    <x v="1"/>
    <n v="9.82"/>
    <n v="982"/>
    <n v="196.4"/>
  </r>
  <r>
    <n v="966"/>
    <s v="CA-2018-135279"/>
    <x v="359"/>
    <d v="2018-04-11T00:00:00"/>
    <x v="2"/>
    <s v="BS-11800"/>
    <s v="Bryan Spruell"/>
    <s v="Home Office"/>
    <x v="3"/>
    <x v="1"/>
    <n v="35.97"/>
    <n v="3597"/>
    <n v="719.40000000000009"/>
  </r>
  <r>
    <n v="967"/>
    <s v="CA-2018-135279"/>
    <x v="359"/>
    <d v="2018-04-11T00:00:00"/>
    <x v="2"/>
    <s v="BS-11800"/>
    <s v="Bryan Spruell"/>
    <s v="Home Office"/>
    <x v="3"/>
    <x v="1"/>
    <n v="12.96"/>
    <n v="1296"/>
    <n v="259.2"/>
  </r>
  <r>
    <n v="968"/>
    <s v="CA-2018-135279"/>
    <x v="359"/>
    <d v="2018-04-11T00:00:00"/>
    <x v="2"/>
    <s v="BS-11800"/>
    <s v="Bryan Spruell"/>
    <s v="Home Office"/>
    <x v="3"/>
    <x v="1"/>
    <n v="191.6"/>
    <n v="19160"/>
    <n v="3832"/>
  </r>
  <r>
    <n v="969"/>
    <s v="CA-2018-135279"/>
    <x v="359"/>
    <d v="2018-04-11T00:00:00"/>
    <x v="2"/>
    <s v="BS-11800"/>
    <s v="Bryan Spruell"/>
    <s v="Home Office"/>
    <x v="3"/>
    <x v="1"/>
    <n v="8.64"/>
    <n v="864"/>
    <n v="172.8"/>
  </r>
  <r>
    <n v="970"/>
    <s v="CA-2018-135279"/>
    <x v="359"/>
    <d v="2018-04-11T00:00:00"/>
    <x v="2"/>
    <s v="BS-11800"/>
    <s v="Bryan Spruell"/>
    <s v="Home Office"/>
    <x v="3"/>
    <x v="1"/>
    <n v="501.81"/>
    <n v="50181"/>
    <n v="10036.200000000001"/>
  </r>
  <r>
    <n v="971"/>
    <s v="CA-2015-115791"/>
    <x v="360"/>
    <d v="2015-01-18T00:00:00"/>
    <x v="0"/>
    <s v="DL-13315"/>
    <s v="Delfina Latchford"/>
    <s v="Consumer"/>
    <x v="3"/>
    <x v="0"/>
    <n v="127.104"/>
    <n v="12710.4"/>
    <n v="2542.08"/>
  </r>
  <r>
    <n v="972"/>
    <s v="CA-2015-115791"/>
    <x v="360"/>
    <d v="2015-01-18T00:00:00"/>
    <x v="0"/>
    <s v="DL-13315"/>
    <s v="Delfina Latchford"/>
    <s v="Consumer"/>
    <x v="3"/>
    <x v="2"/>
    <n v="124.2"/>
    <n v="12420"/>
    <n v="2484"/>
  </r>
  <r>
    <n v="973"/>
    <s v="CA-2015-115791"/>
    <x v="360"/>
    <d v="2015-01-18T00:00:00"/>
    <x v="0"/>
    <s v="DL-13315"/>
    <s v="Delfina Latchford"/>
    <s v="Consumer"/>
    <x v="3"/>
    <x v="1"/>
    <n v="18.588000000000001"/>
    <n v="1858.8000000000002"/>
    <n v="371.76000000000005"/>
  </r>
  <r>
    <n v="974"/>
    <s v="CA-2015-115791"/>
    <x v="360"/>
    <d v="2015-01-18T00:00:00"/>
    <x v="0"/>
    <s v="DL-13315"/>
    <s v="Delfina Latchford"/>
    <s v="Consumer"/>
    <x v="3"/>
    <x v="1"/>
    <n v="30.071999999999999"/>
    <n v="3007.2"/>
    <n v="601.43999999999994"/>
  </r>
  <r>
    <n v="975"/>
    <s v="US-2018-103247"/>
    <x v="361"/>
    <d v="2018-10-08T00:00:00"/>
    <x v="0"/>
    <s v="PO-19195"/>
    <s v="Phillina Ober"/>
    <s v="Home Office"/>
    <x v="3"/>
    <x v="2"/>
    <n v="160.93"/>
    <n v="16093"/>
    <n v="3218.6000000000004"/>
  </r>
  <r>
    <n v="976"/>
    <s v="US-2018-103247"/>
    <x v="361"/>
    <d v="2018-10-08T00:00:00"/>
    <x v="0"/>
    <s v="PO-19195"/>
    <s v="Phillina Ober"/>
    <s v="Home Office"/>
    <x v="3"/>
    <x v="1"/>
    <n v="75.792000000000002"/>
    <n v="7579.2"/>
    <n v="1515.8400000000001"/>
  </r>
  <r>
    <n v="977"/>
    <s v="US-2018-100209"/>
    <x v="362"/>
    <d v="2018-07-15T00:00:00"/>
    <x v="1"/>
    <s v="TD-20995"/>
    <s v="Tamara Dahlen"/>
    <s v="Consumer"/>
    <x v="1"/>
    <x v="1"/>
    <n v="1.08"/>
    <n v="108"/>
    <n v="21.6"/>
  </r>
  <r>
    <n v="978"/>
    <s v="CA-2018-159366"/>
    <x v="363"/>
    <d v="2018-01-10T00:00:00"/>
    <x v="2"/>
    <s v="BW-11110"/>
    <s v="Bart Watters"/>
    <s v="Corporate"/>
    <x v="2"/>
    <x v="2"/>
    <n v="3059.982"/>
    <n v="305998.2"/>
    <n v="61199.640000000007"/>
  </r>
  <r>
    <n v="979"/>
    <s v="CA-2017-145499"/>
    <x v="198"/>
    <d v="2017-05-31T00:00:00"/>
    <x v="2"/>
    <s v="RW-19690"/>
    <s v="Robert Waldorf"/>
    <s v="Consumer"/>
    <x v="0"/>
    <x v="1"/>
    <n v="3.282"/>
    <n v="328.2"/>
    <n v="65.64"/>
  </r>
  <r>
    <n v="980"/>
    <s v="CA-2016-157035"/>
    <x v="364"/>
    <d v="2016-12-12T00:00:00"/>
    <x v="2"/>
    <s v="KB-16600"/>
    <s v="Ken Brennan"/>
    <s v="Corporate"/>
    <x v="2"/>
    <x v="1"/>
    <n v="34.020000000000003"/>
    <n v="3402.0000000000005"/>
    <n v="680.40000000000009"/>
  </r>
  <r>
    <n v="981"/>
    <s v="CA-2017-144939"/>
    <x v="339"/>
    <d v="2017-10-08T00:00:00"/>
    <x v="1"/>
    <s v="EB-13870"/>
    <s v="Emily Burns"/>
    <s v="Consumer"/>
    <x v="3"/>
    <x v="0"/>
    <n v="599.29200000000003"/>
    <n v="59929.200000000004"/>
    <n v="11985.840000000002"/>
  </r>
  <r>
    <n v="982"/>
    <s v="CA-2015-163419"/>
    <x v="7"/>
    <d v="2015-11-14T00:00:00"/>
    <x v="0"/>
    <s v="TZ-21580"/>
    <s v="Tracy Zic"/>
    <s v="Consumer"/>
    <x v="1"/>
    <x v="1"/>
    <n v="3.3919999999999999"/>
    <n v="339.2"/>
    <n v="67.84"/>
  </r>
  <r>
    <n v="983"/>
    <s v="CA-2015-163419"/>
    <x v="7"/>
    <d v="2015-11-14T00:00:00"/>
    <x v="0"/>
    <s v="TZ-21580"/>
    <s v="Tracy Zic"/>
    <s v="Consumer"/>
    <x v="1"/>
    <x v="2"/>
    <n v="559.98400000000004"/>
    <n v="55998.400000000001"/>
    <n v="11199.68"/>
  </r>
  <r>
    <n v="984"/>
    <s v="CA-2015-163419"/>
    <x v="7"/>
    <d v="2015-11-14T00:00:00"/>
    <x v="0"/>
    <s v="TZ-21580"/>
    <s v="Tracy Zic"/>
    <s v="Consumer"/>
    <x v="1"/>
    <x v="0"/>
    <n v="603.91999999999996"/>
    <n v="60391.999999999993"/>
    <n v="12078.4"/>
  </r>
  <r>
    <n v="985"/>
    <s v="CA-2018-100314"/>
    <x v="365"/>
    <d v="2018-10-05T00:00:00"/>
    <x v="1"/>
    <s v="AS-10630"/>
    <s v="Ann Steele"/>
    <s v="Home Office"/>
    <x v="2"/>
    <x v="1"/>
    <n v="7.968"/>
    <n v="796.8"/>
    <n v="159.36000000000001"/>
  </r>
  <r>
    <n v="986"/>
    <s v="CA-2018-100314"/>
    <x v="365"/>
    <d v="2018-10-05T00:00:00"/>
    <x v="1"/>
    <s v="AS-10630"/>
    <s v="Ann Steele"/>
    <s v="Home Office"/>
    <x v="2"/>
    <x v="1"/>
    <n v="27.968"/>
    <n v="2796.8"/>
    <n v="559.36"/>
  </r>
  <r>
    <n v="987"/>
    <s v="CA-2018-100314"/>
    <x v="365"/>
    <d v="2018-10-05T00:00:00"/>
    <x v="1"/>
    <s v="AS-10630"/>
    <s v="Ann Steele"/>
    <s v="Home Office"/>
    <x v="2"/>
    <x v="2"/>
    <n v="336.51"/>
    <n v="33651"/>
    <n v="6730.2000000000007"/>
  </r>
  <r>
    <n v="988"/>
    <s v="CA-2016-146829"/>
    <x v="366"/>
    <d v="2016-03-10T00:00:00"/>
    <x v="3"/>
    <s v="TS-21340"/>
    <s v="Toby Swindell"/>
    <s v="Consumer"/>
    <x v="2"/>
    <x v="1"/>
    <n v="1.1120000000000001"/>
    <n v="111.20000000000002"/>
    <n v="22.240000000000006"/>
  </r>
  <r>
    <n v="989"/>
    <s v="CA-2018-167899"/>
    <x v="367"/>
    <d v="2018-05-26T00:00:00"/>
    <x v="1"/>
    <s v="JG-15805"/>
    <s v="John Grady"/>
    <s v="Corporate"/>
    <x v="3"/>
    <x v="0"/>
    <n v="520.04999999999995"/>
    <n v="52004.999999999993"/>
    <n v="10401"/>
  </r>
  <r>
    <n v="990"/>
    <s v="CA-2018-167899"/>
    <x v="367"/>
    <d v="2018-05-26T00:00:00"/>
    <x v="1"/>
    <s v="JG-15805"/>
    <s v="John Grady"/>
    <s v="Corporate"/>
    <x v="3"/>
    <x v="1"/>
    <n v="17.97"/>
    <n v="1797"/>
    <n v="359.40000000000003"/>
  </r>
  <r>
    <n v="991"/>
    <s v="CA-2016-153549"/>
    <x v="368"/>
    <d v="2016-03-31T00:00:00"/>
    <x v="0"/>
    <s v="SL-20155"/>
    <s v="Sara Luxemburg"/>
    <s v="Home Office"/>
    <x v="0"/>
    <x v="0"/>
    <n v="1166.92"/>
    <n v="116692"/>
    <n v="23338.400000000001"/>
  </r>
  <r>
    <n v="992"/>
    <s v="CA-2017-110023"/>
    <x v="369"/>
    <d v="2017-09-11T00:00:00"/>
    <x v="2"/>
    <s v="TS-21610"/>
    <s v="Troy Staebel"/>
    <s v="Consumer"/>
    <x v="3"/>
    <x v="1"/>
    <n v="14.624000000000001"/>
    <n v="1462.4"/>
    <n v="292.48"/>
  </r>
  <r>
    <n v="993"/>
    <s v="CA-2017-105585"/>
    <x v="370"/>
    <d v="2017-08-27T00:00:00"/>
    <x v="2"/>
    <s v="RF-19735"/>
    <s v="Roland Fjeld"/>
    <s v="Consumer"/>
    <x v="1"/>
    <x v="1"/>
    <n v="10.23"/>
    <n v="1023"/>
    <n v="204.60000000000002"/>
  </r>
  <r>
    <n v="994"/>
    <s v="CA-2017-105585"/>
    <x v="370"/>
    <d v="2017-08-27T00:00:00"/>
    <x v="2"/>
    <s v="RF-19735"/>
    <s v="Roland Fjeld"/>
    <s v="Consumer"/>
    <x v="1"/>
    <x v="1"/>
    <n v="154.9"/>
    <n v="15490"/>
    <n v="3098"/>
  </r>
  <r>
    <n v="995"/>
    <s v="CA-2015-117639"/>
    <x v="371"/>
    <d v="2015-05-25T00:00:00"/>
    <x v="1"/>
    <s v="MW-18235"/>
    <s v="Mitch Willingham"/>
    <s v="Corporate"/>
    <x v="0"/>
    <x v="1"/>
    <n v="2715.93"/>
    <n v="271593"/>
    <n v="54318.600000000006"/>
  </r>
  <r>
    <n v="996"/>
    <s v="CA-2015-117639"/>
    <x v="371"/>
    <d v="2015-05-25T00:00:00"/>
    <x v="1"/>
    <s v="MW-18235"/>
    <s v="Mitch Willingham"/>
    <s v="Corporate"/>
    <x v="0"/>
    <x v="2"/>
    <n v="617.97"/>
    <n v="61797"/>
    <n v="12359.400000000001"/>
  </r>
  <r>
    <n v="997"/>
    <s v="CA-2016-162537"/>
    <x v="372"/>
    <d v="2016-11-03T00:00:00"/>
    <x v="1"/>
    <s v="RD-19585"/>
    <s v="Rob Dowd"/>
    <s v="Consumer"/>
    <x v="0"/>
    <x v="1"/>
    <n v="10.67"/>
    <n v="1067"/>
    <n v="213.4"/>
  </r>
  <r>
    <n v="998"/>
    <s v="CA-2016-162537"/>
    <x v="372"/>
    <d v="2016-11-03T00:00:00"/>
    <x v="1"/>
    <s v="RD-19585"/>
    <s v="Rob Dowd"/>
    <s v="Consumer"/>
    <x v="0"/>
    <x v="1"/>
    <n v="36.630000000000003"/>
    <n v="3663.0000000000005"/>
    <n v="732.60000000000014"/>
  </r>
  <r>
    <n v="999"/>
    <s v="CA-2016-162537"/>
    <x v="372"/>
    <d v="2016-11-03T00:00:00"/>
    <x v="1"/>
    <s v="RD-19585"/>
    <s v="Rob Dowd"/>
    <s v="Consumer"/>
    <x v="0"/>
    <x v="0"/>
    <n v="24.1"/>
    <n v="2410"/>
    <n v="482"/>
  </r>
  <r>
    <n v="1000"/>
    <s v="CA-2016-162537"/>
    <x v="372"/>
    <d v="2016-11-03T00:00:00"/>
    <x v="1"/>
    <s v="RD-19585"/>
    <s v="Rob Dowd"/>
    <s v="Consumer"/>
    <x v="0"/>
    <x v="0"/>
    <n v="33.11"/>
    <n v="3311"/>
    <n v="662.2"/>
  </r>
  <r>
    <n v="1001"/>
    <s v="CA-2017-155488"/>
    <x v="373"/>
    <d v="2017-11-17T00:00:00"/>
    <x v="1"/>
    <s v="FM-14290"/>
    <s v="Frank Merwin"/>
    <s v="Home Office"/>
    <x v="1"/>
    <x v="1"/>
    <n v="44.02"/>
    <n v="4402"/>
    <n v="880.40000000000009"/>
  </r>
  <r>
    <n v="1002"/>
    <s v="CA-2016-124891"/>
    <x v="374"/>
    <d v="2016-07-31T00:00:00"/>
    <x v="3"/>
    <s v="RH-19495"/>
    <s v="Rick Hansen"/>
    <s v="Consumer"/>
    <x v="3"/>
    <x v="2"/>
    <n v="2309.65"/>
    <n v="230965"/>
    <n v="46193"/>
  </r>
  <r>
    <n v="1003"/>
    <s v="CA-2016-124891"/>
    <x v="374"/>
    <d v="2016-07-31T00:00:00"/>
    <x v="3"/>
    <s v="RH-19495"/>
    <s v="Rick Hansen"/>
    <s v="Consumer"/>
    <x v="3"/>
    <x v="0"/>
    <n v="1090.7819999999999"/>
    <n v="109078.2"/>
    <n v="21815.64"/>
  </r>
  <r>
    <n v="1004"/>
    <s v="CA-2016-124891"/>
    <x v="374"/>
    <d v="2016-07-31T00:00:00"/>
    <x v="3"/>
    <s v="RH-19495"/>
    <s v="Rick Hansen"/>
    <s v="Consumer"/>
    <x v="3"/>
    <x v="1"/>
    <n v="19.440000000000001"/>
    <n v="1944.0000000000002"/>
    <n v="388.80000000000007"/>
  </r>
  <r>
    <n v="1005"/>
    <s v="CA-2016-126445"/>
    <x v="375"/>
    <d v="2016-08-31T00:00:00"/>
    <x v="1"/>
    <s v="RA-19945"/>
    <s v="Ryan Akin"/>
    <s v="Consumer"/>
    <x v="1"/>
    <x v="1"/>
    <n v="484.65"/>
    <n v="48465"/>
    <n v="9693"/>
  </r>
  <r>
    <n v="1006"/>
    <s v="CA-2016-111199"/>
    <x v="50"/>
    <d v="2016-11-17T00:00:00"/>
    <x v="1"/>
    <s v="JK-15730"/>
    <s v="Joe Kamberova"/>
    <s v="Consumer"/>
    <x v="0"/>
    <x v="1"/>
    <n v="115.29600000000001"/>
    <n v="11529.6"/>
    <n v="2305.92"/>
  </r>
  <r>
    <n v="1007"/>
    <s v="CA-2016-105312"/>
    <x v="376"/>
    <d v="2016-11-09T00:00:00"/>
    <x v="2"/>
    <s v="MT-17815"/>
    <s v="Meg Tillman"/>
    <s v="Consumer"/>
    <x v="1"/>
    <x v="1"/>
    <n v="7.08"/>
    <n v="708"/>
    <n v="141.6"/>
  </r>
  <r>
    <n v="1008"/>
    <s v="CA-2016-105312"/>
    <x v="376"/>
    <d v="2016-11-09T00:00:00"/>
    <x v="2"/>
    <s v="MT-17815"/>
    <s v="Meg Tillman"/>
    <s v="Consumer"/>
    <x v="1"/>
    <x v="1"/>
    <n v="4.4009999999999998"/>
    <n v="440.09999999999997"/>
    <n v="88.02"/>
  </r>
  <r>
    <n v="1009"/>
    <s v="US-2018-106705"/>
    <x v="377"/>
    <d v="2019-01-01T00:00:00"/>
    <x v="1"/>
    <s v="PO-18850"/>
    <s v="Patrick O'Brill"/>
    <s v="Consumer"/>
    <x v="2"/>
    <x v="1"/>
    <n v="44.75"/>
    <n v="4475"/>
    <n v="895"/>
  </r>
  <r>
    <n v="1010"/>
    <s v="CA-2018-135034"/>
    <x v="378"/>
    <d v="2018-08-03T00:00:00"/>
    <x v="2"/>
    <s v="AT-10735"/>
    <s v="Annie Thurman"/>
    <s v="Consumer"/>
    <x v="2"/>
    <x v="2"/>
    <n v="95.983999999999995"/>
    <n v="9598.4"/>
    <n v="1919.68"/>
  </r>
  <r>
    <n v="1011"/>
    <s v="CA-2015-158540"/>
    <x v="156"/>
    <d v="2015-11-26T00:00:00"/>
    <x v="2"/>
    <s v="VG-21790"/>
    <s v="Vivek Gonzalez"/>
    <s v="Consumer"/>
    <x v="1"/>
    <x v="0"/>
    <n v="151.72"/>
    <n v="15172"/>
    <n v="3034.4"/>
  </r>
  <r>
    <n v="1012"/>
    <s v="CA-2018-118437"/>
    <x v="46"/>
    <d v="2018-06-21T00:00:00"/>
    <x v="0"/>
    <s v="PF-19165"/>
    <s v="Philip Fox"/>
    <s v="Consumer"/>
    <x v="1"/>
    <x v="0"/>
    <n v="155.25"/>
    <n v="15525"/>
    <n v="3105"/>
  </r>
  <r>
    <n v="1013"/>
    <s v="CA-2018-118437"/>
    <x v="46"/>
    <d v="2018-06-21T00:00:00"/>
    <x v="0"/>
    <s v="PF-19165"/>
    <s v="Philip Fox"/>
    <s v="Consumer"/>
    <x v="1"/>
    <x v="1"/>
    <n v="14.03"/>
    <n v="1403"/>
    <n v="280.60000000000002"/>
  </r>
  <r>
    <n v="1014"/>
    <s v="US-2016-126214"/>
    <x v="379"/>
    <d v="2016-12-24T00:00:00"/>
    <x v="0"/>
    <s v="JS-15880"/>
    <s v="John Stevenson"/>
    <s v="Consumer"/>
    <x v="1"/>
    <x v="0"/>
    <n v="1618.37"/>
    <n v="161837"/>
    <n v="32367.4"/>
  </r>
  <r>
    <n v="1015"/>
    <s v="US-2016-126214"/>
    <x v="379"/>
    <d v="2016-12-24T00:00:00"/>
    <x v="0"/>
    <s v="JS-15880"/>
    <s v="John Stevenson"/>
    <s v="Consumer"/>
    <x v="1"/>
    <x v="2"/>
    <n v="99.6"/>
    <n v="9960"/>
    <n v="1992"/>
  </r>
  <r>
    <n v="1016"/>
    <s v="CA-2016-133025"/>
    <x v="14"/>
    <d v="2016-09-19T00:00:00"/>
    <x v="0"/>
    <s v="MO-17800"/>
    <s v="Meg O'Connel"/>
    <s v="Home Office"/>
    <x v="1"/>
    <x v="1"/>
    <n v="32.4"/>
    <n v="3240"/>
    <n v="648"/>
  </r>
  <r>
    <n v="1017"/>
    <s v="CA-2016-108665"/>
    <x v="380"/>
    <d v="2016-07-10T00:00:00"/>
    <x v="1"/>
    <s v="KM-16225"/>
    <s v="Kalyca Meade"/>
    <s v="Corporate"/>
    <x v="3"/>
    <x v="0"/>
    <n v="13.96"/>
    <n v="1396"/>
    <n v="279.2"/>
  </r>
  <r>
    <n v="1018"/>
    <s v="CA-2016-108665"/>
    <x v="380"/>
    <d v="2016-07-10T00:00:00"/>
    <x v="1"/>
    <s v="KM-16225"/>
    <s v="Kalyca Meade"/>
    <s v="Corporate"/>
    <x v="3"/>
    <x v="0"/>
    <n v="155.82"/>
    <n v="15582"/>
    <n v="3116.4"/>
  </r>
  <r>
    <n v="1019"/>
    <s v="CA-2016-108665"/>
    <x v="380"/>
    <d v="2016-07-10T00:00:00"/>
    <x v="1"/>
    <s v="KM-16225"/>
    <s v="Kalyca Meade"/>
    <s v="Corporate"/>
    <x v="3"/>
    <x v="2"/>
    <n v="124.95"/>
    <n v="12495"/>
    <n v="2499"/>
  </r>
  <r>
    <n v="1020"/>
    <s v="CA-2016-108665"/>
    <x v="380"/>
    <d v="2016-07-10T00:00:00"/>
    <x v="1"/>
    <s v="KM-16225"/>
    <s v="Kalyca Meade"/>
    <s v="Corporate"/>
    <x v="3"/>
    <x v="1"/>
    <n v="601.65"/>
    <n v="60165"/>
    <n v="12033"/>
  </r>
  <r>
    <n v="1021"/>
    <s v="CA-2016-124450"/>
    <x v="381"/>
    <d v="2016-05-03T00:00:00"/>
    <x v="1"/>
    <s v="GT-14710"/>
    <s v="Greg Tran"/>
    <s v="Consumer"/>
    <x v="3"/>
    <x v="1"/>
    <n v="22.74"/>
    <n v="2274"/>
    <n v="454.8"/>
  </r>
  <r>
    <n v="1022"/>
    <s v="CA-2016-124450"/>
    <x v="381"/>
    <d v="2016-05-03T00:00:00"/>
    <x v="1"/>
    <s v="GT-14710"/>
    <s v="Greg Tran"/>
    <s v="Consumer"/>
    <x v="3"/>
    <x v="0"/>
    <n v="1267.53"/>
    <n v="126753"/>
    <n v="25350.600000000002"/>
  </r>
  <r>
    <n v="1023"/>
    <s v="CA-2016-124450"/>
    <x v="381"/>
    <d v="2016-05-03T00:00:00"/>
    <x v="1"/>
    <s v="GT-14710"/>
    <s v="Greg Tran"/>
    <s v="Consumer"/>
    <x v="3"/>
    <x v="2"/>
    <n v="1379.92"/>
    <n v="137992"/>
    <n v="27598.400000000001"/>
  </r>
  <r>
    <n v="1024"/>
    <s v="CA-2016-167269"/>
    <x v="382"/>
    <d v="2016-06-20T00:00:00"/>
    <x v="1"/>
    <s v="PB-19150"/>
    <s v="Philip Brown"/>
    <s v="Consumer"/>
    <x v="3"/>
    <x v="1"/>
    <n v="6.2080000000000002"/>
    <n v="620.80000000000007"/>
    <n v="124.16000000000003"/>
  </r>
  <r>
    <n v="1025"/>
    <s v="CA-2018-106964"/>
    <x v="94"/>
    <d v="2018-12-20T00:00:00"/>
    <x v="2"/>
    <s v="HR-14770"/>
    <s v="Hallie Redmond"/>
    <s v="Home Office"/>
    <x v="1"/>
    <x v="1"/>
    <n v="11.808"/>
    <n v="1180.8"/>
    <n v="236.16"/>
  </r>
  <r>
    <n v="1026"/>
    <s v="CA-2017-126529"/>
    <x v="383"/>
    <d v="2017-01-13T00:00:00"/>
    <x v="0"/>
    <s v="DE-13255"/>
    <s v="Deanra Eno"/>
    <s v="Home Office"/>
    <x v="3"/>
    <x v="1"/>
    <n v="15.552"/>
    <n v="1555.2"/>
    <n v="311.04000000000002"/>
  </r>
  <r>
    <n v="1027"/>
    <s v="CA-2017-126529"/>
    <x v="383"/>
    <d v="2017-01-13T00:00:00"/>
    <x v="0"/>
    <s v="DE-13255"/>
    <s v="Deanra Eno"/>
    <s v="Home Office"/>
    <x v="3"/>
    <x v="1"/>
    <n v="63.311999999999998"/>
    <n v="6331.2"/>
    <n v="1266.24"/>
  </r>
  <r>
    <n v="1028"/>
    <s v="CA-2017-126529"/>
    <x v="383"/>
    <d v="2017-01-13T00:00:00"/>
    <x v="0"/>
    <s v="DE-13255"/>
    <s v="Deanra Eno"/>
    <s v="Home Office"/>
    <x v="3"/>
    <x v="2"/>
    <n v="15.587999999999999"/>
    <n v="1558.8"/>
    <n v="311.76"/>
  </r>
  <r>
    <n v="1029"/>
    <s v="CA-2015-163552"/>
    <x v="384"/>
    <d v="2015-07-15T00:00:00"/>
    <x v="1"/>
    <s v="LA-16780"/>
    <s v="Laura Armstrong"/>
    <s v="Corporate"/>
    <x v="3"/>
    <x v="1"/>
    <n v="177.2"/>
    <n v="17720"/>
    <n v="3544"/>
  </r>
  <r>
    <n v="1030"/>
    <s v="CA-2015-163552"/>
    <x v="384"/>
    <d v="2015-07-15T00:00:00"/>
    <x v="1"/>
    <s v="LA-16780"/>
    <s v="Laura Armstrong"/>
    <s v="Corporate"/>
    <x v="3"/>
    <x v="2"/>
    <n v="197.97"/>
    <n v="19797"/>
    <n v="3959.4"/>
  </r>
  <r>
    <n v="1031"/>
    <s v="CA-2015-163552"/>
    <x v="384"/>
    <d v="2015-07-15T00:00:00"/>
    <x v="1"/>
    <s v="LA-16780"/>
    <s v="Laura Armstrong"/>
    <s v="Corporate"/>
    <x v="3"/>
    <x v="0"/>
    <n v="854.94"/>
    <n v="85494"/>
    <n v="17098.8"/>
  </r>
  <r>
    <n v="1032"/>
    <s v="CA-2015-163552"/>
    <x v="384"/>
    <d v="2015-07-15T00:00:00"/>
    <x v="1"/>
    <s v="LA-16780"/>
    <s v="Laura Armstrong"/>
    <s v="Corporate"/>
    <x v="3"/>
    <x v="0"/>
    <n v="124.11"/>
    <n v="12411"/>
    <n v="2482.2000000000003"/>
  </r>
  <r>
    <n v="1033"/>
    <s v="CA-2015-163552"/>
    <x v="384"/>
    <d v="2015-07-15T00:00:00"/>
    <x v="1"/>
    <s v="LA-16780"/>
    <s v="Laura Armstrong"/>
    <s v="Corporate"/>
    <x v="3"/>
    <x v="1"/>
    <n v="14.4"/>
    <n v="1440"/>
    <n v="288"/>
  </r>
  <r>
    <n v="1034"/>
    <s v="CA-2017-109820"/>
    <x v="73"/>
    <d v="2017-11-22T00:00:00"/>
    <x v="2"/>
    <s v="AG-10390"/>
    <s v="Allen Goldenen"/>
    <s v="Consumer"/>
    <x v="3"/>
    <x v="1"/>
    <n v="15.696"/>
    <n v="1569.6"/>
    <n v="313.92"/>
  </r>
  <r>
    <n v="1035"/>
    <s v="CA-2017-109820"/>
    <x v="73"/>
    <d v="2017-11-22T00:00:00"/>
    <x v="2"/>
    <s v="AG-10390"/>
    <s v="Allen Goldenen"/>
    <s v="Consumer"/>
    <x v="3"/>
    <x v="1"/>
    <n v="2.6280000000000001"/>
    <n v="262.8"/>
    <n v="52.56"/>
  </r>
  <r>
    <n v="1036"/>
    <s v="CA-2017-109820"/>
    <x v="73"/>
    <d v="2017-11-22T00:00:00"/>
    <x v="2"/>
    <s v="AG-10390"/>
    <s v="Allen Goldenen"/>
    <s v="Consumer"/>
    <x v="3"/>
    <x v="1"/>
    <n v="14.427"/>
    <n v="1442.7"/>
    <n v="288.54000000000002"/>
  </r>
  <r>
    <n v="1037"/>
    <s v="CA-2017-113061"/>
    <x v="183"/>
    <d v="2017-04-26T00:00:00"/>
    <x v="1"/>
    <s v="EL-13735"/>
    <s v="Ed Ludwig"/>
    <s v="Home Office"/>
    <x v="2"/>
    <x v="0"/>
    <n v="86.62"/>
    <n v="8662"/>
    <n v="1732.4"/>
  </r>
  <r>
    <n v="1038"/>
    <s v="CA-2016-127418"/>
    <x v="385"/>
    <d v="2016-06-14T00:00:00"/>
    <x v="2"/>
    <s v="JJ-15445"/>
    <s v="Jennifer Jackson"/>
    <s v="Consumer"/>
    <x v="1"/>
    <x v="1"/>
    <n v="36.624000000000002"/>
    <n v="3662.4"/>
    <n v="732.48"/>
  </r>
  <r>
    <n v="1039"/>
    <s v="CA-2018-121818"/>
    <x v="225"/>
    <d v="2018-11-21T00:00:00"/>
    <x v="2"/>
    <s v="JH-15430"/>
    <s v="Jennifer Halladay"/>
    <s v="Consumer"/>
    <x v="0"/>
    <x v="1"/>
    <n v="23.968"/>
    <n v="2396.8000000000002"/>
    <n v="479.36000000000007"/>
  </r>
  <r>
    <n v="1040"/>
    <s v="CA-2018-121818"/>
    <x v="225"/>
    <d v="2018-11-21T00:00:00"/>
    <x v="2"/>
    <s v="JH-15430"/>
    <s v="Jennifer Halladay"/>
    <s v="Consumer"/>
    <x v="0"/>
    <x v="1"/>
    <n v="28.728000000000002"/>
    <n v="2872.8"/>
    <n v="574.56000000000006"/>
  </r>
  <r>
    <n v="1041"/>
    <s v="CA-2017-127670"/>
    <x v="231"/>
    <d v="2017-03-24T00:00:00"/>
    <x v="1"/>
    <s v="RD-19660"/>
    <s v="Robert Dilbeck"/>
    <s v="Home Office"/>
    <x v="2"/>
    <x v="0"/>
    <n v="697.16"/>
    <n v="69716"/>
    <n v="13943.2"/>
  </r>
  <r>
    <n v="1042"/>
    <s v="CA-2017-102981"/>
    <x v="47"/>
    <d v="2017-09-09T00:00:00"/>
    <x v="0"/>
    <s v="MO-17500"/>
    <s v="Mary O'Rourke"/>
    <s v="Consumer"/>
    <x v="3"/>
    <x v="2"/>
    <n v="31.86"/>
    <n v="3186"/>
    <n v="637.20000000000005"/>
  </r>
  <r>
    <n v="1043"/>
    <s v="CA-2017-102981"/>
    <x v="47"/>
    <d v="2017-09-09T00:00:00"/>
    <x v="0"/>
    <s v="MO-17500"/>
    <s v="Mary O'Rourke"/>
    <s v="Consumer"/>
    <x v="3"/>
    <x v="0"/>
    <n v="722.35199999999998"/>
    <n v="72235.199999999997"/>
    <n v="14447.04"/>
  </r>
  <r>
    <n v="1044"/>
    <s v="CA-2018-115651"/>
    <x v="362"/>
    <d v="2018-07-12T00:00:00"/>
    <x v="2"/>
    <s v="NS-18640"/>
    <s v="Noel Staavos"/>
    <s v="Corporate"/>
    <x v="2"/>
    <x v="1"/>
    <n v="8.84"/>
    <n v="884"/>
    <n v="176.8"/>
  </r>
  <r>
    <n v="1045"/>
    <s v="CA-2018-115651"/>
    <x v="362"/>
    <d v="2018-07-12T00:00:00"/>
    <x v="2"/>
    <s v="NS-18640"/>
    <s v="Noel Staavos"/>
    <s v="Corporate"/>
    <x v="2"/>
    <x v="1"/>
    <n v="58.463999999999999"/>
    <n v="5846.4"/>
    <n v="1169.28"/>
  </r>
  <r>
    <n v="1046"/>
    <s v="CA-2018-152702"/>
    <x v="386"/>
    <d v="2018-10-16T00:00:00"/>
    <x v="1"/>
    <s v="SN-20710"/>
    <s v="Steve Nguyen"/>
    <s v="Home Office"/>
    <x v="2"/>
    <x v="0"/>
    <n v="254.60400000000001"/>
    <n v="25460.400000000001"/>
    <n v="5092.0800000000008"/>
  </r>
  <r>
    <n v="1047"/>
    <s v="CA-2017-169103"/>
    <x v="387"/>
    <d v="2017-03-13T00:00:00"/>
    <x v="1"/>
    <s v="ZC-21910"/>
    <s v="Zuschuss Carroll"/>
    <s v="Consumer"/>
    <x v="0"/>
    <x v="2"/>
    <n v="1363.96"/>
    <n v="136396"/>
    <n v="27279.200000000001"/>
  </r>
  <r>
    <n v="1048"/>
    <s v="CA-2017-169103"/>
    <x v="387"/>
    <d v="2017-03-13T00:00:00"/>
    <x v="1"/>
    <s v="ZC-21910"/>
    <s v="Zuschuss Carroll"/>
    <s v="Consumer"/>
    <x v="0"/>
    <x v="0"/>
    <n v="102.36"/>
    <n v="10236"/>
    <n v="2047.2"/>
  </r>
  <r>
    <n v="1049"/>
    <s v="CA-2015-139192"/>
    <x v="279"/>
    <d v="2015-06-01T00:00:00"/>
    <x v="0"/>
    <s v="LC-16885"/>
    <s v="Lena Creighton"/>
    <s v="Consumer"/>
    <x v="1"/>
    <x v="2"/>
    <n v="1113.5039999999999"/>
    <n v="111350.39999999999"/>
    <n v="22270.080000000002"/>
  </r>
  <r>
    <n v="1050"/>
    <s v="CA-2015-139192"/>
    <x v="279"/>
    <d v="2015-06-01T00:00:00"/>
    <x v="0"/>
    <s v="LC-16885"/>
    <s v="Lena Creighton"/>
    <s v="Consumer"/>
    <x v="1"/>
    <x v="2"/>
    <n v="99.99"/>
    <n v="9999"/>
    <n v="1999.8000000000002"/>
  </r>
  <r>
    <n v="1051"/>
    <s v="US-2016-153500"/>
    <x v="230"/>
    <d v="2016-07-05T00:00:00"/>
    <x v="2"/>
    <s v="DG-13300"/>
    <s v="Deirdre Greer"/>
    <s v="Corporate"/>
    <x v="3"/>
    <x v="0"/>
    <n v="168.464"/>
    <n v="16846.400000000001"/>
    <n v="3369.2800000000007"/>
  </r>
  <r>
    <n v="1052"/>
    <s v="US-2016-153500"/>
    <x v="230"/>
    <d v="2016-07-05T00:00:00"/>
    <x v="2"/>
    <s v="DG-13300"/>
    <s v="Deirdre Greer"/>
    <s v="Corporate"/>
    <x v="3"/>
    <x v="1"/>
    <n v="6.72"/>
    <n v="672"/>
    <n v="134.4"/>
  </r>
  <r>
    <n v="1053"/>
    <s v="US-2016-153500"/>
    <x v="230"/>
    <d v="2016-07-05T00:00:00"/>
    <x v="2"/>
    <s v="DG-13300"/>
    <s v="Deirdre Greer"/>
    <s v="Corporate"/>
    <x v="3"/>
    <x v="0"/>
    <n v="282.88799999999998"/>
    <n v="28288.799999999999"/>
    <n v="5657.76"/>
  </r>
  <r>
    <n v="1054"/>
    <s v="CA-2016-110667"/>
    <x v="388"/>
    <d v="2016-04-08T00:00:00"/>
    <x v="1"/>
    <s v="NF-18595"/>
    <s v="Nicole Fjeld"/>
    <s v="Home Office"/>
    <x v="3"/>
    <x v="1"/>
    <n v="11.16"/>
    <n v="1116"/>
    <n v="223.20000000000002"/>
  </r>
  <r>
    <n v="1055"/>
    <s v="CA-2016-110667"/>
    <x v="388"/>
    <d v="2016-04-08T00:00:00"/>
    <x v="1"/>
    <s v="NF-18595"/>
    <s v="Nicole Fjeld"/>
    <s v="Home Office"/>
    <x v="3"/>
    <x v="0"/>
    <n v="108.4"/>
    <n v="10840"/>
    <n v="2168"/>
  </r>
  <r>
    <n v="1056"/>
    <s v="CA-2016-110667"/>
    <x v="388"/>
    <d v="2016-04-08T00:00:00"/>
    <x v="1"/>
    <s v="NF-18595"/>
    <s v="Nicole Fjeld"/>
    <s v="Home Office"/>
    <x v="3"/>
    <x v="1"/>
    <n v="82.343999999999994"/>
    <n v="8234.4"/>
    <n v="1646.88"/>
  </r>
  <r>
    <n v="1057"/>
    <s v="CA-2016-110667"/>
    <x v="388"/>
    <d v="2016-04-08T00:00:00"/>
    <x v="1"/>
    <s v="NF-18595"/>
    <s v="Nicole Fjeld"/>
    <s v="Home Office"/>
    <x v="3"/>
    <x v="1"/>
    <n v="9.0879999999999992"/>
    <n v="908.8"/>
    <n v="181.76"/>
  </r>
  <r>
    <n v="1058"/>
    <s v="CA-2018-167150"/>
    <x v="389"/>
    <d v="2018-12-17T00:00:00"/>
    <x v="1"/>
    <s v="BP-11185"/>
    <s v="Ben Peterman"/>
    <s v="Corporate"/>
    <x v="1"/>
    <x v="1"/>
    <n v="19.936"/>
    <n v="1993.6"/>
    <n v="398.72"/>
  </r>
  <r>
    <n v="1059"/>
    <s v="CA-2018-167150"/>
    <x v="389"/>
    <d v="2018-12-17T00:00:00"/>
    <x v="1"/>
    <s v="BP-11185"/>
    <s v="Ben Peterman"/>
    <s v="Corporate"/>
    <x v="1"/>
    <x v="1"/>
    <n v="65.567999999999998"/>
    <n v="6556.8"/>
    <n v="1311.3600000000001"/>
  </r>
  <r>
    <n v="1060"/>
    <s v="CA-2017-105284"/>
    <x v="390"/>
    <d v="2017-12-01T00:00:00"/>
    <x v="1"/>
    <s v="MG-17650"/>
    <s v="Matthew Grinstein"/>
    <s v="Home Office"/>
    <x v="3"/>
    <x v="1"/>
    <n v="4.4160000000000004"/>
    <n v="441.6"/>
    <n v="88.320000000000007"/>
  </r>
  <r>
    <n v="1061"/>
    <s v="US-2016-125374"/>
    <x v="391"/>
    <d v="2016-03-29T00:00:00"/>
    <x v="1"/>
    <s v="JD-16060"/>
    <s v="Julia Dunbar"/>
    <s v="Consumer"/>
    <x v="2"/>
    <x v="0"/>
    <n v="107.77200000000001"/>
    <n v="10777.2"/>
    <n v="2155.44"/>
  </r>
  <r>
    <n v="1062"/>
    <s v="CA-2016-161263"/>
    <x v="392"/>
    <d v="2016-04-21T00:00:00"/>
    <x v="1"/>
    <s v="TS-21160"/>
    <s v="Theresa Swint"/>
    <s v="Corporate"/>
    <x v="3"/>
    <x v="1"/>
    <n v="45.216000000000001"/>
    <n v="4521.6000000000004"/>
    <n v="904.32000000000016"/>
  </r>
  <r>
    <n v="1063"/>
    <s v="CA-2016-161263"/>
    <x v="392"/>
    <d v="2016-04-21T00:00:00"/>
    <x v="1"/>
    <s v="TS-21160"/>
    <s v="Theresa Swint"/>
    <s v="Corporate"/>
    <x v="3"/>
    <x v="1"/>
    <n v="10.416"/>
    <n v="1041.6000000000001"/>
    <n v="208.32000000000005"/>
  </r>
  <r>
    <n v="1064"/>
    <s v="CA-2016-161263"/>
    <x v="392"/>
    <d v="2016-04-21T00:00:00"/>
    <x v="1"/>
    <s v="TS-21160"/>
    <s v="Theresa Swint"/>
    <s v="Corporate"/>
    <x v="3"/>
    <x v="1"/>
    <n v="7.8719999999999999"/>
    <n v="787.2"/>
    <n v="157.44000000000003"/>
  </r>
  <r>
    <n v="1065"/>
    <s v="CA-2016-161263"/>
    <x v="392"/>
    <d v="2016-04-21T00:00:00"/>
    <x v="1"/>
    <s v="TS-21160"/>
    <s v="Theresa Swint"/>
    <s v="Corporate"/>
    <x v="3"/>
    <x v="2"/>
    <n v="118.782"/>
    <n v="11878.199999999999"/>
    <n v="2375.64"/>
  </r>
  <r>
    <n v="1066"/>
    <s v="CA-2016-161263"/>
    <x v="392"/>
    <d v="2016-04-21T00:00:00"/>
    <x v="1"/>
    <s v="TS-21160"/>
    <s v="Theresa Swint"/>
    <s v="Corporate"/>
    <x v="3"/>
    <x v="1"/>
    <n v="1.448"/>
    <n v="144.79999999999998"/>
    <n v="28.959999999999997"/>
  </r>
  <r>
    <n v="1067"/>
    <s v="CA-2016-161263"/>
    <x v="392"/>
    <d v="2016-04-21T00:00:00"/>
    <x v="1"/>
    <s v="TS-21160"/>
    <s v="Theresa Swint"/>
    <s v="Corporate"/>
    <x v="3"/>
    <x v="1"/>
    <n v="55.47"/>
    <n v="5547"/>
    <n v="1109.4000000000001"/>
  </r>
  <r>
    <n v="1068"/>
    <s v="CA-2017-157686"/>
    <x v="393"/>
    <d v="2017-10-02T00:00:00"/>
    <x v="2"/>
    <s v="BD-11620"/>
    <s v="Brian DeCherney"/>
    <s v="Consumer"/>
    <x v="1"/>
    <x v="0"/>
    <n v="194.84800000000001"/>
    <n v="19484.800000000003"/>
    <n v="3896.9600000000009"/>
  </r>
  <r>
    <n v="1069"/>
    <s v="US-2018-139955"/>
    <x v="394"/>
    <d v="2018-09-30T00:00:00"/>
    <x v="0"/>
    <s v="CM-12160"/>
    <s v="Charles McCrossin"/>
    <s v="Consumer"/>
    <x v="2"/>
    <x v="1"/>
    <n v="1.744"/>
    <n v="174.4"/>
    <n v="34.880000000000003"/>
  </r>
  <r>
    <n v="1070"/>
    <s v="US-2016-150161"/>
    <x v="395"/>
    <d v="2016-07-29T00:00:00"/>
    <x v="1"/>
    <s v="RB-19795"/>
    <s v="Ross Baird"/>
    <s v="Home Office"/>
    <x v="3"/>
    <x v="1"/>
    <n v="25.175999999999998"/>
    <n v="2517.6"/>
    <n v="503.52"/>
  </r>
  <r>
    <n v="1071"/>
    <s v="CA-2016-144652"/>
    <x v="312"/>
    <d v="2016-11-26T00:00:00"/>
    <x v="1"/>
    <s v="SN-20560"/>
    <s v="Skye Norling"/>
    <s v="Home Office"/>
    <x v="1"/>
    <x v="1"/>
    <n v="19.46"/>
    <n v="1946"/>
    <n v="389.20000000000005"/>
  </r>
  <r>
    <n v="1072"/>
    <s v="CA-2017-152814"/>
    <x v="236"/>
    <d v="2017-05-02T00:00:00"/>
    <x v="1"/>
    <s v="EH-14005"/>
    <s v="Erica Hernandez"/>
    <s v="Home Office"/>
    <x v="1"/>
    <x v="1"/>
    <n v="29.472000000000001"/>
    <n v="2947.2000000000003"/>
    <n v="589.44000000000005"/>
  </r>
  <r>
    <n v="1073"/>
    <s v="CA-2018-106943"/>
    <x v="237"/>
    <d v="2018-11-19T00:00:00"/>
    <x v="1"/>
    <s v="FO-14305"/>
    <s v="Frank Olsen"/>
    <s v="Consumer"/>
    <x v="3"/>
    <x v="1"/>
    <n v="8.64"/>
    <n v="864"/>
    <n v="172.8"/>
  </r>
  <r>
    <n v="1074"/>
    <s v="CA-2017-134348"/>
    <x v="396"/>
    <d v="2017-11-19T00:00:00"/>
    <x v="1"/>
    <s v="MS-17710"/>
    <s v="Maurice Satty"/>
    <s v="Consumer"/>
    <x v="1"/>
    <x v="1"/>
    <n v="6.27"/>
    <n v="627"/>
    <n v="125.4"/>
  </r>
  <r>
    <n v="1075"/>
    <s v="CA-2017-134348"/>
    <x v="396"/>
    <d v="2017-11-19T00:00:00"/>
    <x v="1"/>
    <s v="MS-17710"/>
    <s v="Maurice Satty"/>
    <s v="Consumer"/>
    <x v="1"/>
    <x v="1"/>
    <n v="4.3680000000000003"/>
    <n v="436.8"/>
    <n v="87.360000000000014"/>
  </r>
  <r>
    <n v="1076"/>
    <s v="CA-2017-134348"/>
    <x v="396"/>
    <d v="2017-11-19T00:00:00"/>
    <x v="1"/>
    <s v="MS-17710"/>
    <s v="Maurice Satty"/>
    <s v="Consumer"/>
    <x v="1"/>
    <x v="2"/>
    <n v="31.984000000000002"/>
    <n v="3198.4"/>
    <n v="639.68000000000006"/>
  </r>
  <r>
    <n v="1077"/>
    <s v="CA-2017-161781"/>
    <x v="321"/>
    <d v="2017-09-30T00:00:00"/>
    <x v="2"/>
    <s v="CC-12100"/>
    <s v="Chad Cunningham"/>
    <s v="Home Office"/>
    <x v="2"/>
    <x v="1"/>
    <n v="40.880000000000003"/>
    <n v="4088.0000000000005"/>
    <n v="817.60000000000014"/>
  </r>
  <r>
    <n v="1078"/>
    <s v="CA-2018-132521"/>
    <x v="397"/>
    <d v="2018-09-25T00:00:00"/>
    <x v="0"/>
    <s v="DW-13540"/>
    <s v="Don Weiss"/>
    <s v="Consumer"/>
    <x v="1"/>
    <x v="1"/>
    <n v="119.96"/>
    <n v="11996"/>
    <n v="2399.2000000000003"/>
  </r>
  <r>
    <n v="1079"/>
    <s v="CA-2018-132521"/>
    <x v="397"/>
    <d v="2018-09-25T00:00:00"/>
    <x v="0"/>
    <s v="DW-13540"/>
    <s v="Don Weiss"/>
    <s v="Consumer"/>
    <x v="1"/>
    <x v="1"/>
    <n v="31.44"/>
    <n v="3144"/>
    <n v="628.80000000000007"/>
  </r>
  <r>
    <n v="1080"/>
    <s v="CA-2018-132521"/>
    <x v="397"/>
    <d v="2018-09-25T00:00:00"/>
    <x v="0"/>
    <s v="DW-13540"/>
    <s v="Don Weiss"/>
    <s v="Consumer"/>
    <x v="1"/>
    <x v="1"/>
    <n v="6.88"/>
    <n v="688"/>
    <n v="137.6"/>
  </r>
  <r>
    <n v="1081"/>
    <s v="CA-2016-110016"/>
    <x v="239"/>
    <d v="2016-12-04T00:00:00"/>
    <x v="1"/>
    <s v="BT-11395"/>
    <s v="Bill Tyler"/>
    <s v="Corporate"/>
    <x v="2"/>
    <x v="1"/>
    <n v="19.920000000000002"/>
    <n v="1992.0000000000002"/>
    <n v="398.40000000000009"/>
  </r>
  <r>
    <n v="1082"/>
    <s v="CA-2016-110016"/>
    <x v="239"/>
    <d v="2016-12-04T00:00:00"/>
    <x v="1"/>
    <s v="BT-11395"/>
    <s v="Bill Tyler"/>
    <s v="Corporate"/>
    <x v="2"/>
    <x v="0"/>
    <n v="1106.9100000000001"/>
    <n v="110691.00000000001"/>
    <n v="22138.200000000004"/>
  </r>
  <r>
    <n v="1083"/>
    <s v="US-2017-143819"/>
    <x v="398"/>
    <d v="2017-03-05T00:00:00"/>
    <x v="1"/>
    <s v="KD-16270"/>
    <s v="Karen Daniels"/>
    <s v="Consumer"/>
    <x v="3"/>
    <x v="0"/>
    <n v="836.59199999999998"/>
    <n v="83659.199999999997"/>
    <n v="16731.84"/>
  </r>
  <r>
    <n v="1084"/>
    <s v="US-2017-143819"/>
    <x v="398"/>
    <d v="2017-03-05T00:00:00"/>
    <x v="1"/>
    <s v="KD-16270"/>
    <s v="Karen Daniels"/>
    <s v="Consumer"/>
    <x v="3"/>
    <x v="1"/>
    <n v="26.38"/>
    <n v="2638"/>
    <n v="527.6"/>
  </r>
  <r>
    <n v="1085"/>
    <s v="US-2017-143819"/>
    <x v="398"/>
    <d v="2017-03-05T00:00:00"/>
    <x v="1"/>
    <s v="KD-16270"/>
    <s v="Karen Daniels"/>
    <s v="Consumer"/>
    <x v="3"/>
    <x v="1"/>
    <n v="362.92"/>
    <n v="36292"/>
    <n v="7258.4000000000005"/>
  </r>
  <r>
    <n v="1086"/>
    <s v="US-2017-143819"/>
    <x v="398"/>
    <d v="2017-03-05T00:00:00"/>
    <x v="1"/>
    <s v="KD-16270"/>
    <s v="Karen Daniels"/>
    <s v="Consumer"/>
    <x v="3"/>
    <x v="2"/>
    <n v="4899.93"/>
    <n v="489993"/>
    <n v="97998.6"/>
  </r>
  <r>
    <n v="1087"/>
    <s v="CA-2017-167584"/>
    <x v="399"/>
    <d v="2017-08-12T00:00:00"/>
    <x v="3"/>
    <s v="LC-16870"/>
    <s v="Lena Cacioppo"/>
    <s v="Consumer"/>
    <x v="2"/>
    <x v="1"/>
    <n v="6.48"/>
    <n v="648"/>
    <n v="129.6"/>
  </r>
  <r>
    <n v="1088"/>
    <s v="CA-2017-166163"/>
    <x v="243"/>
    <d v="2017-08-20T00:00:00"/>
    <x v="0"/>
    <s v="CY-12745"/>
    <s v="Craig Yedwab"/>
    <s v="Corporate"/>
    <x v="1"/>
    <x v="2"/>
    <n v="71.975999999999999"/>
    <n v="7197.6"/>
    <n v="1439.5200000000002"/>
  </r>
  <r>
    <n v="1089"/>
    <s v="CA-2017-166163"/>
    <x v="243"/>
    <d v="2017-08-20T00:00:00"/>
    <x v="0"/>
    <s v="CY-12745"/>
    <s v="Craig Yedwab"/>
    <s v="Corporate"/>
    <x v="1"/>
    <x v="1"/>
    <n v="3.15"/>
    <n v="315"/>
    <n v="63"/>
  </r>
  <r>
    <n v="1090"/>
    <s v="CA-2018-158407"/>
    <x v="400"/>
    <d v="2018-06-10T00:00:00"/>
    <x v="1"/>
    <s v="LW-16990"/>
    <s v="Lindsay Williams"/>
    <s v="Corporate"/>
    <x v="0"/>
    <x v="0"/>
    <n v="31.984000000000002"/>
    <n v="3198.4"/>
    <n v="639.68000000000006"/>
  </r>
  <r>
    <n v="1091"/>
    <s v="CA-2018-158407"/>
    <x v="400"/>
    <d v="2018-06-10T00:00:00"/>
    <x v="1"/>
    <s v="LW-16990"/>
    <s v="Lindsay Williams"/>
    <s v="Corporate"/>
    <x v="0"/>
    <x v="2"/>
    <n v="71.983999999999995"/>
    <n v="7198.4"/>
    <n v="1439.68"/>
  </r>
  <r>
    <n v="1092"/>
    <s v="CA-2016-143490"/>
    <x v="401"/>
    <d v="2016-12-13T00:00:00"/>
    <x v="1"/>
    <s v="NP-18325"/>
    <s v="Naresj Patel"/>
    <s v="Consumer"/>
    <x v="1"/>
    <x v="1"/>
    <n v="120.15"/>
    <n v="12015"/>
    <n v="2403"/>
  </r>
  <r>
    <n v="1093"/>
    <s v="CA-2016-143490"/>
    <x v="401"/>
    <d v="2016-12-13T00:00:00"/>
    <x v="1"/>
    <s v="NP-18325"/>
    <s v="Naresj Patel"/>
    <s v="Consumer"/>
    <x v="1"/>
    <x v="2"/>
    <n v="219.184"/>
    <n v="21918.400000000001"/>
    <n v="4383.68"/>
  </r>
  <r>
    <n v="1094"/>
    <s v="CA-2016-165085"/>
    <x v="17"/>
    <d v="2016-12-31T00:00:00"/>
    <x v="1"/>
    <s v="BT-11485"/>
    <s v="Brad Thomas"/>
    <s v="Home Office"/>
    <x v="3"/>
    <x v="1"/>
    <n v="28.9"/>
    <n v="2890"/>
    <n v="578"/>
  </r>
  <r>
    <n v="1095"/>
    <s v="CA-2016-165085"/>
    <x v="17"/>
    <d v="2016-12-31T00:00:00"/>
    <x v="1"/>
    <s v="BT-11485"/>
    <s v="Brad Thomas"/>
    <s v="Home Office"/>
    <x v="3"/>
    <x v="1"/>
    <n v="355.96"/>
    <n v="35596"/>
    <n v="7119.2000000000007"/>
  </r>
  <r>
    <n v="1096"/>
    <s v="CA-2018-160423"/>
    <x v="276"/>
    <d v="2018-01-26T00:00:00"/>
    <x v="1"/>
    <s v="PS-19045"/>
    <s v="Penelope Sewall"/>
    <s v="Home Office"/>
    <x v="0"/>
    <x v="1"/>
    <n v="348.20800000000003"/>
    <n v="34820.800000000003"/>
    <n v="6964.1600000000008"/>
  </r>
  <r>
    <n v="1097"/>
    <s v="CA-2018-160423"/>
    <x v="276"/>
    <d v="2018-01-26T00:00:00"/>
    <x v="1"/>
    <s v="PS-19045"/>
    <s v="Penelope Sewall"/>
    <s v="Home Office"/>
    <x v="0"/>
    <x v="1"/>
    <n v="35.783999999999999"/>
    <n v="3578.4"/>
    <n v="715.68000000000006"/>
  </r>
  <r>
    <n v="1098"/>
    <s v="CA-2015-159338"/>
    <x v="402"/>
    <d v="2015-06-28T00:00:00"/>
    <x v="2"/>
    <s v="NS-18640"/>
    <s v="Noel Staavos"/>
    <s v="Corporate"/>
    <x v="1"/>
    <x v="0"/>
    <n v="447.84"/>
    <n v="44784"/>
    <n v="8956.8000000000011"/>
  </r>
  <r>
    <n v="1099"/>
    <s v="CA-2017-107216"/>
    <x v="403"/>
    <d v="2017-06-17T00:00:00"/>
    <x v="2"/>
    <s v="PV-18985"/>
    <s v="Paul Van Hugh"/>
    <s v="Home Office"/>
    <x v="1"/>
    <x v="1"/>
    <n v="7.04"/>
    <n v="704"/>
    <n v="140.80000000000001"/>
  </r>
  <r>
    <n v="1100"/>
    <s v="CA-2017-107216"/>
    <x v="403"/>
    <d v="2017-06-17T00:00:00"/>
    <x v="2"/>
    <s v="PV-18985"/>
    <s v="Paul Van Hugh"/>
    <s v="Home Office"/>
    <x v="1"/>
    <x v="0"/>
    <n v="8.73"/>
    <n v="873"/>
    <n v="174.60000000000002"/>
  </r>
  <r>
    <n v="1101"/>
    <s v="CA-2017-107216"/>
    <x v="403"/>
    <d v="2017-06-17T00:00:00"/>
    <x v="2"/>
    <s v="PV-18985"/>
    <s v="Paul Van Hugh"/>
    <s v="Home Office"/>
    <x v="1"/>
    <x v="2"/>
    <n v="29.29"/>
    <n v="2929"/>
    <n v="585.80000000000007"/>
  </r>
  <r>
    <n v="1102"/>
    <s v="CA-2017-107216"/>
    <x v="403"/>
    <d v="2017-06-17T00:00:00"/>
    <x v="2"/>
    <s v="PV-18985"/>
    <s v="Paul Van Hugh"/>
    <s v="Home Office"/>
    <x v="1"/>
    <x v="1"/>
    <n v="8.64"/>
    <n v="864"/>
    <n v="172.8"/>
  </r>
  <r>
    <n v="1103"/>
    <s v="US-2018-145863"/>
    <x v="81"/>
    <d v="2018-04-27T00:00:00"/>
    <x v="1"/>
    <s v="RP-19390"/>
    <s v="Resi PÃ¶lking"/>
    <s v="Consumer"/>
    <x v="2"/>
    <x v="1"/>
    <n v="2.694"/>
    <n v="269.39999999999998"/>
    <n v="53.879999999999995"/>
  </r>
  <r>
    <n v="1104"/>
    <s v="US-2018-145863"/>
    <x v="81"/>
    <d v="2018-04-27T00:00:00"/>
    <x v="1"/>
    <s v="RP-19390"/>
    <s v="Resi PÃ¶lking"/>
    <s v="Consumer"/>
    <x v="2"/>
    <x v="1"/>
    <n v="2.9340000000000002"/>
    <n v="293.40000000000003"/>
    <n v="58.680000000000007"/>
  </r>
  <r>
    <n v="1105"/>
    <s v="CA-2017-112340"/>
    <x v="147"/>
    <d v="2017-10-27T00:00:00"/>
    <x v="1"/>
    <s v="NM-18520"/>
    <s v="Neoma Murray"/>
    <s v="Consumer"/>
    <x v="1"/>
    <x v="1"/>
    <n v="22.92"/>
    <n v="2292"/>
    <n v="458.40000000000003"/>
  </r>
  <r>
    <n v="1106"/>
    <s v="US-2017-110156"/>
    <x v="258"/>
    <d v="2017-11-24T00:00:00"/>
    <x v="1"/>
    <s v="EH-13945"/>
    <s v="Eric Hoffmann"/>
    <s v="Consumer"/>
    <x v="2"/>
    <x v="1"/>
    <n v="100.70399999999999"/>
    <n v="10070.4"/>
    <n v="2014.08"/>
  </r>
  <r>
    <n v="1107"/>
    <s v="US-2017-110156"/>
    <x v="258"/>
    <d v="2017-11-24T00:00:00"/>
    <x v="1"/>
    <s v="EH-13945"/>
    <s v="Eric Hoffmann"/>
    <s v="Consumer"/>
    <x v="2"/>
    <x v="0"/>
    <n v="2.3279999999999998"/>
    <n v="232.79999999999998"/>
    <n v="46.56"/>
  </r>
  <r>
    <n v="1108"/>
    <s v="US-2017-110156"/>
    <x v="258"/>
    <d v="2017-11-24T00:00:00"/>
    <x v="1"/>
    <s v="EH-13945"/>
    <s v="Eric Hoffmann"/>
    <s v="Consumer"/>
    <x v="2"/>
    <x v="1"/>
    <n v="10.78"/>
    <n v="1078"/>
    <n v="215.60000000000002"/>
  </r>
  <r>
    <n v="1109"/>
    <s v="US-2017-110156"/>
    <x v="258"/>
    <d v="2017-11-24T00:00:00"/>
    <x v="1"/>
    <s v="EH-13945"/>
    <s v="Eric Hoffmann"/>
    <s v="Consumer"/>
    <x v="2"/>
    <x v="1"/>
    <n v="58.368000000000002"/>
    <n v="5836.8"/>
    <n v="1167.3600000000001"/>
  </r>
  <r>
    <n v="1110"/>
    <s v="US-2017-110156"/>
    <x v="258"/>
    <d v="2017-11-24T00:00:00"/>
    <x v="1"/>
    <s v="EH-13945"/>
    <s v="Eric Hoffmann"/>
    <s v="Consumer"/>
    <x v="2"/>
    <x v="1"/>
    <n v="40.968000000000004"/>
    <n v="4096.8"/>
    <n v="819.36000000000013"/>
  </r>
  <r>
    <n v="1111"/>
    <s v="US-2017-110156"/>
    <x v="258"/>
    <d v="2017-11-24T00:00:00"/>
    <x v="1"/>
    <s v="EH-13945"/>
    <s v="Eric Hoffmann"/>
    <s v="Consumer"/>
    <x v="2"/>
    <x v="2"/>
    <n v="71.959999999999994"/>
    <n v="7195.9999999999991"/>
    <n v="1439.1999999999998"/>
  </r>
  <r>
    <n v="1112"/>
    <s v="US-2017-110156"/>
    <x v="258"/>
    <d v="2017-11-24T00:00:00"/>
    <x v="1"/>
    <s v="EH-13945"/>
    <s v="Eric Hoffmann"/>
    <s v="Consumer"/>
    <x v="2"/>
    <x v="1"/>
    <n v="10.368"/>
    <n v="1036.8"/>
    <n v="207.36"/>
  </r>
  <r>
    <n v="1113"/>
    <s v="US-2017-110156"/>
    <x v="258"/>
    <d v="2017-11-24T00:00:00"/>
    <x v="1"/>
    <s v="EH-13945"/>
    <s v="Eric Hoffmann"/>
    <s v="Consumer"/>
    <x v="2"/>
    <x v="1"/>
    <n v="1.1919999999999999"/>
    <n v="119.19999999999999"/>
    <n v="23.84"/>
  </r>
  <r>
    <n v="1114"/>
    <s v="CA-2018-140585"/>
    <x v="404"/>
    <d v="2018-12-23T00:00:00"/>
    <x v="0"/>
    <s v="RA-19915"/>
    <s v="Russell Applegate"/>
    <s v="Consumer"/>
    <x v="1"/>
    <x v="1"/>
    <n v="46.671999999999997"/>
    <n v="4667.2"/>
    <n v="933.44"/>
  </r>
  <r>
    <n v="1115"/>
    <s v="CA-2018-140585"/>
    <x v="404"/>
    <d v="2018-12-23T00:00:00"/>
    <x v="0"/>
    <s v="RA-19915"/>
    <s v="Russell Applegate"/>
    <s v="Consumer"/>
    <x v="1"/>
    <x v="0"/>
    <n v="119.833"/>
    <n v="11983.3"/>
    <n v="2396.66"/>
  </r>
  <r>
    <n v="1116"/>
    <s v="CA-2018-140585"/>
    <x v="404"/>
    <d v="2018-12-23T00:00:00"/>
    <x v="0"/>
    <s v="RA-19915"/>
    <s v="Russell Applegate"/>
    <s v="Consumer"/>
    <x v="1"/>
    <x v="2"/>
    <n v="119.98"/>
    <n v="11998"/>
    <n v="2399.6"/>
  </r>
  <r>
    <n v="1117"/>
    <s v="CA-2017-144855"/>
    <x v="405"/>
    <d v="2017-07-24T00:00:00"/>
    <x v="0"/>
    <s v="DL-13495"/>
    <s v="Dionis Lloyd"/>
    <s v="Corporate"/>
    <x v="1"/>
    <x v="1"/>
    <n v="6.3"/>
    <n v="630"/>
    <n v="126"/>
  </r>
  <r>
    <n v="1118"/>
    <s v="CA-2016-142755"/>
    <x v="406"/>
    <d v="2016-09-08T00:00:00"/>
    <x v="1"/>
    <s v="CS-12355"/>
    <s v="Christine Sundaresam"/>
    <s v="Consumer"/>
    <x v="0"/>
    <x v="1"/>
    <n v="279.89999999999998"/>
    <n v="27989.999999999996"/>
    <n v="5598"/>
  </r>
  <r>
    <n v="1119"/>
    <s v="CA-2016-142755"/>
    <x v="406"/>
    <d v="2016-09-08T00:00:00"/>
    <x v="1"/>
    <s v="CS-12355"/>
    <s v="Christine Sundaresam"/>
    <s v="Consumer"/>
    <x v="0"/>
    <x v="2"/>
    <n v="619.95000000000005"/>
    <n v="61995.000000000007"/>
    <n v="12399.000000000002"/>
  </r>
  <r>
    <n v="1120"/>
    <s v="CA-2016-142755"/>
    <x v="406"/>
    <d v="2016-09-08T00:00:00"/>
    <x v="1"/>
    <s v="CS-12355"/>
    <s v="Christine Sundaresam"/>
    <s v="Consumer"/>
    <x v="0"/>
    <x v="1"/>
    <n v="4.3600000000000003"/>
    <n v="436.00000000000006"/>
    <n v="87.200000000000017"/>
  </r>
  <r>
    <n v="1121"/>
    <s v="CA-2016-142755"/>
    <x v="406"/>
    <d v="2016-09-08T00:00:00"/>
    <x v="1"/>
    <s v="CS-12355"/>
    <s v="Christine Sundaresam"/>
    <s v="Consumer"/>
    <x v="0"/>
    <x v="1"/>
    <n v="15.28"/>
    <n v="1528"/>
    <n v="305.60000000000002"/>
  </r>
  <r>
    <n v="1122"/>
    <s v="US-2015-147627"/>
    <x v="407"/>
    <d v="2015-01-26T00:00:00"/>
    <x v="1"/>
    <s v="HL-15040"/>
    <s v="Hunter Lopez"/>
    <s v="Consumer"/>
    <x v="0"/>
    <x v="2"/>
    <n v="699.93"/>
    <n v="69993"/>
    <n v="13998.6"/>
  </r>
  <r>
    <n v="1123"/>
    <s v="US-2015-147627"/>
    <x v="407"/>
    <d v="2015-01-26T00:00:00"/>
    <x v="1"/>
    <s v="HL-15040"/>
    <s v="Hunter Lopez"/>
    <s v="Consumer"/>
    <x v="0"/>
    <x v="1"/>
    <n v="22.96"/>
    <n v="2296"/>
    <n v="459.20000000000005"/>
  </r>
  <r>
    <n v="1124"/>
    <s v="US-2015-147627"/>
    <x v="407"/>
    <d v="2015-01-26T00:00:00"/>
    <x v="1"/>
    <s v="HL-15040"/>
    <s v="Hunter Lopez"/>
    <s v="Consumer"/>
    <x v="0"/>
    <x v="0"/>
    <n v="38.6"/>
    <n v="3860"/>
    <n v="772"/>
  </r>
  <r>
    <n v="1125"/>
    <s v="US-2015-147627"/>
    <x v="407"/>
    <d v="2015-01-26T00:00:00"/>
    <x v="1"/>
    <s v="HL-15040"/>
    <s v="Hunter Lopez"/>
    <s v="Consumer"/>
    <x v="0"/>
    <x v="1"/>
    <n v="6.63"/>
    <n v="663"/>
    <n v="132.6"/>
  </r>
  <r>
    <n v="1126"/>
    <s v="US-2015-147627"/>
    <x v="407"/>
    <d v="2015-01-26T00:00:00"/>
    <x v="1"/>
    <s v="HL-15040"/>
    <s v="Hunter Lopez"/>
    <s v="Consumer"/>
    <x v="0"/>
    <x v="1"/>
    <n v="23.34"/>
    <n v="2334"/>
    <n v="466.8"/>
  </r>
  <r>
    <n v="1127"/>
    <s v="US-2015-147627"/>
    <x v="407"/>
    <d v="2015-01-26T00:00:00"/>
    <x v="1"/>
    <s v="HL-15040"/>
    <s v="Hunter Lopez"/>
    <s v="Consumer"/>
    <x v="0"/>
    <x v="0"/>
    <n v="1067.94"/>
    <n v="106794"/>
    <n v="21358.800000000003"/>
  </r>
  <r>
    <n v="1128"/>
    <s v="CA-2016-105970"/>
    <x v="56"/>
    <d v="2016-03-07T00:00:00"/>
    <x v="1"/>
    <s v="PA-19060"/>
    <s v="Pete Armstrong"/>
    <s v="Home Office"/>
    <x v="2"/>
    <x v="1"/>
    <n v="10.16"/>
    <n v="1016"/>
    <n v="203.20000000000002"/>
  </r>
  <r>
    <n v="1129"/>
    <s v="CA-2016-105970"/>
    <x v="56"/>
    <d v="2016-03-07T00:00:00"/>
    <x v="1"/>
    <s v="PA-19060"/>
    <s v="Pete Armstrong"/>
    <s v="Home Office"/>
    <x v="2"/>
    <x v="1"/>
    <n v="101.88"/>
    <n v="10188"/>
    <n v="2037.6000000000001"/>
  </r>
  <r>
    <n v="1130"/>
    <s v="CA-2017-112102"/>
    <x v="408"/>
    <d v="2017-04-16T00:00:00"/>
    <x v="1"/>
    <s v="BD-11605"/>
    <s v="Brian Dahlen"/>
    <s v="Consumer"/>
    <x v="0"/>
    <x v="0"/>
    <n v="343.92"/>
    <n v="34392"/>
    <n v="6878.4000000000005"/>
  </r>
  <r>
    <n v="1131"/>
    <s v="CA-2017-112102"/>
    <x v="408"/>
    <d v="2017-04-16T00:00:00"/>
    <x v="1"/>
    <s v="BD-11605"/>
    <s v="Brian Dahlen"/>
    <s v="Consumer"/>
    <x v="0"/>
    <x v="1"/>
    <n v="40.99"/>
    <n v="4099"/>
    <n v="819.80000000000007"/>
  </r>
  <r>
    <n v="1132"/>
    <s v="CA-2017-112102"/>
    <x v="408"/>
    <d v="2017-04-16T00:00:00"/>
    <x v="1"/>
    <s v="BD-11605"/>
    <s v="Brian Dahlen"/>
    <s v="Consumer"/>
    <x v="0"/>
    <x v="1"/>
    <n v="63.9"/>
    <n v="6390"/>
    <n v="1278"/>
  </r>
  <r>
    <n v="1133"/>
    <s v="US-2017-114776"/>
    <x v="409"/>
    <d v="2017-12-07T00:00:00"/>
    <x v="2"/>
    <s v="GG-14650"/>
    <s v="Greg Guthrie"/>
    <s v="Corporate"/>
    <x v="1"/>
    <x v="1"/>
    <n v="19.440000000000001"/>
    <n v="1944.0000000000002"/>
    <n v="388.80000000000007"/>
  </r>
  <r>
    <n v="1134"/>
    <s v="US-2017-134908"/>
    <x v="410"/>
    <d v="2017-06-09T00:00:00"/>
    <x v="1"/>
    <s v="JS-15940"/>
    <s v="Joni Sundaresam"/>
    <s v="Home Office"/>
    <x v="3"/>
    <x v="1"/>
    <n v="124.608"/>
    <n v="12460.800000000001"/>
    <n v="2492.1600000000003"/>
  </r>
  <r>
    <n v="1135"/>
    <s v="US-2017-134908"/>
    <x v="410"/>
    <d v="2017-06-09T00:00:00"/>
    <x v="1"/>
    <s v="JS-15940"/>
    <s v="Joni Sundaresam"/>
    <s v="Home Office"/>
    <x v="3"/>
    <x v="1"/>
    <n v="7.56"/>
    <n v="756"/>
    <n v="151.20000000000002"/>
  </r>
  <r>
    <n v="1136"/>
    <s v="US-2017-148803"/>
    <x v="25"/>
    <d v="2017-12-11T00:00:00"/>
    <x v="3"/>
    <s v="LR-16915"/>
    <s v="Lena Radford"/>
    <s v="Consumer"/>
    <x v="0"/>
    <x v="1"/>
    <n v="85.224000000000004"/>
    <n v="8522.4"/>
    <n v="1704.48"/>
  </r>
  <r>
    <n v="1137"/>
    <s v="CA-2017-152170"/>
    <x v="396"/>
    <d v="2017-11-15T00:00:00"/>
    <x v="0"/>
    <s v="FH-14275"/>
    <s v="Frank Hawley"/>
    <s v="Corporate"/>
    <x v="2"/>
    <x v="1"/>
    <n v="287.52"/>
    <n v="28752"/>
    <n v="5750.4000000000005"/>
  </r>
  <r>
    <n v="1138"/>
    <s v="CA-2017-152170"/>
    <x v="396"/>
    <d v="2017-11-15T00:00:00"/>
    <x v="0"/>
    <s v="FH-14275"/>
    <s v="Frank Hawley"/>
    <s v="Corporate"/>
    <x v="2"/>
    <x v="1"/>
    <n v="37.68"/>
    <n v="3768"/>
    <n v="753.6"/>
  </r>
  <r>
    <n v="1139"/>
    <s v="CA-2017-152170"/>
    <x v="396"/>
    <d v="2017-11-15T00:00:00"/>
    <x v="0"/>
    <s v="FH-14275"/>
    <s v="Frank Hawley"/>
    <s v="Corporate"/>
    <x v="2"/>
    <x v="1"/>
    <n v="19.98"/>
    <n v="1998"/>
    <n v="399.6"/>
  </r>
  <r>
    <n v="1140"/>
    <s v="CA-2017-152170"/>
    <x v="396"/>
    <d v="2017-11-15T00:00:00"/>
    <x v="0"/>
    <s v="FH-14275"/>
    <s v="Frank Hawley"/>
    <s v="Corporate"/>
    <x v="2"/>
    <x v="1"/>
    <n v="20.58"/>
    <n v="2058"/>
    <n v="411.6"/>
  </r>
  <r>
    <n v="1141"/>
    <s v="CA-2017-152170"/>
    <x v="396"/>
    <d v="2017-11-15T00:00:00"/>
    <x v="0"/>
    <s v="FH-14275"/>
    <s v="Frank Hawley"/>
    <s v="Corporate"/>
    <x v="2"/>
    <x v="1"/>
    <n v="17.38"/>
    <n v="1738"/>
    <n v="347.6"/>
  </r>
  <r>
    <n v="1142"/>
    <s v="CA-2015-146969"/>
    <x v="411"/>
    <d v="2015-10-03T00:00:00"/>
    <x v="1"/>
    <s v="AP-10915"/>
    <s v="Arthur Prichep"/>
    <s v="Consumer"/>
    <x v="1"/>
    <x v="0"/>
    <n v="204.6"/>
    <n v="20460"/>
    <n v="4092"/>
  </r>
  <r>
    <n v="1143"/>
    <s v="CA-2015-146969"/>
    <x v="411"/>
    <d v="2015-10-03T00:00:00"/>
    <x v="1"/>
    <s v="AP-10915"/>
    <s v="Arthur Prichep"/>
    <s v="Consumer"/>
    <x v="1"/>
    <x v="1"/>
    <n v="8.7200000000000006"/>
    <n v="872.00000000000011"/>
    <n v="174.40000000000003"/>
  </r>
  <r>
    <n v="1144"/>
    <s v="CA-2015-146969"/>
    <x v="411"/>
    <d v="2015-10-03T00:00:00"/>
    <x v="1"/>
    <s v="AP-10915"/>
    <s v="Arthur Prichep"/>
    <s v="Consumer"/>
    <x v="1"/>
    <x v="1"/>
    <n v="6.48"/>
    <n v="648"/>
    <n v="129.6"/>
  </r>
  <r>
    <n v="1145"/>
    <s v="CA-2015-146969"/>
    <x v="411"/>
    <d v="2015-10-03T00:00:00"/>
    <x v="1"/>
    <s v="AP-10915"/>
    <s v="Arthur Prichep"/>
    <s v="Consumer"/>
    <x v="1"/>
    <x v="2"/>
    <n v="686.32"/>
    <n v="68632"/>
    <n v="13726.400000000001"/>
  </r>
  <r>
    <n v="1146"/>
    <s v="CA-2015-146969"/>
    <x v="411"/>
    <d v="2015-10-03T00:00:00"/>
    <x v="1"/>
    <s v="AP-10915"/>
    <s v="Arthur Prichep"/>
    <s v="Consumer"/>
    <x v="1"/>
    <x v="1"/>
    <n v="62.18"/>
    <n v="6218"/>
    <n v="1243.6000000000001"/>
  </r>
  <r>
    <n v="1147"/>
    <s v="CA-2016-112452"/>
    <x v="388"/>
    <d v="2016-04-04T00:00:00"/>
    <x v="3"/>
    <s v="NC-18340"/>
    <s v="Nat Carroll"/>
    <s v="Consumer"/>
    <x v="2"/>
    <x v="1"/>
    <n v="644.07600000000002"/>
    <n v="64407.600000000006"/>
    <n v="12881.520000000002"/>
  </r>
  <r>
    <n v="1148"/>
    <s v="CA-2016-112452"/>
    <x v="388"/>
    <d v="2016-04-04T00:00:00"/>
    <x v="3"/>
    <s v="NC-18340"/>
    <s v="Nat Carroll"/>
    <s v="Consumer"/>
    <x v="2"/>
    <x v="1"/>
    <n v="5.84"/>
    <n v="584"/>
    <n v="116.80000000000001"/>
  </r>
  <r>
    <n v="1149"/>
    <s v="CA-2016-112452"/>
    <x v="388"/>
    <d v="2016-04-04T00:00:00"/>
    <x v="3"/>
    <s v="NC-18340"/>
    <s v="Nat Carroll"/>
    <s v="Consumer"/>
    <x v="2"/>
    <x v="1"/>
    <n v="12.76"/>
    <n v="1276"/>
    <n v="255.20000000000002"/>
  </r>
  <r>
    <n v="1150"/>
    <s v="CA-2016-112452"/>
    <x v="388"/>
    <d v="2016-04-04T00:00:00"/>
    <x v="3"/>
    <s v="NC-18340"/>
    <s v="Nat Carroll"/>
    <s v="Consumer"/>
    <x v="2"/>
    <x v="2"/>
    <n v="10.95"/>
    <n v="1095"/>
    <n v="219"/>
  </r>
  <r>
    <n v="1151"/>
    <s v="CA-2016-112452"/>
    <x v="388"/>
    <d v="2016-04-04T00:00:00"/>
    <x v="3"/>
    <s v="NC-18340"/>
    <s v="Nat Carroll"/>
    <s v="Consumer"/>
    <x v="2"/>
    <x v="2"/>
    <n v="599.98"/>
    <n v="59998"/>
    <n v="11999.6"/>
  </r>
  <r>
    <n v="1152"/>
    <s v="CA-2016-113971"/>
    <x v="412"/>
    <d v="2016-05-14T00:00:00"/>
    <x v="1"/>
    <s v="CB-12535"/>
    <s v="Claudia Bergmann"/>
    <s v="Corporate"/>
    <x v="3"/>
    <x v="0"/>
    <n v="8.3520000000000003"/>
    <n v="835.2"/>
    <n v="167.04000000000002"/>
  </r>
  <r>
    <n v="1153"/>
    <s v="CA-2017-160395"/>
    <x v="413"/>
    <d v="2018-01-06T00:00:00"/>
    <x v="1"/>
    <s v="KL-16555"/>
    <s v="Kelly Lampkin"/>
    <s v="Corporate"/>
    <x v="1"/>
    <x v="1"/>
    <n v="3.64"/>
    <n v="364"/>
    <n v="72.8"/>
  </r>
  <r>
    <n v="1154"/>
    <s v="CA-2017-160395"/>
    <x v="413"/>
    <d v="2018-01-06T00:00:00"/>
    <x v="1"/>
    <s v="KL-16555"/>
    <s v="Kelly Lampkin"/>
    <s v="Corporate"/>
    <x v="1"/>
    <x v="1"/>
    <n v="159.768"/>
    <n v="15976.8"/>
    <n v="3195.36"/>
  </r>
  <r>
    <n v="1155"/>
    <s v="CA-2015-136567"/>
    <x v="414"/>
    <d v="2015-12-21T00:00:00"/>
    <x v="2"/>
    <s v="PS-19045"/>
    <s v="Penelope Sewall"/>
    <s v="Home Office"/>
    <x v="0"/>
    <x v="1"/>
    <n v="122.48"/>
    <n v="12248"/>
    <n v="2449.6"/>
  </r>
  <r>
    <n v="1156"/>
    <s v="CA-2015-136567"/>
    <x v="414"/>
    <d v="2015-12-21T00:00:00"/>
    <x v="2"/>
    <s v="PS-19045"/>
    <s v="Penelope Sewall"/>
    <s v="Home Office"/>
    <x v="0"/>
    <x v="0"/>
    <n v="2244.48"/>
    <n v="224448"/>
    <n v="44889.600000000006"/>
  </r>
  <r>
    <n v="1157"/>
    <s v="CA-2015-136567"/>
    <x v="414"/>
    <d v="2015-12-21T00:00:00"/>
    <x v="2"/>
    <s v="PS-19045"/>
    <s v="Penelope Sewall"/>
    <s v="Home Office"/>
    <x v="0"/>
    <x v="1"/>
    <n v="62.31"/>
    <n v="6231"/>
    <n v="1246.2"/>
  </r>
  <r>
    <n v="1158"/>
    <s v="CA-2015-136567"/>
    <x v="414"/>
    <d v="2015-12-21T00:00:00"/>
    <x v="2"/>
    <s v="PS-19045"/>
    <s v="Penelope Sewall"/>
    <s v="Home Office"/>
    <x v="0"/>
    <x v="0"/>
    <n v="455.1"/>
    <n v="45510"/>
    <n v="9102"/>
  </r>
  <r>
    <n v="1159"/>
    <s v="CA-2017-149314"/>
    <x v="415"/>
    <d v="2017-07-07T00:00:00"/>
    <x v="0"/>
    <s v="GB-14530"/>
    <s v="George Bell"/>
    <s v="Corporate"/>
    <x v="1"/>
    <x v="0"/>
    <n v="195.184"/>
    <n v="19518.400000000001"/>
    <n v="3903.6800000000003"/>
  </r>
  <r>
    <n v="1160"/>
    <s v="CA-2018-147039"/>
    <x v="222"/>
    <d v="2018-07-04T00:00:00"/>
    <x v="1"/>
    <s v="AA-10315"/>
    <s v="Alex Avila"/>
    <s v="Consumer"/>
    <x v="2"/>
    <x v="1"/>
    <n v="362.94"/>
    <n v="36294"/>
    <n v="7258.8"/>
  </r>
  <r>
    <n v="1161"/>
    <s v="CA-2018-147039"/>
    <x v="222"/>
    <d v="2018-07-04T00:00:00"/>
    <x v="1"/>
    <s v="AA-10315"/>
    <s v="Alex Avila"/>
    <s v="Consumer"/>
    <x v="2"/>
    <x v="1"/>
    <n v="11.54"/>
    <n v="1154"/>
    <n v="230.8"/>
  </r>
  <r>
    <n v="1162"/>
    <s v="CA-2015-126522"/>
    <x v="416"/>
    <d v="2015-09-05T00:00:00"/>
    <x v="0"/>
    <s v="LT-16765"/>
    <s v="Larry Tron"/>
    <s v="Consumer"/>
    <x v="1"/>
    <x v="1"/>
    <n v="53.94"/>
    <n v="5394"/>
    <n v="1078.8"/>
  </r>
  <r>
    <n v="1163"/>
    <s v="CA-2015-127964"/>
    <x v="223"/>
    <d v="2015-03-08T00:00:00"/>
    <x v="1"/>
    <s v="AP-10720"/>
    <s v="Anne Pryor"/>
    <s v="Home Office"/>
    <x v="3"/>
    <x v="2"/>
    <n v="9.99"/>
    <n v="999"/>
    <n v="199.8"/>
  </r>
  <r>
    <n v="1164"/>
    <s v="CA-2015-127964"/>
    <x v="223"/>
    <d v="2015-03-08T00:00:00"/>
    <x v="1"/>
    <s v="AP-10720"/>
    <s v="Anne Pryor"/>
    <s v="Home Office"/>
    <x v="3"/>
    <x v="1"/>
    <n v="125.76"/>
    <n v="12576"/>
    <n v="2515.2000000000003"/>
  </r>
  <r>
    <n v="1165"/>
    <s v="CA-2015-127964"/>
    <x v="223"/>
    <d v="2015-03-08T00:00:00"/>
    <x v="1"/>
    <s v="AP-10720"/>
    <s v="Anne Pryor"/>
    <s v="Home Office"/>
    <x v="3"/>
    <x v="1"/>
    <n v="25.32"/>
    <n v="2532"/>
    <n v="506.40000000000003"/>
  </r>
  <r>
    <n v="1166"/>
    <s v="CA-2015-117709"/>
    <x v="417"/>
    <d v="2015-05-08T00:00:00"/>
    <x v="1"/>
    <s v="PM-18940"/>
    <s v="Paul MacIntyre"/>
    <s v="Consumer"/>
    <x v="2"/>
    <x v="1"/>
    <n v="46.8"/>
    <n v="4680"/>
    <n v="936"/>
  </r>
  <r>
    <n v="1167"/>
    <s v="CA-2016-125416"/>
    <x v="121"/>
    <d v="2016-11-02T00:00:00"/>
    <x v="3"/>
    <s v="KC-16540"/>
    <s v="Kelly Collister"/>
    <s v="Consumer"/>
    <x v="1"/>
    <x v="2"/>
    <n v="447.93"/>
    <n v="44793"/>
    <n v="8958.6"/>
  </r>
  <r>
    <n v="1168"/>
    <s v="CA-2018-145226"/>
    <x v="166"/>
    <d v="2018-12-10T00:00:00"/>
    <x v="0"/>
    <s v="DL-13315"/>
    <s v="Delfina Latchford"/>
    <s v="Consumer"/>
    <x v="3"/>
    <x v="0"/>
    <n v="109.48"/>
    <n v="10948"/>
    <n v="2189.6"/>
  </r>
  <r>
    <n v="1169"/>
    <s v="CA-2018-145226"/>
    <x v="166"/>
    <d v="2018-12-10T00:00:00"/>
    <x v="0"/>
    <s v="DL-13315"/>
    <s v="Delfina Latchford"/>
    <s v="Consumer"/>
    <x v="3"/>
    <x v="1"/>
    <n v="272.94"/>
    <n v="27294"/>
    <n v="5458.8"/>
  </r>
  <r>
    <n v="1170"/>
    <s v="CA-2018-145226"/>
    <x v="166"/>
    <d v="2018-12-10T00:00:00"/>
    <x v="0"/>
    <s v="DL-13315"/>
    <s v="Delfina Latchford"/>
    <s v="Consumer"/>
    <x v="3"/>
    <x v="1"/>
    <n v="19.440000000000001"/>
    <n v="1944.0000000000002"/>
    <n v="388.80000000000007"/>
  </r>
  <r>
    <n v="1171"/>
    <s v="CA-2018-145226"/>
    <x v="166"/>
    <d v="2018-12-10T00:00:00"/>
    <x v="0"/>
    <s v="DL-13315"/>
    <s v="Delfina Latchford"/>
    <s v="Consumer"/>
    <x v="3"/>
    <x v="1"/>
    <n v="31.92"/>
    <n v="3192"/>
    <n v="638.40000000000009"/>
  </r>
  <r>
    <n v="1172"/>
    <s v="US-2015-100279"/>
    <x v="418"/>
    <d v="2015-03-14T00:00:00"/>
    <x v="1"/>
    <s v="SW-20275"/>
    <s v="Scott Williamson"/>
    <s v="Consumer"/>
    <x v="2"/>
    <x v="1"/>
    <n v="22.38"/>
    <n v="2238"/>
    <n v="447.6"/>
  </r>
  <r>
    <n v="1173"/>
    <s v="CA-2015-158064"/>
    <x v="419"/>
    <d v="2015-04-25T00:00:00"/>
    <x v="1"/>
    <s v="AA-10375"/>
    <s v="Allen Armold"/>
    <s v="Consumer"/>
    <x v="1"/>
    <x v="1"/>
    <n v="16.52"/>
    <n v="1652"/>
    <n v="330.40000000000003"/>
  </r>
  <r>
    <n v="1174"/>
    <s v="US-2016-104430"/>
    <x v="420"/>
    <d v="2016-10-26T00:00:00"/>
    <x v="1"/>
    <s v="LT-17110"/>
    <s v="Liz Thompson"/>
    <s v="Consumer"/>
    <x v="2"/>
    <x v="1"/>
    <n v="5.1760000000000002"/>
    <n v="517.6"/>
    <n v="103.52000000000001"/>
  </r>
  <r>
    <n v="1175"/>
    <s v="CA-2016-132080"/>
    <x v="421"/>
    <d v="2016-08-25T00:00:00"/>
    <x v="2"/>
    <s v="DP-13105"/>
    <s v="Dave Poirier"/>
    <s v="Corporate"/>
    <x v="3"/>
    <x v="1"/>
    <n v="50.112000000000002"/>
    <n v="5011.2"/>
    <n v="1002.24"/>
  </r>
  <r>
    <n v="1176"/>
    <s v="CA-2017-161207"/>
    <x v="48"/>
    <d v="2017-09-03T00:00:00"/>
    <x v="1"/>
    <s v="AB-10060"/>
    <s v="Adam Bellavance"/>
    <s v="Home Office"/>
    <x v="3"/>
    <x v="1"/>
    <n v="27.93"/>
    <n v="2793"/>
    <n v="558.6"/>
  </r>
  <r>
    <n v="1177"/>
    <s v="CA-2015-120243"/>
    <x v="422"/>
    <d v="2015-12-30T00:00:00"/>
    <x v="0"/>
    <s v="AT-10435"/>
    <s v="Alyssa Tate"/>
    <s v="Home Office"/>
    <x v="1"/>
    <x v="1"/>
    <n v="11.56"/>
    <n v="1156"/>
    <n v="231.20000000000002"/>
  </r>
  <r>
    <n v="1178"/>
    <s v="CA-2017-113621"/>
    <x v="49"/>
    <d v="2017-12-05T00:00:00"/>
    <x v="1"/>
    <s v="JE-15745"/>
    <s v="Joel Eaton"/>
    <s v="Consumer"/>
    <x v="3"/>
    <x v="0"/>
    <n v="172.5"/>
    <n v="17250"/>
    <n v="3450"/>
  </r>
  <r>
    <n v="1179"/>
    <s v="CA-2017-113621"/>
    <x v="49"/>
    <d v="2017-12-05T00:00:00"/>
    <x v="1"/>
    <s v="JE-15745"/>
    <s v="Joel Eaton"/>
    <s v="Consumer"/>
    <x v="3"/>
    <x v="2"/>
    <n v="179.97"/>
    <n v="17997"/>
    <n v="3599.4"/>
  </r>
  <r>
    <n v="1180"/>
    <s v="CA-2017-168081"/>
    <x v="423"/>
    <d v="2017-04-27T00:00:00"/>
    <x v="0"/>
    <s v="CA-12055"/>
    <s v="Cathy Armstrong"/>
    <s v="Home Office"/>
    <x v="2"/>
    <x v="2"/>
    <n v="258.69600000000003"/>
    <n v="25869.600000000002"/>
    <n v="5173.920000000001"/>
  </r>
  <r>
    <n v="1181"/>
    <s v="CA-2015-128146"/>
    <x v="261"/>
    <d v="2015-06-25T00:00:00"/>
    <x v="1"/>
    <s v="DB-13060"/>
    <s v="Dave Brooks"/>
    <s v="Consumer"/>
    <x v="3"/>
    <x v="2"/>
    <n v="1322.93"/>
    <n v="132293"/>
    <n v="26458.600000000002"/>
  </r>
  <r>
    <n v="1182"/>
    <s v="CA-2015-128146"/>
    <x v="261"/>
    <d v="2015-06-25T00:00:00"/>
    <x v="1"/>
    <s v="DB-13060"/>
    <s v="Dave Brooks"/>
    <s v="Consumer"/>
    <x v="3"/>
    <x v="1"/>
    <n v="3.76"/>
    <n v="376"/>
    <n v="75.2"/>
  </r>
  <r>
    <n v="1183"/>
    <s v="CA-2018-138779"/>
    <x v="424"/>
    <d v="2018-01-15T00:00:00"/>
    <x v="2"/>
    <s v="RB-19570"/>
    <s v="Rob Beeghly"/>
    <s v="Consumer"/>
    <x v="0"/>
    <x v="1"/>
    <n v="21.744"/>
    <n v="2174.4"/>
    <n v="434.88000000000005"/>
  </r>
  <r>
    <n v="1184"/>
    <s v="CA-2018-138779"/>
    <x v="424"/>
    <d v="2018-01-15T00:00:00"/>
    <x v="2"/>
    <s v="RB-19570"/>
    <s v="Rob Beeghly"/>
    <s v="Consumer"/>
    <x v="0"/>
    <x v="2"/>
    <n v="7.92"/>
    <n v="792"/>
    <n v="158.4"/>
  </r>
  <r>
    <n v="1185"/>
    <s v="CA-2015-127131"/>
    <x v="156"/>
    <d v="2015-11-30T00:00:00"/>
    <x v="1"/>
    <s v="HR-14830"/>
    <s v="Harold Ryan"/>
    <s v="Corporate"/>
    <x v="1"/>
    <x v="1"/>
    <n v="12.096"/>
    <n v="1209.5999999999999"/>
    <n v="241.92"/>
  </r>
  <r>
    <n v="1186"/>
    <s v="CA-2015-127131"/>
    <x v="156"/>
    <d v="2015-11-30T00:00:00"/>
    <x v="1"/>
    <s v="HR-14830"/>
    <s v="Harold Ryan"/>
    <s v="Corporate"/>
    <x v="1"/>
    <x v="1"/>
    <n v="485.88"/>
    <n v="48588"/>
    <n v="9717.6"/>
  </r>
  <r>
    <n v="1187"/>
    <s v="CA-2015-127131"/>
    <x v="156"/>
    <d v="2015-11-30T00:00:00"/>
    <x v="1"/>
    <s v="HR-14830"/>
    <s v="Harold Ryan"/>
    <s v="Corporate"/>
    <x v="1"/>
    <x v="1"/>
    <n v="25.92"/>
    <n v="2592"/>
    <n v="518.4"/>
  </r>
  <r>
    <n v="1188"/>
    <s v="CA-2015-127131"/>
    <x v="156"/>
    <d v="2015-11-30T00:00:00"/>
    <x v="1"/>
    <s v="HR-14830"/>
    <s v="Harold Ryan"/>
    <s v="Corporate"/>
    <x v="1"/>
    <x v="1"/>
    <n v="197.58"/>
    <n v="19758"/>
    <n v="3951.6000000000004"/>
  </r>
  <r>
    <n v="1189"/>
    <s v="CA-2018-117212"/>
    <x v="425"/>
    <d v="2018-02-28T00:00:00"/>
    <x v="0"/>
    <s v="BT-11530"/>
    <s v="Bradley Talbott"/>
    <s v="Home Office"/>
    <x v="1"/>
    <x v="1"/>
    <n v="81.92"/>
    <n v="8192"/>
    <n v="1638.4"/>
  </r>
  <r>
    <n v="1190"/>
    <s v="CA-2018-117212"/>
    <x v="425"/>
    <d v="2018-02-28T00:00:00"/>
    <x v="0"/>
    <s v="BT-11530"/>
    <s v="Bradley Talbott"/>
    <s v="Home Office"/>
    <x v="1"/>
    <x v="2"/>
    <n v="889.53599999999994"/>
    <n v="88953.599999999991"/>
    <n v="17790.719999999998"/>
  </r>
  <r>
    <n v="1191"/>
    <s v="CA-2018-117212"/>
    <x v="425"/>
    <d v="2018-02-28T00:00:00"/>
    <x v="0"/>
    <s v="BT-11530"/>
    <s v="Bradley Talbott"/>
    <s v="Home Office"/>
    <x v="1"/>
    <x v="0"/>
    <n v="892.22400000000005"/>
    <n v="89222.400000000009"/>
    <n v="17844.480000000003"/>
  </r>
  <r>
    <n v="1192"/>
    <s v="CA-2018-117212"/>
    <x v="425"/>
    <d v="2018-02-28T00:00:00"/>
    <x v="0"/>
    <s v="BT-11530"/>
    <s v="Bradley Talbott"/>
    <s v="Home Office"/>
    <x v="1"/>
    <x v="1"/>
    <n v="223.92"/>
    <n v="22392"/>
    <n v="4478.4000000000005"/>
  </r>
  <r>
    <n v="1193"/>
    <s v="CA-2018-117212"/>
    <x v="425"/>
    <d v="2018-02-28T00:00:00"/>
    <x v="0"/>
    <s v="BT-11530"/>
    <s v="Bradley Talbott"/>
    <s v="Home Office"/>
    <x v="1"/>
    <x v="1"/>
    <n v="23.12"/>
    <n v="2312"/>
    <n v="462.40000000000003"/>
  </r>
  <r>
    <n v="1194"/>
    <s v="US-2016-130519"/>
    <x v="426"/>
    <d v="2016-09-15T00:00:00"/>
    <x v="3"/>
    <s v="NG-18355"/>
    <s v="Nat Gilpin"/>
    <s v="Corporate"/>
    <x v="0"/>
    <x v="1"/>
    <n v="15.552"/>
    <n v="1555.2"/>
    <n v="311.04000000000002"/>
  </r>
  <r>
    <n v="1195"/>
    <s v="US-2016-130519"/>
    <x v="426"/>
    <d v="2016-09-15T00:00:00"/>
    <x v="3"/>
    <s v="NG-18355"/>
    <s v="Nat Gilpin"/>
    <s v="Corporate"/>
    <x v="0"/>
    <x v="0"/>
    <n v="15.712"/>
    <n v="1571.2"/>
    <n v="314.24"/>
  </r>
  <r>
    <n v="1196"/>
    <s v="US-2016-130519"/>
    <x v="426"/>
    <d v="2016-09-15T00:00:00"/>
    <x v="3"/>
    <s v="NG-18355"/>
    <s v="Nat Gilpin"/>
    <s v="Corporate"/>
    <x v="0"/>
    <x v="1"/>
    <n v="24.672000000000001"/>
    <n v="2467.2000000000003"/>
    <n v="493.44000000000005"/>
  </r>
  <r>
    <n v="1197"/>
    <s v="US-2016-130519"/>
    <x v="426"/>
    <d v="2016-09-15T00:00:00"/>
    <x v="3"/>
    <s v="NG-18355"/>
    <s v="Nat Gilpin"/>
    <s v="Corporate"/>
    <x v="0"/>
    <x v="0"/>
    <n v="55.968000000000004"/>
    <n v="5596.8"/>
    <n v="1119.3600000000001"/>
  </r>
  <r>
    <n v="1198"/>
    <s v="CA-2017-130946"/>
    <x v="143"/>
    <d v="2017-04-12T00:00:00"/>
    <x v="1"/>
    <s v="ZC-21910"/>
    <s v="Zuschuss Carroll"/>
    <s v="Consumer"/>
    <x v="2"/>
    <x v="2"/>
    <n v="431.928"/>
    <n v="43192.800000000003"/>
    <n v="8638.5600000000013"/>
  </r>
  <r>
    <n v="1199"/>
    <s v="CA-2017-130946"/>
    <x v="143"/>
    <d v="2017-04-12T00:00:00"/>
    <x v="1"/>
    <s v="ZC-21910"/>
    <s v="Zuschuss Carroll"/>
    <s v="Consumer"/>
    <x v="2"/>
    <x v="0"/>
    <n v="95.983999999999995"/>
    <n v="9598.4"/>
    <n v="1919.68"/>
  </r>
  <r>
    <n v="1200"/>
    <s v="CA-2017-130946"/>
    <x v="143"/>
    <d v="2017-04-12T00:00:00"/>
    <x v="1"/>
    <s v="ZC-21910"/>
    <s v="Zuschuss Carroll"/>
    <s v="Consumer"/>
    <x v="2"/>
    <x v="1"/>
    <n v="1088.7919999999999"/>
    <n v="108879.2"/>
    <n v="21775.84"/>
  </r>
  <r>
    <n v="1201"/>
    <s v="CA-2017-114727"/>
    <x v="427"/>
    <d v="2017-07-24T00:00:00"/>
    <x v="1"/>
    <s v="LS-16945"/>
    <s v="Linda Kerelaworth"/>
    <s v="Corporate"/>
    <x v="1"/>
    <x v="0"/>
    <n v="544.00800000000004"/>
    <n v="54400.800000000003"/>
    <n v="10880.160000000002"/>
  </r>
  <r>
    <n v="1202"/>
    <s v="CA-2017-114727"/>
    <x v="427"/>
    <d v="2017-07-24T00:00:00"/>
    <x v="1"/>
    <s v="LS-16945"/>
    <s v="Linda Kerelaworth"/>
    <s v="Corporate"/>
    <x v="1"/>
    <x v="1"/>
    <n v="1.8720000000000001"/>
    <n v="187.20000000000002"/>
    <n v="37.440000000000005"/>
  </r>
  <r>
    <n v="1203"/>
    <s v="CA-2017-114727"/>
    <x v="427"/>
    <d v="2017-07-24T00:00:00"/>
    <x v="1"/>
    <s v="LS-16945"/>
    <s v="Linda Kerelaworth"/>
    <s v="Corporate"/>
    <x v="1"/>
    <x v="0"/>
    <n v="854.35199999999998"/>
    <n v="85435.199999999997"/>
    <n v="17087.04"/>
  </r>
  <r>
    <n v="1204"/>
    <s v="CA-2017-114727"/>
    <x v="427"/>
    <d v="2017-07-24T00:00:00"/>
    <x v="1"/>
    <s v="LS-16945"/>
    <s v="Linda Kerelaworth"/>
    <s v="Corporate"/>
    <x v="1"/>
    <x v="1"/>
    <n v="593.56799999999998"/>
    <n v="59356.799999999996"/>
    <n v="11871.36"/>
  </r>
  <r>
    <n v="1205"/>
    <s v="CA-2017-114727"/>
    <x v="427"/>
    <d v="2017-07-24T00:00:00"/>
    <x v="1"/>
    <s v="LS-16945"/>
    <s v="Linda Kerelaworth"/>
    <s v="Corporate"/>
    <x v="1"/>
    <x v="1"/>
    <n v="338.04"/>
    <n v="33804"/>
    <n v="6760.8"/>
  </r>
  <r>
    <n v="1206"/>
    <s v="CA-2018-133235"/>
    <x v="378"/>
    <d v="2018-08-04T00:00:00"/>
    <x v="2"/>
    <s v="LH-16750"/>
    <s v="Larry Hughes"/>
    <s v="Consumer"/>
    <x v="0"/>
    <x v="2"/>
    <n v="271.95999999999998"/>
    <n v="27195.999999999996"/>
    <n v="5439.2"/>
  </r>
  <r>
    <n v="1207"/>
    <s v="CA-2017-137050"/>
    <x v="216"/>
    <d v="2017-07-18T00:00:00"/>
    <x v="0"/>
    <s v="SW-20755"/>
    <s v="Steven Ward"/>
    <s v="Corporate"/>
    <x v="3"/>
    <x v="1"/>
    <n v="11.21"/>
    <n v="1121"/>
    <n v="224.20000000000002"/>
  </r>
  <r>
    <n v="1208"/>
    <s v="CA-2017-137050"/>
    <x v="216"/>
    <d v="2017-07-18T00:00:00"/>
    <x v="0"/>
    <s v="SW-20755"/>
    <s v="Steven Ward"/>
    <s v="Corporate"/>
    <x v="3"/>
    <x v="1"/>
    <n v="9.1440000000000001"/>
    <n v="914.4"/>
    <n v="182.88"/>
  </r>
  <r>
    <n v="1209"/>
    <s v="CA-2017-137050"/>
    <x v="216"/>
    <d v="2017-07-18T00:00:00"/>
    <x v="0"/>
    <s v="SW-20755"/>
    <s v="Steven Ward"/>
    <s v="Corporate"/>
    <x v="3"/>
    <x v="1"/>
    <n v="14.07"/>
    <n v="1407"/>
    <n v="281.40000000000003"/>
  </r>
  <r>
    <n v="1210"/>
    <s v="CA-2017-137050"/>
    <x v="216"/>
    <d v="2017-07-18T00:00:00"/>
    <x v="0"/>
    <s v="SW-20755"/>
    <s v="Steven Ward"/>
    <s v="Corporate"/>
    <x v="3"/>
    <x v="1"/>
    <n v="41.86"/>
    <n v="4186"/>
    <n v="837.2"/>
  </r>
  <r>
    <n v="1211"/>
    <s v="CA-2017-137050"/>
    <x v="216"/>
    <d v="2017-07-18T00:00:00"/>
    <x v="0"/>
    <s v="SW-20755"/>
    <s v="Steven Ward"/>
    <s v="Corporate"/>
    <x v="3"/>
    <x v="1"/>
    <n v="8.5440000000000005"/>
    <n v="854.40000000000009"/>
    <n v="170.88000000000002"/>
  </r>
  <r>
    <n v="1212"/>
    <s v="CA-2017-137050"/>
    <x v="216"/>
    <d v="2017-07-18T00:00:00"/>
    <x v="0"/>
    <s v="SW-20755"/>
    <s v="Steven Ward"/>
    <s v="Corporate"/>
    <x v="3"/>
    <x v="0"/>
    <n v="579.13599999999997"/>
    <n v="57913.599999999999"/>
    <n v="11582.720000000001"/>
  </r>
  <r>
    <n v="1213"/>
    <s v="US-2018-118087"/>
    <x v="428"/>
    <d v="2018-09-13T00:00:00"/>
    <x v="1"/>
    <s v="SP-20620"/>
    <s v="Stefania Perrino"/>
    <s v="Corporate"/>
    <x v="3"/>
    <x v="0"/>
    <n v="141.37200000000001"/>
    <n v="14137.2"/>
    <n v="2827.4400000000005"/>
  </r>
  <r>
    <n v="1214"/>
    <s v="US-2018-118087"/>
    <x v="428"/>
    <d v="2018-09-13T00:00:00"/>
    <x v="1"/>
    <s v="SP-20620"/>
    <s v="Stefania Perrino"/>
    <s v="Corporate"/>
    <x v="3"/>
    <x v="1"/>
    <n v="3.036"/>
    <n v="303.60000000000002"/>
    <n v="60.720000000000006"/>
  </r>
  <r>
    <n v="1215"/>
    <s v="US-2018-118087"/>
    <x v="428"/>
    <d v="2018-09-13T00:00:00"/>
    <x v="1"/>
    <s v="SP-20620"/>
    <s v="Stefania Perrino"/>
    <s v="Corporate"/>
    <x v="3"/>
    <x v="1"/>
    <n v="4.5030000000000001"/>
    <n v="450.3"/>
    <n v="90.06"/>
  </r>
  <r>
    <n v="1216"/>
    <s v="US-2018-118087"/>
    <x v="428"/>
    <d v="2018-09-13T00:00:00"/>
    <x v="1"/>
    <s v="SP-20620"/>
    <s v="Stefania Perrino"/>
    <s v="Corporate"/>
    <x v="3"/>
    <x v="1"/>
    <n v="4.6719999999999997"/>
    <n v="467.2"/>
    <n v="93.44"/>
  </r>
  <r>
    <n v="1217"/>
    <s v="US-2018-118087"/>
    <x v="428"/>
    <d v="2018-09-13T00:00:00"/>
    <x v="1"/>
    <s v="SP-20620"/>
    <s v="Stefania Perrino"/>
    <s v="Corporate"/>
    <x v="3"/>
    <x v="2"/>
    <n v="95.88"/>
    <n v="9588"/>
    <n v="1917.6000000000001"/>
  </r>
  <r>
    <n v="1218"/>
    <s v="US-2018-118087"/>
    <x v="428"/>
    <d v="2018-09-13T00:00:00"/>
    <x v="1"/>
    <s v="SP-20620"/>
    <s v="Stefania Perrino"/>
    <s v="Corporate"/>
    <x v="3"/>
    <x v="0"/>
    <n v="17.024000000000001"/>
    <n v="1702.4"/>
    <n v="340.48"/>
  </r>
  <r>
    <n v="1219"/>
    <s v="US-2018-118087"/>
    <x v="428"/>
    <d v="2018-09-13T00:00:00"/>
    <x v="1"/>
    <s v="SP-20620"/>
    <s v="Stefania Perrino"/>
    <s v="Corporate"/>
    <x v="3"/>
    <x v="2"/>
    <n v="258.69600000000003"/>
    <n v="25869.600000000002"/>
    <n v="5173.920000000001"/>
  </r>
  <r>
    <n v="1220"/>
    <s v="US-2018-118087"/>
    <x v="428"/>
    <d v="2018-09-13T00:00:00"/>
    <x v="1"/>
    <s v="SP-20620"/>
    <s v="Stefania Perrino"/>
    <s v="Corporate"/>
    <x v="3"/>
    <x v="2"/>
    <n v="1931.9580000000001"/>
    <n v="193195.80000000002"/>
    <n v="38639.160000000003"/>
  </r>
  <r>
    <n v="1221"/>
    <s v="CA-2015-110184"/>
    <x v="136"/>
    <d v="2015-07-16T00:00:00"/>
    <x v="1"/>
    <s v="BF-11170"/>
    <s v="Ben Ferrer"/>
    <s v="Home Office"/>
    <x v="1"/>
    <x v="1"/>
    <n v="249.75"/>
    <n v="24975"/>
    <n v="4995"/>
  </r>
  <r>
    <n v="1222"/>
    <s v="CA-2015-110184"/>
    <x v="136"/>
    <d v="2015-07-16T00:00:00"/>
    <x v="1"/>
    <s v="BF-11170"/>
    <s v="Ben Ferrer"/>
    <s v="Home Office"/>
    <x v="1"/>
    <x v="2"/>
    <n v="255.93600000000001"/>
    <n v="25593.600000000002"/>
    <n v="5118.7200000000012"/>
  </r>
  <r>
    <n v="1223"/>
    <s v="CA-2017-126004"/>
    <x v="429"/>
    <d v="2017-12-05T00:00:00"/>
    <x v="2"/>
    <s v="BM-11140"/>
    <s v="Becky Martin"/>
    <s v="Consumer"/>
    <x v="3"/>
    <x v="0"/>
    <n v="113.79"/>
    <n v="11379"/>
    <n v="2275.8000000000002"/>
  </r>
  <r>
    <n v="1224"/>
    <s v="CA-2017-126004"/>
    <x v="429"/>
    <d v="2017-12-05T00:00:00"/>
    <x v="2"/>
    <s v="BM-11140"/>
    <s v="Becky Martin"/>
    <s v="Consumer"/>
    <x v="3"/>
    <x v="2"/>
    <n v="78.150000000000006"/>
    <n v="7815.0000000000009"/>
    <n v="1563.0000000000002"/>
  </r>
  <r>
    <n v="1225"/>
    <s v="CA-2017-126004"/>
    <x v="429"/>
    <d v="2017-12-05T00:00:00"/>
    <x v="2"/>
    <s v="BM-11140"/>
    <s v="Becky Martin"/>
    <s v="Consumer"/>
    <x v="3"/>
    <x v="1"/>
    <n v="1.728"/>
    <n v="172.8"/>
    <n v="34.56"/>
  </r>
  <r>
    <n v="1226"/>
    <s v="CA-2017-126004"/>
    <x v="429"/>
    <d v="2017-12-05T00:00:00"/>
    <x v="2"/>
    <s v="BM-11140"/>
    <s v="Becky Martin"/>
    <s v="Consumer"/>
    <x v="3"/>
    <x v="1"/>
    <n v="40.56"/>
    <n v="4056"/>
    <n v="811.2"/>
  </r>
  <r>
    <n v="1227"/>
    <s v="CA-2017-126004"/>
    <x v="429"/>
    <d v="2017-12-05T00:00:00"/>
    <x v="2"/>
    <s v="BM-11140"/>
    <s v="Becky Martin"/>
    <s v="Consumer"/>
    <x v="3"/>
    <x v="1"/>
    <n v="182.94"/>
    <n v="18294"/>
    <n v="3658.8"/>
  </r>
  <r>
    <n v="1228"/>
    <s v="CA-2017-126004"/>
    <x v="429"/>
    <d v="2017-12-05T00:00:00"/>
    <x v="2"/>
    <s v="BM-11140"/>
    <s v="Becky Martin"/>
    <s v="Consumer"/>
    <x v="3"/>
    <x v="1"/>
    <n v="193.86"/>
    <n v="19386"/>
    <n v="3877.2000000000003"/>
  </r>
  <r>
    <n v="1229"/>
    <s v="CA-2018-100013"/>
    <x v="44"/>
    <d v="2018-11-11T00:00:00"/>
    <x v="1"/>
    <s v="ZC-21910"/>
    <s v="Zuschuss Carroll"/>
    <s v="Consumer"/>
    <x v="1"/>
    <x v="1"/>
    <n v="15.28"/>
    <n v="1528"/>
    <n v="305.60000000000002"/>
  </r>
  <r>
    <n v="1230"/>
    <s v="CA-2018-100013"/>
    <x v="44"/>
    <d v="2018-11-11T00:00:00"/>
    <x v="1"/>
    <s v="ZC-21910"/>
    <s v="Zuschuss Carroll"/>
    <s v="Consumer"/>
    <x v="1"/>
    <x v="0"/>
    <n v="8.73"/>
    <n v="873"/>
    <n v="174.60000000000002"/>
  </r>
  <r>
    <n v="1231"/>
    <s v="CA-2018-100013"/>
    <x v="44"/>
    <d v="2018-11-11T00:00:00"/>
    <x v="1"/>
    <s v="ZC-21910"/>
    <s v="Zuschuss Carroll"/>
    <s v="Consumer"/>
    <x v="1"/>
    <x v="1"/>
    <n v="5.68"/>
    <n v="568"/>
    <n v="113.60000000000001"/>
  </r>
  <r>
    <n v="1232"/>
    <s v="CA-2016-132570"/>
    <x v="89"/>
    <d v="2016-11-02T00:00:00"/>
    <x v="0"/>
    <s v="KT-16480"/>
    <s v="Kean Thornton"/>
    <s v="Consumer"/>
    <x v="3"/>
    <x v="1"/>
    <n v="2.78"/>
    <n v="278"/>
    <n v="55.6"/>
  </r>
  <r>
    <n v="1233"/>
    <s v="CA-2016-132570"/>
    <x v="89"/>
    <d v="2016-11-02T00:00:00"/>
    <x v="0"/>
    <s v="KT-16480"/>
    <s v="Kean Thornton"/>
    <s v="Consumer"/>
    <x v="3"/>
    <x v="1"/>
    <n v="79.959999999999994"/>
    <n v="7995.9999999999991"/>
    <n v="1599.1999999999998"/>
  </r>
  <r>
    <n v="1234"/>
    <s v="CA-2017-153682"/>
    <x v="198"/>
    <d v="2017-06-01T00:00:00"/>
    <x v="2"/>
    <s v="BG-11695"/>
    <s v="Brooke Gillingham"/>
    <s v="Corporate"/>
    <x v="3"/>
    <x v="2"/>
    <n v="839.98800000000006"/>
    <n v="83998.8"/>
    <n v="16799.760000000002"/>
  </r>
  <r>
    <n v="1235"/>
    <s v="CA-2017-144344"/>
    <x v="99"/>
    <d v="2017-10-28T00:00:00"/>
    <x v="3"/>
    <s v="PG-18820"/>
    <s v="Patrick Gardner"/>
    <s v="Consumer"/>
    <x v="0"/>
    <x v="0"/>
    <n v="47.951999999999998"/>
    <n v="4795.2"/>
    <n v="959.04"/>
  </r>
  <r>
    <n v="1236"/>
    <s v="CA-2017-144344"/>
    <x v="99"/>
    <d v="2017-10-28T00:00:00"/>
    <x v="3"/>
    <s v="PG-18820"/>
    <s v="Patrick Gardner"/>
    <s v="Consumer"/>
    <x v="0"/>
    <x v="1"/>
    <n v="37.424999999999997"/>
    <n v="3742.4999999999995"/>
    <n v="748.5"/>
  </r>
  <r>
    <n v="1237"/>
    <s v="CA-2017-144344"/>
    <x v="99"/>
    <d v="2017-10-28T00:00:00"/>
    <x v="3"/>
    <s v="PG-18820"/>
    <s v="Patrick Gardner"/>
    <s v="Consumer"/>
    <x v="0"/>
    <x v="0"/>
    <n v="63.968000000000004"/>
    <n v="6396.8"/>
    <n v="1279.3600000000001"/>
  </r>
  <r>
    <n v="1238"/>
    <s v="CA-2017-144344"/>
    <x v="99"/>
    <d v="2017-10-28T00:00:00"/>
    <x v="3"/>
    <s v="PG-18820"/>
    <s v="Patrick Gardner"/>
    <s v="Consumer"/>
    <x v="0"/>
    <x v="0"/>
    <n v="165.048"/>
    <n v="16504.8"/>
    <n v="3300.96"/>
  </r>
  <r>
    <n v="1239"/>
    <s v="CA-2015-127012"/>
    <x v="430"/>
    <d v="2015-08-15T00:00:00"/>
    <x v="1"/>
    <s v="GM-14680"/>
    <s v="Greg Matthias"/>
    <s v="Consumer"/>
    <x v="1"/>
    <x v="0"/>
    <n v="12.35"/>
    <n v="1235"/>
    <n v="247"/>
  </r>
  <r>
    <n v="1240"/>
    <s v="CA-2015-127012"/>
    <x v="430"/>
    <d v="2015-08-15T00:00:00"/>
    <x v="1"/>
    <s v="GM-14680"/>
    <s v="Greg Matthias"/>
    <s v="Consumer"/>
    <x v="1"/>
    <x v="1"/>
    <n v="40.97"/>
    <n v="4097"/>
    <n v="819.40000000000009"/>
  </r>
  <r>
    <n v="1241"/>
    <s v="CA-2015-127012"/>
    <x v="430"/>
    <d v="2015-08-15T00:00:00"/>
    <x v="1"/>
    <s v="GM-14680"/>
    <s v="Greg Matthias"/>
    <s v="Consumer"/>
    <x v="1"/>
    <x v="1"/>
    <n v="22.96"/>
    <n v="2296"/>
    <n v="459.20000000000005"/>
  </r>
  <r>
    <n v="1242"/>
    <s v="CA-2017-128727"/>
    <x v="48"/>
    <d v="2017-09-04T00:00:00"/>
    <x v="1"/>
    <s v="MO-17800"/>
    <s v="Meg O'Connel"/>
    <s v="Home Office"/>
    <x v="3"/>
    <x v="2"/>
    <n v="22"/>
    <n v="2200"/>
    <n v="440"/>
  </r>
  <r>
    <n v="1243"/>
    <s v="US-2017-162859"/>
    <x v="431"/>
    <d v="2017-02-22T00:00:00"/>
    <x v="1"/>
    <s v="PG-18820"/>
    <s v="Patrick Gardner"/>
    <s v="Consumer"/>
    <x v="3"/>
    <x v="1"/>
    <n v="398.35199999999998"/>
    <n v="39835.199999999997"/>
    <n v="7967.04"/>
  </r>
  <r>
    <n v="1244"/>
    <s v="US-2017-162859"/>
    <x v="431"/>
    <d v="2017-02-22T00:00:00"/>
    <x v="1"/>
    <s v="PG-18820"/>
    <s v="Patrick Gardner"/>
    <s v="Consumer"/>
    <x v="3"/>
    <x v="1"/>
    <n v="8.7200000000000006"/>
    <n v="872.00000000000011"/>
    <n v="174.40000000000003"/>
  </r>
  <r>
    <n v="1245"/>
    <s v="CA-2018-133641"/>
    <x v="304"/>
    <d v="2018-05-21T00:00:00"/>
    <x v="1"/>
    <s v="EJ-14155"/>
    <s v="Eva Jacobs"/>
    <s v="Consumer"/>
    <x v="0"/>
    <x v="1"/>
    <n v="48.69"/>
    <n v="4869"/>
    <n v="973.80000000000007"/>
  </r>
  <r>
    <n v="1246"/>
    <s v="CA-2015-168494"/>
    <x v="432"/>
    <d v="2015-12-14T00:00:00"/>
    <x v="0"/>
    <s v="NP-18700"/>
    <s v="Nora Preis"/>
    <s v="Consumer"/>
    <x v="1"/>
    <x v="0"/>
    <n v="764.68799999999999"/>
    <n v="76468.800000000003"/>
    <n v="15293.760000000002"/>
  </r>
  <r>
    <n v="1247"/>
    <s v="CA-2015-168494"/>
    <x v="432"/>
    <d v="2015-12-14T00:00:00"/>
    <x v="0"/>
    <s v="NP-18700"/>
    <s v="Nora Preis"/>
    <s v="Consumer"/>
    <x v="1"/>
    <x v="0"/>
    <n v="3610.848"/>
    <n v="361084.8"/>
    <n v="72216.960000000006"/>
  </r>
  <r>
    <n v="1248"/>
    <s v="CA-2015-168494"/>
    <x v="432"/>
    <d v="2015-12-14T00:00:00"/>
    <x v="0"/>
    <s v="NP-18700"/>
    <s v="Nora Preis"/>
    <s v="Consumer"/>
    <x v="1"/>
    <x v="0"/>
    <n v="254.97450000000001"/>
    <n v="25497.45"/>
    <n v="5099.4900000000007"/>
  </r>
  <r>
    <n v="1249"/>
    <s v="CA-2018-115602"/>
    <x v="404"/>
    <d v="2018-12-24T00:00:00"/>
    <x v="1"/>
    <s v="DJ-13630"/>
    <s v="Doug Jacobs"/>
    <s v="Consumer"/>
    <x v="3"/>
    <x v="1"/>
    <n v="38.82"/>
    <n v="3882"/>
    <n v="776.40000000000009"/>
  </r>
  <r>
    <n v="1250"/>
    <s v="CA-2018-115602"/>
    <x v="404"/>
    <d v="2018-12-24T00:00:00"/>
    <x v="1"/>
    <s v="DJ-13630"/>
    <s v="Doug Jacobs"/>
    <s v="Consumer"/>
    <x v="3"/>
    <x v="0"/>
    <n v="1141.9380000000001"/>
    <n v="114193.80000000002"/>
    <n v="22838.760000000006"/>
  </r>
  <r>
    <n v="1251"/>
    <s v="CA-2018-115602"/>
    <x v="404"/>
    <d v="2018-12-24T00:00:00"/>
    <x v="1"/>
    <s v="DJ-13630"/>
    <s v="Doug Jacobs"/>
    <s v="Consumer"/>
    <x v="3"/>
    <x v="1"/>
    <n v="1704.56"/>
    <n v="170456"/>
    <n v="34091.200000000004"/>
  </r>
  <r>
    <n v="1252"/>
    <s v="CA-2018-115602"/>
    <x v="404"/>
    <d v="2018-12-24T00:00:00"/>
    <x v="1"/>
    <s v="DJ-13630"/>
    <s v="Doug Jacobs"/>
    <s v="Consumer"/>
    <x v="3"/>
    <x v="1"/>
    <n v="3.2"/>
    <n v="320"/>
    <n v="64"/>
  </r>
  <r>
    <n v="1253"/>
    <s v="CA-2016-154956"/>
    <x v="433"/>
    <d v="2016-07-09T00:00:00"/>
    <x v="1"/>
    <s v="IM-15070"/>
    <s v="Irene Maddox"/>
    <s v="Consumer"/>
    <x v="2"/>
    <x v="2"/>
    <n v="1099.96"/>
    <n v="109996"/>
    <n v="21999.200000000001"/>
  </r>
  <r>
    <n v="1254"/>
    <s v="CA-2018-144638"/>
    <x v="434"/>
    <d v="2018-03-14T00:00:00"/>
    <x v="1"/>
    <s v="MH-18115"/>
    <s v="Mick Hernandez"/>
    <s v="Home Office"/>
    <x v="3"/>
    <x v="1"/>
    <n v="5.2480000000000002"/>
    <n v="524.80000000000007"/>
    <n v="104.96000000000002"/>
  </r>
  <r>
    <n v="1255"/>
    <s v="CA-2018-144638"/>
    <x v="434"/>
    <d v="2018-03-14T00:00:00"/>
    <x v="1"/>
    <s v="MH-18115"/>
    <s v="Mick Hernandez"/>
    <s v="Home Office"/>
    <x v="3"/>
    <x v="2"/>
    <n v="35.909999999999997"/>
    <n v="3590.9999999999995"/>
    <n v="718.19999999999993"/>
  </r>
  <r>
    <n v="1256"/>
    <s v="CA-2018-144638"/>
    <x v="434"/>
    <d v="2018-03-14T00:00:00"/>
    <x v="1"/>
    <s v="MH-18115"/>
    <s v="Mick Hernandez"/>
    <s v="Home Office"/>
    <x v="3"/>
    <x v="0"/>
    <n v="6.6959999999999997"/>
    <n v="669.6"/>
    <n v="133.92000000000002"/>
  </r>
  <r>
    <n v="1257"/>
    <s v="CA-2018-144638"/>
    <x v="434"/>
    <d v="2018-03-14T00:00:00"/>
    <x v="1"/>
    <s v="MH-18115"/>
    <s v="Mick Hernandez"/>
    <s v="Home Office"/>
    <x v="3"/>
    <x v="0"/>
    <n v="43.872"/>
    <n v="4387.2"/>
    <n v="877.44"/>
  </r>
  <r>
    <n v="1258"/>
    <s v="US-2017-168620"/>
    <x v="435"/>
    <d v="2017-12-28T00:00:00"/>
    <x v="0"/>
    <s v="RB-19795"/>
    <s v="Ross Baird"/>
    <s v="Home Office"/>
    <x v="0"/>
    <x v="1"/>
    <n v="27.882000000000001"/>
    <n v="2788.2000000000003"/>
    <n v="557.6400000000001"/>
  </r>
  <r>
    <n v="1259"/>
    <s v="US-2017-168620"/>
    <x v="435"/>
    <d v="2017-12-28T00:00:00"/>
    <x v="0"/>
    <s v="RB-19795"/>
    <s v="Ross Baird"/>
    <s v="Home Office"/>
    <x v="0"/>
    <x v="1"/>
    <n v="540.048"/>
    <n v="54004.800000000003"/>
    <n v="10800.960000000001"/>
  </r>
  <r>
    <n v="1260"/>
    <s v="US-2017-168620"/>
    <x v="435"/>
    <d v="2017-12-28T00:00:00"/>
    <x v="0"/>
    <s v="RB-19795"/>
    <s v="Ross Baird"/>
    <s v="Home Office"/>
    <x v="0"/>
    <x v="2"/>
    <n v="255.68"/>
    <n v="25568"/>
    <n v="5113.6000000000004"/>
  </r>
  <r>
    <n v="1261"/>
    <s v="CA-2018-117079"/>
    <x v="436"/>
    <d v="2018-10-27T00:00:00"/>
    <x v="1"/>
    <s v="JR-15700"/>
    <s v="Jocasta Rupert"/>
    <s v="Consumer"/>
    <x v="0"/>
    <x v="2"/>
    <n v="863.88"/>
    <n v="86388"/>
    <n v="17277.600000000002"/>
  </r>
  <r>
    <n v="1262"/>
    <s v="US-2017-144393"/>
    <x v="99"/>
    <d v="2017-11-04T00:00:00"/>
    <x v="1"/>
    <s v="SM-20950"/>
    <s v="Suzanne McNair"/>
    <s v="Corporate"/>
    <x v="0"/>
    <x v="1"/>
    <n v="17.616"/>
    <n v="1761.6"/>
    <n v="352.32"/>
  </r>
  <r>
    <n v="1263"/>
    <s v="CA-2018-105053"/>
    <x v="437"/>
    <d v="2018-07-09T00:00:00"/>
    <x v="0"/>
    <s v="CS-12355"/>
    <s v="Christine Sundaresam"/>
    <s v="Consumer"/>
    <x v="3"/>
    <x v="1"/>
    <n v="17.472000000000001"/>
    <n v="1747.2"/>
    <n v="349.44000000000005"/>
  </r>
  <r>
    <n v="1264"/>
    <s v="CA-2017-155992"/>
    <x v="393"/>
    <d v="2017-10-02T00:00:00"/>
    <x v="2"/>
    <s v="CC-12220"/>
    <s v="Chris Cortes"/>
    <s v="Consumer"/>
    <x v="2"/>
    <x v="2"/>
    <n v="69.900000000000006"/>
    <n v="6990.0000000000009"/>
    <n v="1398.0000000000002"/>
  </r>
  <r>
    <n v="1265"/>
    <s v="CA-2017-155992"/>
    <x v="393"/>
    <d v="2017-10-02T00:00:00"/>
    <x v="2"/>
    <s v="CC-12220"/>
    <s v="Chris Cortes"/>
    <s v="Consumer"/>
    <x v="2"/>
    <x v="0"/>
    <n v="41.85"/>
    <n v="4185"/>
    <n v="837"/>
  </r>
  <r>
    <n v="1266"/>
    <s v="CA-2018-110380"/>
    <x v="264"/>
    <d v="2018-09-07T00:00:00"/>
    <x v="1"/>
    <s v="PF-19225"/>
    <s v="Phillip Flathmann"/>
    <s v="Consumer"/>
    <x v="1"/>
    <x v="1"/>
    <n v="6.57"/>
    <n v="657"/>
    <n v="131.4"/>
  </r>
  <r>
    <n v="1267"/>
    <s v="US-2015-167738"/>
    <x v="163"/>
    <d v="2015-12-29T00:00:00"/>
    <x v="1"/>
    <s v="JC-16105"/>
    <s v="Julie Creighton"/>
    <s v="Corporate"/>
    <x v="1"/>
    <x v="1"/>
    <n v="142.86000000000001"/>
    <n v="14286.000000000002"/>
    <n v="2857.2000000000007"/>
  </r>
  <r>
    <n v="1268"/>
    <s v="US-2015-167738"/>
    <x v="163"/>
    <d v="2015-12-29T00:00:00"/>
    <x v="1"/>
    <s v="JC-16105"/>
    <s v="Julie Creighton"/>
    <s v="Corporate"/>
    <x v="1"/>
    <x v="0"/>
    <n v="292.27199999999999"/>
    <n v="29227.200000000001"/>
    <n v="5845.4400000000005"/>
  </r>
  <r>
    <n v="1269"/>
    <s v="CA-2018-121412"/>
    <x v="397"/>
    <d v="2018-09-27T00:00:00"/>
    <x v="1"/>
    <s v="BG-11695"/>
    <s v="Brooke Gillingham"/>
    <s v="Corporate"/>
    <x v="1"/>
    <x v="0"/>
    <n v="29.327999999999999"/>
    <n v="2932.7999999999997"/>
    <n v="586.55999999999995"/>
  </r>
  <r>
    <n v="1270"/>
    <s v="CA-2018-100426"/>
    <x v="400"/>
    <d v="2018-06-08T00:00:00"/>
    <x v="1"/>
    <s v="DC-12850"/>
    <s v="Dan Campbell"/>
    <s v="Consumer"/>
    <x v="0"/>
    <x v="1"/>
    <n v="12.48"/>
    <n v="1248"/>
    <n v="249.60000000000002"/>
  </r>
  <r>
    <n v="1271"/>
    <s v="US-2017-103646"/>
    <x v="438"/>
    <d v="2017-04-26T00:00:00"/>
    <x v="1"/>
    <s v="SP-20545"/>
    <s v="Sibella Parks"/>
    <s v="Corporate"/>
    <x v="2"/>
    <x v="1"/>
    <n v="102.336"/>
    <n v="10233.6"/>
    <n v="2046.7200000000003"/>
  </r>
  <r>
    <n v="1272"/>
    <s v="US-2017-103646"/>
    <x v="438"/>
    <d v="2017-04-26T00:00:00"/>
    <x v="1"/>
    <s v="SP-20545"/>
    <s v="Sibella Parks"/>
    <s v="Corporate"/>
    <x v="2"/>
    <x v="1"/>
    <n v="48.792000000000002"/>
    <n v="4879.2"/>
    <n v="975.84"/>
  </r>
  <r>
    <n v="1273"/>
    <s v="US-2017-103646"/>
    <x v="438"/>
    <d v="2017-04-26T00:00:00"/>
    <x v="1"/>
    <s v="SP-20545"/>
    <s v="Sibella Parks"/>
    <s v="Corporate"/>
    <x v="2"/>
    <x v="1"/>
    <n v="44.847999999999999"/>
    <n v="4484.8"/>
    <n v="896.96"/>
  </r>
  <r>
    <n v="1274"/>
    <s v="CA-2017-119186"/>
    <x v="439"/>
    <d v="2017-05-26T00:00:00"/>
    <x v="3"/>
    <s v="MS-17710"/>
    <s v="Maurice Satty"/>
    <s v="Consumer"/>
    <x v="2"/>
    <x v="1"/>
    <n v="10.368"/>
    <n v="1036.8"/>
    <n v="207.36"/>
  </r>
  <r>
    <n v="1275"/>
    <s v="CA-2017-119186"/>
    <x v="439"/>
    <d v="2017-05-26T00:00:00"/>
    <x v="3"/>
    <s v="MS-17710"/>
    <s v="Maurice Satty"/>
    <s v="Consumer"/>
    <x v="2"/>
    <x v="0"/>
    <n v="388.43"/>
    <n v="38843"/>
    <n v="7768.6"/>
  </r>
  <r>
    <n v="1276"/>
    <s v="CA-2017-119186"/>
    <x v="439"/>
    <d v="2017-05-26T00:00:00"/>
    <x v="3"/>
    <s v="MS-17710"/>
    <s v="Maurice Satty"/>
    <s v="Consumer"/>
    <x v="2"/>
    <x v="1"/>
    <n v="14.352"/>
    <n v="1435.2"/>
    <n v="287.04000000000002"/>
  </r>
  <r>
    <n v="1277"/>
    <s v="CA-2017-119186"/>
    <x v="439"/>
    <d v="2017-05-26T00:00:00"/>
    <x v="3"/>
    <s v="MS-17710"/>
    <s v="Maurice Satty"/>
    <s v="Consumer"/>
    <x v="2"/>
    <x v="2"/>
    <n v="63.991999999999997"/>
    <n v="6399.2"/>
    <n v="1279.8400000000001"/>
  </r>
  <r>
    <n v="1278"/>
    <s v="CA-2017-148698"/>
    <x v="440"/>
    <d v="2017-05-07T00:00:00"/>
    <x v="1"/>
    <s v="BD-11770"/>
    <s v="Bryan Davis"/>
    <s v="Consumer"/>
    <x v="2"/>
    <x v="1"/>
    <n v="86.352000000000004"/>
    <n v="8635.2000000000007"/>
    <n v="1727.0400000000002"/>
  </r>
  <r>
    <n v="1279"/>
    <s v="CA-2015-163293"/>
    <x v="78"/>
    <d v="2015-09-11T00:00:00"/>
    <x v="2"/>
    <s v="KC-16255"/>
    <s v="Karen Carlisle"/>
    <s v="Corporate"/>
    <x v="0"/>
    <x v="2"/>
    <n v="32.97"/>
    <n v="3297"/>
    <n v="659.40000000000009"/>
  </r>
  <r>
    <n v="1280"/>
    <s v="CA-2015-163293"/>
    <x v="78"/>
    <d v="2015-09-11T00:00:00"/>
    <x v="2"/>
    <s v="KC-16255"/>
    <s v="Karen Carlisle"/>
    <s v="Corporate"/>
    <x v="0"/>
    <x v="2"/>
    <n v="83.88"/>
    <n v="8388"/>
    <n v="1677.6000000000001"/>
  </r>
  <r>
    <n v="1281"/>
    <s v="CA-2017-160815"/>
    <x v="64"/>
    <d v="2017-09-06T00:00:00"/>
    <x v="2"/>
    <s v="TR-21325"/>
    <s v="Toby Ritter"/>
    <s v="Consumer"/>
    <x v="2"/>
    <x v="2"/>
    <n v="278.39999999999998"/>
    <n v="27839.999999999996"/>
    <n v="5568"/>
  </r>
  <r>
    <n v="1282"/>
    <s v="CA-2018-122154"/>
    <x v="359"/>
    <d v="2018-04-11T00:00:00"/>
    <x v="2"/>
    <s v="SA-20830"/>
    <s v="Sue Ann Reed"/>
    <s v="Consumer"/>
    <x v="0"/>
    <x v="1"/>
    <n v="15.12"/>
    <n v="1512"/>
    <n v="302.40000000000003"/>
  </r>
  <r>
    <n v="1283"/>
    <s v="CA-2018-122154"/>
    <x v="359"/>
    <d v="2018-04-11T00:00:00"/>
    <x v="2"/>
    <s v="SA-20830"/>
    <s v="Sue Ann Reed"/>
    <s v="Consumer"/>
    <x v="0"/>
    <x v="1"/>
    <n v="17.43"/>
    <n v="1743"/>
    <n v="348.6"/>
  </r>
  <r>
    <n v="1284"/>
    <s v="CA-2018-122154"/>
    <x v="359"/>
    <d v="2018-04-11T00:00:00"/>
    <x v="2"/>
    <s v="SA-20830"/>
    <s v="Sue Ann Reed"/>
    <s v="Consumer"/>
    <x v="0"/>
    <x v="1"/>
    <n v="251.64"/>
    <n v="25164"/>
    <n v="5032.8"/>
  </r>
  <r>
    <n v="1285"/>
    <s v="US-2016-149692"/>
    <x v="401"/>
    <d v="2016-12-12T00:00:00"/>
    <x v="1"/>
    <s v="KW-16435"/>
    <s v="Katrina Willman"/>
    <s v="Consumer"/>
    <x v="2"/>
    <x v="1"/>
    <n v="2.7719999999999998"/>
    <n v="277.2"/>
    <n v="55.44"/>
  </r>
  <r>
    <n v="1286"/>
    <s v="CA-2017-119445"/>
    <x v="190"/>
    <d v="2017-07-03T00:00:00"/>
    <x v="1"/>
    <s v="GM-14500"/>
    <s v="Gene McClure"/>
    <s v="Consumer"/>
    <x v="3"/>
    <x v="1"/>
    <n v="14.9"/>
    <n v="1490"/>
    <n v="298"/>
  </r>
  <r>
    <n v="1287"/>
    <s v="CA-2016-124268"/>
    <x v="433"/>
    <d v="2016-07-08T00:00:00"/>
    <x v="1"/>
    <s v="AD-10180"/>
    <s v="Alan Dominguez"/>
    <s v="Home Office"/>
    <x v="3"/>
    <x v="1"/>
    <n v="15.48"/>
    <n v="1548"/>
    <n v="309.60000000000002"/>
  </r>
  <r>
    <n v="1288"/>
    <s v="CA-2017-154711"/>
    <x v="441"/>
    <d v="2017-11-26T00:00:00"/>
    <x v="1"/>
    <s v="TB-21355"/>
    <s v="Todd Boyes"/>
    <s v="Corporate"/>
    <x v="3"/>
    <x v="0"/>
    <n v="39.880000000000003"/>
    <n v="3988.0000000000005"/>
    <n v="797.60000000000014"/>
  </r>
  <r>
    <n v="1289"/>
    <s v="CA-2017-154711"/>
    <x v="441"/>
    <d v="2017-11-26T00:00:00"/>
    <x v="1"/>
    <s v="TB-21355"/>
    <s v="Todd Boyes"/>
    <s v="Corporate"/>
    <x v="3"/>
    <x v="1"/>
    <n v="12.192"/>
    <n v="1219.2"/>
    <n v="243.84000000000003"/>
  </r>
  <r>
    <n v="1290"/>
    <s v="CA-2017-154711"/>
    <x v="441"/>
    <d v="2017-11-26T00:00:00"/>
    <x v="1"/>
    <s v="TB-21355"/>
    <s v="Todd Boyes"/>
    <s v="Corporate"/>
    <x v="3"/>
    <x v="1"/>
    <n v="20.82"/>
    <n v="2082"/>
    <n v="416.40000000000003"/>
  </r>
  <r>
    <n v="1291"/>
    <s v="CA-2017-163384"/>
    <x v="338"/>
    <d v="2017-11-12T00:00:00"/>
    <x v="2"/>
    <s v="CC-12430"/>
    <s v="Chuck Clark"/>
    <s v="Home Office"/>
    <x v="1"/>
    <x v="1"/>
    <n v="13.215999999999999"/>
    <n v="1321.6"/>
    <n v="264.32"/>
  </r>
  <r>
    <n v="1292"/>
    <s v="CA-2017-163384"/>
    <x v="338"/>
    <d v="2017-11-12T00:00:00"/>
    <x v="2"/>
    <s v="CC-12430"/>
    <s v="Chuck Clark"/>
    <s v="Home Office"/>
    <x v="1"/>
    <x v="1"/>
    <n v="32.4"/>
    <n v="3240"/>
    <n v="648"/>
  </r>
  <r>
    <n v="1293"/>
    <s v="CA-2016-101707"/>
    <x v="375"/>
    <d v="2016-09-01T00:00:00"/>
    <x v="1"/>
    <s v="PF-19165"/>
    <s v="Philip Fox"/>
    <s v="Consumer"/>
    <x v="1"/>
    <x v="1"/>
    <n v="32.94"/>
    <n v="3294"/>
    <n v="658.80000000000007"/>
  </r>
  <r>
    <n v="1294"/>
    <s v="CA-2016-101707"/>
    <x v="375"/>
    <d v="2016-09-01T00:00:00"/>
    <x v="1"/>
    <s v="PF-19165"/>
    <s v="Philip Fox"/>
    <s v="Consumer"/>
    <x v="1"/>
    <x v="1"/>
    <n v="114.2"/>
    <n v="11420"/>
    <n v="2284"/>
  </r>
  <r>
    <n v="1295"/>
    <s v="CA-2016-101707"/>
    <x v="375"/>
    <d v="2016-09-01T00:00:00"/>
    <x v="1"/>
    <s v="PF-19165"/>
    <s v="Philip Fox"/>
    <s v="Consumer"/>
    <x v="1"/>
    <x v="1"/>
    <n v="3.08"/>
    <n v="308"/>
    <n v="61.6"/>
  </r>
  <r>
    <n v="1296"/>
    <s v="CA-2016-138898"/>
    <x v="442"/>
    <d v="2016-05-29T00:00:00"/>
    <x v="1"/>
    <s v="JH-16180"/>
    <s v="Justin Hirsh"/>
    <s v="Consumer"/>
    <x v="1"/>
    <x v="1"/>
    <n v="845.72799999999995"/>
    <n v="84572.799999999988"/>
    <n v="16914.559999999998"/>
  </r>
  <r>
    <n v="1297"/>
    <s v="CA-2018-115427"/>
    <x v="247"/>
    <d v="2019-01-03T00:00:00"/>
    <x v="1"/>
    <s v="EB-13975"/>
    <s v="Erica Bern"/>
    <s v="Corporate"/>
    <x v="1"/>
    <x v="1"/>
    <n v="13.904"/>
    <n v="1390.4"/>
    <n v="278.08000000000004"/>
  </r>
  <r>
    <n v="1298"/>
    <s v="CA-2018-115427"/>
    <x v="247"/>
    <d v="2019-01-03T00:00:00"/>
    <x v="1"/>
    <s v="EB-13975"/>
    <s v="Erica Bern"/>
    <s v="Corporate"/>
    <x v="1"/>
    <x v="1"/>
    <n v="20.72"/>
    <n v="2072"/>
    <n v="414.40000000000003"/>
  </r>
  <r>
    <n v="1299"/>
    <s v="CA-2017-134425"/>
    <x v="16"/>
    <d v="2017-12-12T00:00:00"/>
    <x v="0"/>
    <s v="QJ-19255"/>
    <s v="Quincy Jones"/>
    <s v="Corporate"/>
    <x v="2"/>
    <x v="2"/>
    <n v="114.95"/>
    <n v="11495"/>
    <n v="2299"/>
  </r>
  <r>
    <n v="1300"/>
    <s v="CA-2016-121391"/>
    <x v="242"/>
    <d v="2016-10-07T00:00:00"/>
    <x v="2"/>
    <s v="AA-10315"/>
    <s v="Alex Avila"/>
    <s v="Consumer"/>
    <x v="1"/>
    <x v="1"/>
    <n v="26.96"/>
    <n v="2696"/>
    <n v="539.20000000000005"/>
  </r>
  <r>
    <n v="1301"/>
    <s v="CA-2017-137043"/>
    <x v="443"/>
    <d v="2017-12-25T00:00:00"/>
    <x v="0"/>
    <s v="LC-17140"/>
    <s v="Logan Currie"/>
    <s v="Consumer"/>
    <x v="0"/>
    <x v="0"/>
    <n v="572.76"/>
    <n v="57276"/>
    <n v="11455.2"/>
  </r>
  <r>
    <n v="1302"/>
    <s v="CA-2017-137043"/>
    <x v="443"/>
    <d v="2017-12-25T00:00:00"/>
    <x v="0"/>
    <s v="LC-17140"/>
    <s v="Logan Currie"/>
    <s v="Consumer"/>
    <x v="0"/>
    <x v="0"/>
    <n v="286.38"/>
    <n v="28638"/>
    <n v="5727.6"/>
  </r>
  <r>
    <n v="1303"/>
    <s v="CA-2016-115847"/>
    <x v="444"/>
    <d v="2016-09-24T00:00:00"/>
    <x v="0"/>
    <s v="TC-21535"/>
    <s v="Tracy Collins"/>
    <s v="Home Office"/>
    <x v="0"/>
    <x v="0"/>
    <n v="61.96"/>
    <n v="6196"/>
    <n v="1239.2"/>
  </r>
  <r>
    <n v="1304"/>
    <s v="US-2018-126179"/>
    <x v="445"/>
    <d v="2018-07-07T00:00:00"/>
    <x v="1"/>
    <s v="CS-12460"/>
    <s v="Chuck Sachs"/>
    <s v="Consumer"/>
    <x v="0"/>
    <x v="0"/>
    <n v="23.99"/>
    <n v="2399"/>
    <n v="479.8"/>
  </r>
  <r>
    <n v="1305"/>
    <s v="US-2018-126179"/>
    <x v="445"/>
    <d v="2018-07-07T00:00:00"/>
    <x v="1"/>
    <s v="CS-12460"/>
    <s v="Chuck Sachs"/>
    <s v="Consumer"/>
    <x v="0"/>
    <x v="2"/>
    <n v="287.97000000000003"/>
    <n v="28797.000000000004"/>
    <n v="5759.4000000000015"/>
  </r>
  <r>
    <n v="1306"/>
    <s v="CA-2017-101966"/>
    <x v="216"/>
    <d v="2017-07-16T00:00:00"/>
    <x v="0"/>
    <s v="BM-11785"/>
    <s v="Bryan Mills"/>
    <s v="Consumer"/>
    <x v="2"/>
    <x v="2"/>
    <n v="419.94400000000002"/>
    <n v="41994.400000000001"/>
    <n v="8398.880000000001"/>
  </r>
  <r>
    <n v="1307"/>
    <s v="CA-2017-141397"/>
    <x v="23"/>
    <d v="2017-06-21T00:00:00"/>
    <x v="2"/>
    <s v="RC-19825"/>
    <s v="Roy Collins"/>
    <s v="Consumer"/>
    <x v="1"/>
    <x v="1"/>
    <n v="46.76"/>
    <n v="4676"/>
    <n v="935.2"/>
  </r>
  <r>
    <n v="1308"/>
    <s v="CA-2017-141397"/>
    <x v="23"/>
    <d v="2017-06-21T00:00:00"/>
    <x v="2"/>
    <s v="RC-19825"/>
    <s v="Roy Collins"/>
    <s v="Consumer"/>
    <x v="1"/>
    <x v="1"/>
    <n v="17.712"/>
    <n v="1771.2"/>
    <n v="354.24"/>
  </r>
  <r>
    <n v="1309"/>
    <s v="CA-2017-141397"/>
    <x v="23"/>
    <d v="2017-06-21T00:00:00"/>
    <x v="2"/>
    <s v="RC-19825"/>
    <s v="Roy Collins"/>
    <s v="Consumer"/>
    <x v="1"/>
    <x v="1"/>
    <n v="21.78"/>
    <n v="2178"/>
    <n v="435.6"/>
  </r>
  <r>
    <n v="1310"/>
    <s v="CA-2017-141397"/>
    <x v="23"/>
    <d v="2017-06-21T00:00:00"/>
    <x v="2"/>
    <s v="RC-19825"/>
    <s v="Roy Collins"/>
    <s v="Consumer"/>
    <x v="1"/>
    <x v="1"/>
    <n v="161.94"/>
    <n v="16194"/>
    <n v="3238.8"/>
  </r>
  <r>
    <n v="1311"/>
    <s v="CA-2017-141397"/>
    <x v="23"/>
    <d v="2017-06-21T00:00:00"/>
    <x v="2"/>
    <s v="RC-19825"/>
    <s v="Roy Collins"/>
    <s v="Consumer"/>
    <x v="1"/>
    <x v="0"/>
    <n v="161.56800000000001"/>
    <n v="16156.800000000001"/>
    <n v="3231.3600000000006"/>
  </r>
  <r>
    <n v="1312"/>
    <s v="CA-2017-141082"/>
    <x v="10"/>
    <d v="2017-12-13T00:00:00"/>
    <x v="1"/>
    <s v="FM-14380"/>
    <s v="Fred McMath"/>
    <s v="Consumer"/>
    <x v="3"/>
    <x v="1"/>
    <n v="3.69"/>
    <n v="369"/>
    <n v="73.8"/>
  </r>
  <r>
    <n v="1313"/>
    <s v="CA-2017-141082"/>
    <x v="10"/>
    <d v="2017-12-13T00:00:00"/>
    <x v="1"/>
    <s v="FM-14380"/>
    <s v="Fred McMath"/>
    <s v="Consumer"/>
    <x v="3"/>
    <x v="1"/>
    <n v="122.12"/>
    <n v="12212"/>
    <n v="2442.4"/>
  </r>
  <r>
    <n v="1314"/>
    <s v="US-2017-134488"/>
    <x v="446"/>
    <d v="2017-10-01T00:00:00"/>
    <x v="1"/>
    <s v="PK-19075"/>
    <s v="Pete Kriz"/>
    <s v="Consumer"/>
    <x v="3"/>
    <x v="0"/>
    <n v="155.37200000000001"/>
    <n v="15537.2"/>
    <n v="3107.4400000000005"/>
  </r>
  <r>
    <n v="1315"/>
    <s v="CA-2017-145919"/>
    <x v="122"/>
    <d v="2017-12-23T00:00:00"/>
    <x v="1"/>
    <s v="HG-14965"/>
    <s v="Henry Goldwyn"/>
    <s v="Corporate"/>
    <x v="1"/>
    <x v="1"/>
    <n v="38.880000000000003"/>
    <n v="3888.0000000000005"/>
    <n v="777.60000000000014"/>
  </r>
  <r>
    <n v="1316"/>
    <s v="CA-2017-145919"/>
    <x v="122"/>
    <d v="2017-12-23T00:00:00"/>
    <x v="1"/>
    <s v="HG-14965"/>
    <s v="Henry Goldwyn"/>
    <s v="Corporate"/>
    <x v="1"/>
    <x v="0"/>
    <n v="183.84"/>
    <n v="18384"/>
    <n v="3676.8"/>
  </r>
  <r>
    <n v="1317"/>
    <s v="CA-2017-145919"/>
    <x v="122"/>
    <d v="2017-12-23T00:00:00"/>
    <x v="1"/>
    <s v="HG-14965"/>
    <s v="Henry Goldwyn"/>
    <s v="Corporate"/>
    <x v="1"/>
    <x v="1"/>
    <n v="579.29999999999995"/>
    <n v="57929.999999999993"/>
    <n v="11586"/>
  </r>
  <r>
    <n v="1318"/>
    <s v="CA-2018-157651"/>
    <x v="389"/>
    <d v="2018-12-14T00:00:00"/>
    <x v="1"/>
    <s v="HA-14920"/>
    <s v="Helen Andreada"/>
    <s v="Consumer"/>
    <x v="3"/>
    <x v="2"/>
    <n v="14.2"/>
    <n v="1420"/>
    <n v="284"/>
  </r>
  <r>
    <n v="1319"/>
    <s v="CA-2015-160773"/>
    <x v="268"/>
    <d v="2015-07-05T00:00:00"/>
    <x v="1"/>
    <s v="LW-16825"/>
    <s v="Laurel Workman"/>
    <s v="Corporate"/>
    <x v="0"/>
    <x v="2"/>
    <n v="575.91999999999996"/>
    <n v="57591.999999999993"/>
    <n v="11518.4"/>
  </r>
  <r>
    <n v="1320"/>
    <s v="CA-2015-160773"/>
    <x v="268"/>
    <d v="2015-07-05T00:00:00"/>
    <x v="1"/>
    <s v="LW-16825"/>
    <s v="Laurel Workman"/>
    <s v="Corporate"/>
    <x v="0"/>
    <x v="1"/>
    <n v="5.1840000000000002"/>
    <n v="518.4"/>
    <n v="103.68"/>
  </r>
  <r>
    <n v="1321"/>
    <s v="CA-2018-167703"/>
    <x v="447"/>
    <d v="2018-02-08T00:00:00"/>
    <x v="1"/>
    <s v="MC-17575"/>
    <s v="Matt Collins"/>
    <s v="Consumer"/>
    <x v="3"/>
    <x v="1"/>
    <n v="5.2290000000000001"/>
    <n v="522.9"/>
    <n v="104.58"/>
  </r>
  <r>
    <n v="1322"/>
    <s v="CA-2018-167703"/>
    <x v="447"/>
    <d v="2018-02-08T00:00:00"/>
    <x v="1"/>
    <s v="MC-17575"/>
    <s v="Matt Collins"/>
    <s v="Consumer"/>
    <x v="3"/>
    <x v="1"/>
    <n v="285.55200000000002"/>
    <n v="28555.200000000001"/>
    <n v="5711.0400000000009"/>
  </r>
  <r>
    <n v="1323"/>
    <s v="CA-2018-121804"/>
    <x v="448"/>
    <d v="2018-03-08T00:00:00"/>
    <x v="1"/>
    <s v="LP-17095"/>
    <s v="Liz Preis"/>
    <s v="Consumer"/>
    <x v="0"/>
    <x v="1"/>
    <n v="72.8"/>
    <n v="7280"/>
    <n v="1456"/>
  </r>
  <r>
    <n v="1324"/>
    <s v="CA-2018-162635"/>
    <x v="449"/>
    <d v="2018-10-10T00:00:00"/>
    <x v="2"/>
    <s v="EB-14170"/>
    <s v="Evan Bailliet"/>
    <s v="Consumer"/>
    <x v="0"/>
    <x v="1"/>
    <n v="10.816000000000001"/>
    <n v="1081.6000000000001"/>
    <n v="216.32000000000005"/>
  </r>
  <r>
    <n v="1325"/>
    <s v="CA-2015-107153"/>
    <x v="450"/>
    <d v="2015-10-03T00:00:00"/>
    <x v="1"/>
    <s v="GZ-14545"/>
    <s v="George Zrebassa"/>
    <s v="Corporate"/>
    <x v="3"/>
    <x v="1"/>
    <n v="46.26"/>
    <n v="4626"/>
    <n v="925.2"/>
  </r>
  <r>
    <n v="1326"/>
    <s v="US-2015-117058"/>
    <x v="279"/>
    <d v="2015-05-30T00:00:00"/>
    <x v="2"/>
    <s v="LE-16810"/>
    <s v="Laurel Elliston"/>
    <s v="Consumer"/>
    <x v="2"/>
    <x v="1"/>
    <n v="17.46"/>
    <n v="1746"/>
    <n v="349.20000000000005"/>
  </r>
  <r>
    <n v="1327"/>
    <s v="CA-2016-120439"/>
    <x v="451"/>
    <d v="2016-06-18T00:00:00"/>
    <x v="1"/>
    <s v="AD-10180"/>
    <s v="Alan Dominguez"/>
    <s v="Home Office"/>
    <x v="3"/>
    <x v="0"/>
    <n v="51.072000000000003"/>
    <n v="5107.2000000000007"/>
    <n v="1021.4400000000002"/>
  </r>
  <r>
    <n v="1328"/>
    <s v="CA-2017-128258"/>
    <x v="452"/>
    <d v="2017-04-01T00:00:00"/>
    <x v="2"/>
    <s v="CP-12085"/>
    <s v="Cathy Prescott"/>
    <s v="Corporate"/>
    <x v="3"/>
    <x v="1"/>
    <n v="11.34"/>
    <n v="1134"/>
    <n v="226.8"/>
  </r>
  <r>
    <n v="1329"/>
    <s v="CA-2018-106033"/>
    <x v="453"/>
    <d v="2018-10-18T00:00:00"/>
    <x v="0"/>
    <s v="FG-14260"/>
    <s v="Frank Gastineau"/>
    <s v="Home Office"/>
    <x v="1"/>
    <x v="1"/>
    <n v="87.92"/>
    <n v="8792"/>
    <n v="1758.4"/>
  </r>
  <r>
    <n v="1330"/>
    <s v="CA-2017-142762"/>
    <x v="454"/>
    <d v="2017-05-27T00:00:00"/>
    <x v="1"/>
    <s v="LD-17005"/>
    <s v="Lisa DeCherney"/>
    <s v="Consumer"/>
    <x v="1"/>
    <x v="0"/>
    <n v="37.049999999999997"/>
    <n v="3704.9999999999995"/>
    <n v="741"/>
  </r>
  <r>
    <n v="1331"/>
    <s v="CA-2018-127705"/>
    <x v="455"/>
    <d v="2018-06-06T00:00:00"/>
    <x v="1"/>
    <s v="AB-10255"/>
    <s v="Alejandro Ballentine"/>
    <s v="Home Office"/>
    <x v="3"/>
    <x v="2"/>
    <n v="2.97"/>
    <n v="297"/>
    <n v="59.400000000000006"/>
  </r>
  <r>
    <n v="1332"/>
    <s v="CA-2018-127705"/>
    <x v="455"/>
    <d v="2018-06-06T00:00:00"/>
    <x v="1"/>
    <s v="AB-10255"/>
    <s v="Alejandro Ballentine"/>
    <s v="Home Office"/>
    <x v="3"/>
    <x v="1"/>
    <n v="27.44"/>
    <n v="2744"/>
    <n v="548.80000000000007"/>
  </r>
  <r>
    <n v="1333"/>
    <s v="CA-2015-122567"/>
    <x v="456"/>
    <d v="2015-02-21T00:00:00"/>
    <x v="1"/>
    <s v="MN-17935"/>
    <s v="Michael Nguyen"/>
    <s v="Consumer"/>
    <x v="2"/>
    <x v="1"/>
    <n v="1.08"/>
    <n v="108"/>
    <n v="21.6"/>
  </r>
  <r>
    <n v="1334"/>
    <s v="CA-2015-122567"/>
    <x v="456"/>
    <d v="2015-02-21T00:00:00"/>
    <x v="1"/>
    <s v="MN-17935"/>
    <s v="Michael Nguyen"/>
    <s v="Consumer"/>
    <x v="2"/>
    <x v="1"/>
    <n v="7.96"/>
    <n v="796"/>
    <n v="159.20000000000002"/>
  </r>
  <r>
    <n v="1335"/>
    <s v="CA-2015-121664"/>
    <x v="457"/>
    <d v="2015-05-10T00:00:00"/>
    <x v="1"/>
    <s v="HP-14815"/>
    <s v="Harold Pawlan"/>
    <s v="Home Office"/>
    <x v="1"/>
    <x v="1"/>
    <n v="140.73599999999999"/>
    <n v="14073.599999999999"/>
    <n v="2814.72"/>
  </r>
  <r>
    <n v="1336"/>
    <s v="CA-2017-122133"/>
    <x v="458"/>
    <d v="2017-05-23T00:00:00"/>
    <x v="1"/>
    <s v="JR-15670"/>
    <s v="Jim Radford"/>
    <s v="Consumer"/>
    <x v="3"/>
    <x v="1"/>
    <n v="552.55999999999995"/>
    <n v="55255.999999999993"/>
    <n v="11051.199999999999"/>
  </r>
  <r>
    <n v="1337"/>
    <s v="US-2018-123281"/>
    <x v="459"/>
    <d v="2018-04-07T00:00:00"/>
    <x v="1"/>
    <s v="JF-15190"/>
    <s v="Jamie Frazer"/>
    <s v="Consumer"/>
    <x v="1"/>
    <x v="0"/>
    <n v="25.11"/>
    <n v="2511"/>
    <n v="502.20000000000005"/>
  </r>
  <r>
    <n v="1338"/>
    <s v="CA-2018-100524"/>
    <x v="185"/>
    <d v="2018-04-02T00:00:00"/>
    <x v="0"/>
    <s v="CM-12115"/>
    <s v="Chad McGuire"/>
    <s v="Consumer"/>
    <x v="3"/>
    <x v="0"/>
    <n v="29.78"/>
    <n v="2978"/>
    <n v="595.6"/>
  </r>
  <r>
    <n v="1339"/>
    <s v="CA-2018-100524"/>
    <x v="185"/>
    <d v="2018-04-02T00:00:00"/>
    <x v="0"/>
    <s v="CM-12115"/>
    <s v="Chad McGuire"/>
    <s v="Consumer"/>
    <x v="3"/>
    <x v="2"/>
    <n v="677.58"/>
    <n v="67758"/>
    <n v="13551.6"/>
  </r>
  <r>
    <n v="1340"/>
    <s v="CA-2018-100524"/>
    <x v="185"/>
    <d v="2018-04-02T00:00:00"/>
    <x v="0"/>
    <s v="CM-12115"/>
    <s v="Chad McGuire"/>
    <s v="Consumer"/>
    <x v="3"/>
    <x v="1"/>
    <n v="75.040000000000006"/>
    <n v="7504.0000000000009"/>
    <n v="1500.8000000000002"/>
  </r>
  <r>
    <n v="1341"/>
    <s v="CA-2018-113481"/>
    <x v="460"/>
    <d v="2018-01-04T00:00:00"/>
    <x v="2"/>
    <s v="AS-10045"/>
    <s v="Aaron Smayling"/>
    <s v="Corporate"/>
    <x v="0"/>
    <x v="2"/>
    <n v="695.7"/>
    <n v="69570"/>
    <n v="13914"/>
  </r>
  <r>
    <n v="1342"/>
    <s v="CA-2018-113481"/>
    <x v="460"/>
    <d v="2018-01-04T00:00:00"/>
    <x v="2"/>
    <s v="AS-10045"/>
    <s v="Aaron Smayling"/>
    <s v="Corporate"/>
    <x v="0"/>
    <x v="1"/>
    <n v="15.66"/>
    <n v="1566"/>
    <n v="313.20000000000005"/>
  </r>
  <r>
    <n v="1343"/>
    <s v="CA-2018-113481"/>
    <x v="460"/>
    <d v="2018-01-04T00:00:00"/>
    <x v="2"/>
    <s v="AS-10045"/>
    <s v="Aaron Smayling"/>
    <s v="Corporate"/>
    <x v="0"/>
    <x v="1"/>
    <n v="28.853999999999999"/>
    <n v="2885.4"/>
    <n v="577.08000000000004"/>
  </r>
  <r>
    <n v="1344"/>
    <s v="CA-2016-131758"/>
    <x v="71"/>
    <d v="2016-06-01T00:00:00"/>
    <x v="1"/>
    <s v="KB-16315"/>
    <s v="Karl Braun"/>
    <s v="Consumer"/>
    <x v="3"/>
    <x v="1"/>
    <n v="47.82"/>
    <n v="4782"/>
    <n v="956.40000000000009"/>
  </r>
  <r>
    <n v="1345"/>
    <s v="CA-2016-131758"/>
    <x v="71"/>
    <d v="2016-06-01T00:00:00"/>
    <x v="1"/>
    <s v="KB-16315"/>
    <s v="Karl Braun"/>
    <s v="Consumer"/>
    <x v="3"/>
    <x v="1"/>
    <n v="13.05"/>
    <n v="1305"/>
    <n v="261"/>
  </r>
  <r>
    <n v="1346"/>
    <s v="CA-2015-118339"/>
    <x v="461"/>
    <d v="2015-03-24T00:00:00"/>
    <x v="1"/>
    <s v="BN-11515"/>
    <s v="Bradley Nguyen"/>
    <s v="Consumer"/>
    <x v="2"/>
    <x v="1"/>
    <n v="93.78"/>
    <n v="9378"/>
    <n v="1875.6000000000001"/>
  </r>
  <r>
    <n v="1347"/>
    <s v="CA-2015-118339"/>
    <x v="461"/>
    <d v="2015-03-24T00:00:00"/>
    <x v="1"/>
    <s v="BN-11515"/>
    <s v="Bradley Nguyen"/>
    <s v="Consumer"/>
    <x v="2"/>
    <x v="1"/>
    <n v="47.18"/>
    <n v="4718"/>
    <n v="943.6"/>
  </r>
  <r>
    <n v="1348"/>
    <s v="CA-2015-118339"/>
    <x v="461"/>
    <d v="2015-03-24T00:00:00"/>
    <x v="1"/>
    <s v="BN-11515"/>
    <s v="Bradley Nguyen"/>
    <s v="Consumer"/>
    <x v="2"/>
    <x v="1"/>
    <n v="19.68"/>
    <n v="1968"/>
    <n v="393.6"/>
  </r>
  <r>
    <n v="1349"/>
    <s v="CA-2015-118339"/>
    <x v="461"/>
    <d v="2015-03-24T00:00:00"/>
    <x v="1"/>
    <s v="BN-11515"/>
    <s v="Bradley Nguyen"/>
    <s v="Consumer"/>
    <x v="2"/>
    <x v="1"/>
    <n v="53.4"/>
    <n v="5340"/>
    <n v="1068"/>
  </r>
  <r>
    <n v="1350"/>
    <s v="CA-2015-118339"/>
    <x v="461"/>
    <d v="2015-03-24T00:00:00"/>
    <x v="1"/>
    <s v="BN-11515"/>
    <s v="Bradley Nguyen"/>
    <s v="Consumer"/>
    <x v="2"/>
    <x v="1"/>
    <n v="35.880000000000003"/>
    <n v="3588.0000000000005"/>
    <n v="717.60000000000014"/>
  </r>
  <r>
    <n v="1351"/>
    <s v="CA-2015-153976"/>
    <x v="462"/>
    <d v="2015-10-08T00:00:00"/>
    <x v="0"/>
    <s v="BP-11290"/>
    <s v="Beth Paige"/>
    <s v="Consumer"/>
    <x v="2"/>
    <x v="0"/>
    <n v="258.279"/>
    <n v="25827.9"/>
    <n v="5165.5800000000008"/>
  </r>
  <r>
    <n v="1352"/>
    <s v="CA-2017-162901"/>
    <x v="463"/>
    <d v="2017-03-31T00:00:00"/>
    <x v="2"/>
    <s v="AS-10045"/>
    <s v="Aaron Smayling"/>
    <s v="Corporate"/>
    <x v="0"/>
    <x v="1"/>
    <n v="31.4"/>
    <n v="3140"/>
    <n v="628"/>
  </r>
  <r>
    <n v="1353"/>
    <s v="CA-2018-162978"/>
    <x v="464"/>
    <d v="2018-05-09T00:00:00"/>
    <x v="1"/>
    <s v="LW-16990"/>
    <s v="Lindsay Williams"/>
    <s v="Corporate"/>
    <x v="1"/>
    <x v="2"/>
    <n v="183.96"/>
    <n v="18396"/>
    <n v="3679.2000000000003"/>
  </r>
  <r>
    <n v="1354"/>
    <s v="CA-2018-162978"/>
    <x v="464"/>
    <d v="2018-05-09T00:00:00"/>
    <x v="1"/>
    <s v="LW-16990"/>
    <s v="Lindsay Williams"/>
    <s v="Corporate"/>
    <x v="1"/>
    <x v="1"/>
    <n v="17.61"/>
    <n v="1761"/>
    <n v="352.20000000000005"/>
  </r>
  <r>
    <n v="1355"/>
    <s v="CA-2018-162978"/>
    <x v="464"/>
    <d v="2018-05-09T00:00:00"/>
    <x v="1"/>
    <s v="LW-16990"/>
    <s v="Lindsay Williams"/>
    <s v="Corporate"/>
    <x v="1"/>
    <x v="0"/>
    <n v="300.904"/>
    <n v="30090.400000000001"/>
    <n v="6018.0800000000008"/>
  </r>
  <r>
    <n v="1356"/>
    <s v="US-2015-160444"/>
    <x v="260"/>
    <d v="2015-07-05T00:00:00"/>
    <x v="3"/>
    <s v="DC-12850"/>
    <s v="Dan Campbell"/>
    <s v="Consumer"/>
    <x v="2"/>
    <x v="1"/>
    <n v="220.77600000000001"/>
    <n v="22077.600000000002"/>
    <n v="4415.5200000000004"/>
  </r>
  <r>
    <n v="1357"/>
    <s v="US-2015-160444"/>
    <x v="260"/>
    <d v="2015-07-05T00:00:00"/>
    <x v="3"/>
    <s v="DC-12850"/>
    <s v="Dan Campbell"/>
    <s v="Consumer"/>
    <x v="2"/>
    <x v="1"/>
    <n v="281.42399999999998"/>
    <n v="28142.399999999998"/>
    <n v="5628.48"/>
  </r>
  <r>
    <n v="1358"/>
    <s v="CA-2017-145247"/>
    <x v="465"/>
    <d v="2017-05-07T00:00:00"/>
    <x v="2"/>
    <s v="ND-18370"/>
    <s v="Natalie DeCherney"/>
    <s v="Consumer"/>
    <x v="0"/>
    <x v="1"/>
    <n v="79.14"/>
    <n v="7914"/>
    <n v="1582.8000000000002"/>
  </r>
  <r>
    <n v="1359"/>
    <s v="CA-2018-160045"/>
    <x v="466"/>
    <d v="2018-04-27T00:00:00"/>
    <x v="2"/>
    <s v="LB-16735"/>
    <s v="Larry Blacks"/>
    <s v="Consumer"/>
    <x v="2"/>
    <x v="0"/>
    <n v="1.988"/>
    <n v="198.8"/>
    <n v="39.760000000000005"/>
  </r>
  <r>
    <n v="1360"/>
    <s v="US-2015-151925"/>
    <x v="467"/>
    <d v="2015-10-01T00:00:00"/>
    <x v="0"/>
    <s v="KT-16465"/>
    <s v="Kean Takahito"/>
    <s v="Consumer"/>
    <x v="1"/>
    <x v="0"/>
    <n v="145.56800000000001"/>
    <n v="14556.800000000001"/>
    <n v="2911.3600000000006"/>
  </r>
  <r>
    <n v="1361"/>
    <s v="CA-2018-125199"/>
    <x v="15"/>
    <d v="2018-10-25T00:00:00"/>
    <x v="1"/>
    <s v="HM-14860"/>
    <s v="Harry Marie"/>
    <s v="Corporate"/>
    <x v="3"/>
    <x v="1"/>
    <n v="123.256"/>
    <n v="12325.6"/>
    <n v="2465.1200000000003"/>
  </r>
  <r>
    <n v="1362"/>
    <s v="CA-2018-125199"/>
    <x v="15"/>
    <d v="2018-10-25T00:00:00"/>
    <x v="1"/>
    <s v="HM-14860"/>
    <s v="Harry Marie"/>
    <s v="Corporate"/>
    <x v="3"/>
    <x v="1"/>
    <n v="23.68"/>
    <n v="2368"/>
    <n v="473.6"/>
  </r>
  <r>
    <n v="1363"/>
    <s v="CA-2018-125199"/>
    <x v="15"/>
    <d v="2018-10-25T00:00:00"/>
    <x v="1"/>
    <s v="HM-14860"/>
    <s v="Harry Marie"/>
    <s v="Corporate"/>
    <x v="3"/>
    <x v="2"/>
    <n v="309.57600000000002"/>
    <n v="30957.600000000002"/>
    <n v="6191.52"/>
  </r>
  <r>
    <n v="1364"/>
    <s v="US-2018-155425"/>
    <x v="468"/>
    <d v="2018-11-11T00:00:00"/>
    <x v="2"/>
    <s v="AB-10600"/>
    <s v="Ann Blume"/>
    <s v="Corporate"/>
    <x v="1"/>
    <x v="1"/>
    <n v="38.387999999999998"/>
    <n v="3838.7999999999997"/>
    <n v="767.76"/>
  </r>
  <r>
    <n v="1365"/>
    <s v="US-2018-155425"/>
    <x v="468"/>
    <d v="2018-11-11T00:00:00"/>
    <x v="2"/>
    <s v="AB-10600"/>
    <s v="Ann Blume"/>
    <s v="Corporate"/>
    <x v="1"/>
    <x v="2"/>
    <n v="95.994"/>
    <n v="9599.4"/>
    <n v="1919.88"/>
  </r>
  <r>
    <n v="1366"/>
    <s v="US-2018-155425"/>
    <x v="468"/>
    <d v="2018-11-11T00:00:00"/>
    <x v="2"/>
    <s v="AB-10600"/>
    <s v="Ann Blume"/>
    <s v="Corporate"/>
    <x v="1"/>
    <x v="2"/>
    <n v="239.952"/>
    <n v="23995.200000000001"/>
    <n v="4799.04"/>
  </r>
  <r>
    <n v="1367"/>
    <s v="US-2018-155425"/>
    <x v="468"/>
    <d v="2018-11-11T00:00:00"/>
    <x v="2"/>
    <s v="AB-10600"/>
    <s v="Ann Blume"/>
    <s v="Corporate"/>
    <x v="1"/>
    <x v="2"/>
    <n v="201.584"/>
    <n v="20158.400000000001"/>
    <n v="4031.6800000000003"/>
  </r>
  <r>
    <n v="1368"/>
    <s v="US-2018-155425"/>
    <x v="468"/>
    <d v="2018-11-11T00:00:00"/>
    <x v="2"/>
    <s v="AB-10600"/>
    <s v="Ann Blume"/>
    <s v="Corporate"/>
    <x v="1"/>
    <x v="0"/>
    <n v="899.13599999999997"/>
    <n v="89913.599999999991"/>
    <n v="17982.719999999998"/>
  </r>
  <r>
    <n v="1369"/>
    <s v="CA-2018-133249"/>
    <x v="141"/>
    <d v="2018-07-11T00:00:00"/>
    <x v="2"/>
    <s v="SZ-20035"/>
    <s v="Sam Zeldin"/>
    <s v="Home Office"/>
    <x v="1"/>
    <x v="0"/>
    <n v="145.9"/>
    <n v="14590"/>
    <n v="2918"/>
  </r>
  <r>
    <n v="1370"/>
    <s v="US-2016-103471"/>
    <x v="100"/>
    <d v="2016-12-28T00:00:00"/>
    <x v="1"/>
    <s v="JR-15670"/>
    <s v="Jim Radford"/>
    <s v="Consumer"/>
    <x v="1"/>
    <x v="0"/>
    <n v="590.05799999999999"/>
    <n v="59005.8"/>
    <n v="11801.160000000002"/>
  </r>
  <r>
    <n v="1371"/>
    <s v="US-2016-103471"/>
    <x v="100"/>
    <d v="2016-12-28T00:00:00"/>
    <x v="1"/>
    <s v="JR-15670"/>
    <s v="Jim Radford"/>
    <s v="Consumer"/>
    <x v="1"/>
    <x v="1"/>
    <n v="14.04"/>
    <n v="1404"/>
    <n v="280.8"/>
  </r>
  <r>
    <n v="1372"/>
    <s v="CA-2018-136672"/>
    <x v="469"/>
    <d v="2018-03-12T00:00:00"/>
    <x v="1"/>
    <s v="MG-17890"/>
    <s v="Michael Granlund"/>
    <s v="Home Office"/>
    <x v="3"/>
    <x v="2"/>
    <n v="49.08"/>
    <n v="4908"/>
    <n v="981.6"/>
  </r>
  <r>
    <n v="1373"/>
    <s v="US-2015-157021"/>
    <x v="470"/>
    <d v="2015-04-06T00:00:00"/>
    <x v="0"/>
    <s v="KM-16720"/>
    <s v="Kunst Miller"/>
    <s v="Consumer"/>
    <x v="1"/>
    <x v="1"/>
    <n v="29.6"/>
    <n v="2960"/>
    <n v="592"/>
  </r>
  <r>
    <n v="1374"/>
    <s v="US-2015-157021"/>
    <x v="470"/>
    <d v="2015-04-06T00:00:00"/>
    <x v="0"/>
    <s v="KM-16720"/>
    <s v="Kunst Miller"/>
    <s v="Consumer"/>
    <x v="1"/>
    <x v="1"/>
    <n v="17.088000000000001"/>
    <n v="1708.8000000000002"/>
    <n v="341.76000000000005"/>
  </r>
  <r>
    <n v="1375"/>
    <s v="CA-2016-120362"/>
    <x v="471"/>
    <d v="2016-09-19T00:00:00"/>
    <x v="1"/>
    <s v="CA-12265"/>
    <s v="Christina Anderson"/>
    <s v="Consumer"/>
    <x v="1"/>
    <x v="0"/>
    <n v="912.75"/>
    <n v="91275"/>
    <n v="18255"/>
  </r>
  <r>
    <n v="1376"/>
    <s v="CA-2015-126361"/>
    <x v="472"/>
    <d v="2015-08-09T00:00:00"/>
    <x v="0"/>
    <s v="VD-21670"/>
    <s v="Valerie Dominguez"/>
    <s v="Consumer"/>
    <x v="1"/>
    <x v="1"/>
    <n v="1089.75"/>
    <n v="108975"/>
    <n v="21795"/>
  </r>
  <r>
    <n v="1377"/>
    <s v="CA-2015-126361"/>
    <x v="472"/>
    <d v="2015-08-09T00:00:00"/>
    <x v="0"/>
    <s v="VD-21670"/>
    <s v="Valerie Dominguez"/>
    <s v="Consumer"/>
    <x v="1"/>
    <x v="1"/>
    <n v="447.84"/>
    <n v="44784"/>
    <n v="8956.8000000000011"/>
  </r>
  <r>
    <n v="1378"/>
    <s v="CA-2015-126361"/>
    <x v="472"/>
    <d v="2015-08-09T00:00:00"/>
    <x v="0"/>
    <s v="VD-21670"/>
    <s v="Valerie Dominguez"/>
    <s v="Consumer"/>
    <x v="1"/>
    <x v="1"/>
    <n v="16.399999999999999"/>
    <n v="1639.9999999999998"/>
    <n v="328"/>
  </r>
  <r>
    <n v="1379"/>
    <s v="CA-2015-126361"/>
    <x v="472"/>
    <d v="2015-08-09T00:00:00"/>
    <x v="0"/>
    <s v="VD-21670"/>
    <s v="Valerie Dominguez"/>
    <s v="Consumer"/>
    <x v="1"/>
    <x v="2"/>
    <n v="399.96"/>
    <n v="39996"/>
    <n v="7999.2000000000007"/>
  </r>
  <r>
    <n v="1380"/>
    <s v="CA-2015-126361"/>
    <x v="472"/>
    <d v="2015-08-09T00:00:00"/>
    <x v="0"/>
    <s v="VD-21670"/>
    <s v="Valerie Dominguez"/>
    <s v="Consumer"/>
    <x v="1"/>
    <x v="1"/>
    <n v="158.9"/>
    <n v="15890"/>
    <n v="3178"/>
  </r>
  <r>
    <n v="1381"/>
    <s v="CA-2015-126361"/>
    <x v="472"/>
    <d v="2015-08-09T00:00:00"/>
    <x v="0"/>
    <s v="VD-21670"/>
    <s v="Valerie Dominguez"/>
    <s v="Consumer"/>
    <x v="1"/>
    <x v="1"/>
    <n v="13.183999999999999"/>
    <n v="1318.3999999999999"/>
    <n v="263.68"/>
  </r>
  <r>
    <n v="1382"/>
    <s v="US-2017-100566"/>
    <x v="323"/>
    <d v="2017-09-09T00:00:00"/>
    <x v="1"/>
    <s v="JK-16120"/>
    <s v="Julie Kriz"/>
    <s v="Home Office"/>
    <x v="2"/>
    <x v="0"/>
    <n v="83.951999999999998"/>
    <n v="8395.2000000000007"/>
    <n v="1679.0400000000002"/>
  </r>
  <r>
    <n v="1383"/>
    <s v="US-2017-108504"/>
    <x v="473"/>
    <d v="2017-02-05T00:00:00"/>
    <x v="3"/>
    <s v="PP-18955"/>
    <s v="Paul Prost"/>
    <s v="Home Office"/>
    <x v="0"/>
    <x v="1"/>
    <n v="80.98"/>
    <n v="8098"/>
    <n v="1619.6000000000001"/>
  </r>
  <r>
    <n v="1384"/>
    <s v="US-2017-108504"/>
    <x v="473"/>
    <d v="2017-02-05T00:00:00"/>
    <x v="3"/>
    <s v="PP-18955"/>
    <s v="Paul Prost"/>
    <s v="Home Office"/>
    <x v="0"/>
    <x v="1"/>
    <n v="348.84"/>
    <n v="34884"/>
    <n v="6976.8"/>
  </r>
  <r>
    <n v="1385"/>
    <s v="US-2017-108504"/>
    <x v="473"/>
    <d v="2017-02-05T00:00:00"/>
    <x v="3"/>
    <s v="PP-18955"/>
    <s v="Paul Prost"/>
    <s v="Home Office"/>
    <x v="0"/>
    <x v="1"/>
    <n v="9.4499999999999993"/>
    <n v="944.99999999999989"/>
    <n v="189"/>
  </r>
  <r>
    <n v="1386"/>
    <s v="US-2017-108504"/>
    <x v="473"/>
    <d v="2017-02-05T00:00:00"/>
    <x v="3"/>
    <s v="PP-18955"/>
    <s v="Paul Prost"/>
    <s v="Home Office"/>
    <x v="0"/>
    <x v="0"/>
    <n v="18.84"/>
    <n v="1884"/>
    <n v="376.8"/>
  </r>
  <r>
    <n v="1387"/>
    <s v="US-2017-108504"/>
    <x v="473"/>
    <d v="2017-02-05T00:00:00"/>
    <x v="3"/>
    <s v="PP-18955"/>
    <s v="Paul Prost"/>
    <s v="Home Office"/>
    <x v="0"/>
    <x v="0"/>
    <n v="239.98"/>
    <n v="23998"/>
    <n v="4799.6000000000004"/>
  </r>
  <r>
    <n v="1388"/>
    <s v="US-2017-108504"/>
    <x v="473"/>
    <d v="2017-02-05T00:00:00"/>
    <x v="3"/>
    <s v="PP-18955"/>
    <s v="Paul Prost"/>
    <s v="Home Office"/>
    <x v="0"/>
    <x v="1"/>
    <n v="167.96"/>
    <n v="16796"/>
    <n v="3359.2000000000003"/>
  </r>
  <r>
    <n v="1389"/>
    <s v="US-2017-108504"/>
    <x v="473"/>
    <d v="2017-02-05T00:00:00"/>
    <x v="3"/>
    <s v="PP-18955"/>
    <s v="Paul Prost"/>
    <s v="Home Office"/>
    <x v="0"/>
    <x v="2"/>
    <n v="104.85"/>
    <n v="10485"/>
    <n v="2097"/>
  </r>
  <r>
    <n v="1390"/>
    <s v="US-2017-108504"/>
    <x v="473"/>
    <d v="2017-02-05T00:00:00"/>
    <x v="3"/>
    <s v="PP-18955"/>
    <s v="Paul Prost"/>
    <s v="Home Office"/>
    <x v="0"/>
    <x v="2"/>
    <n v="484.83"/>
    <n v="48483"/>
    <n v="9696.6"/>
  </r>
  <r>
    <n v="1391"/>
    <s v="US-2017-108504"/>
    <x v="473"/>
    <d v="2017-02-05T00:00:00"/>
    <x v="3"/>
    <s v="PP-18955"/>
    <s v="Paul Prost"/>
    <s v="Home Office"/>
    <x v="0"/>
    <x v="1"/>
    <n v="122.97"/>
    <n v="12297"/>
    <n v="2459.4"/>
  </r>
  <r>
    <n v="1392"/>
    <s v="US-2017-108504"/>
    <x v="473"/>
    <d v="2017-02-05T00:00:00"/>
    <x v="3"/>
    <s v="PP-18955"/>
    <s v="Paul Prost"/>
    <s v="Home Office"/>
    <x v="0"/>
    <x v="1"/>
    <n v="154.44"/>
    <n v="15444"/>
    <n v="3088.8"/>
  </r>
  <r>
    <n v="1393"/>
    <s v="US-2017-108504"/>
    <x v="473"/>
    <d v="2017-02-05T00:00:00"/>
    <x v="3"/>
    <s v="PP-18955"/>
    <s v="Paul Prost"/>
    <s v="Home Office"/>
    <x v="0"/>
    <x v="1"/>
    <n v="342.37"/>
    <n v="34237"/>
    <n v="6847.4000000000005"/>
  </r>
  <r>
    <n v="1394"/>
    <s v="CA-2018-124828"/>
    <x v="445"/>
    <d v="2018-07-04T00:00:00"/>
    <x v="2"/>
    <s v="YS-21880"/>
    <s v="Yana Sorensen"/>
    <s v="Corporate"/>
    <x v="0"/>
    <x v="1"/>
    <n v="9.5519999999999996"/>
    <n v="955.19999999999993"/>
    <n v="191.04"/>
  </r>
  <r>
    <n v="1395"/>
    <s v="US-2018-117247"/>
    <x v="449"/>
    <d v="2018-10-14T00:00:00"/>
    <x v="1"/>
    <s v="CK-12760"/>
    <s v="Cyma Kinney"/>
    <s v="Corporate"/>
    <x v="2"/>
    <x v="0"/>
    <n v="652.45000000000005"/>
    <n v="65245.000000000007"/>
    <n v="13049.000000000002"/>
  </r>
  <r>
    <n v="1396"/>
    <s v="US-2018-117247"/>
    <x v="449"/>
    <d v="2018-10-14T00:00:00"/>
    <x v="1"/>
    <s v="CK-12760"/>
    <s v="Cyma Kinney"/>
    <s v="Corporate"/>
    <x v="2"/>
    <x v="0"/>
    <n v="66.644999999999996"/>
    <n v="6664.5"/>
    <n v="1332.9"/>
  </r>
  <r>
    <n v="1397"/>
    <s v="CA-2017-124485"/>
    <x v="390"/>
    <d v="2017-11-26T00:00:00"/>
    <x v="2"/>
    <s v="NC-18340"/>
    <s v="Nat Carroll"/>
    <s v="Consumer"/>
    <x v="3"/>
    <x v="1"/>
    <n v="17.216000000000001"/>
    <n v="1721.6000000000001"/>
    <n v="344.32000000000005"/>
  </r>
  <r>
    <n v="1398"/>
    <s v="CA-2017-124485"/>
    <x v="390"/>
    <d v="2017-11-26T00:00:00"/>
    <x v="2"/>
    <s v="NC-18340"/>
    <s v="Nat Carroll"/>
    <s v="Consumer"/>
    <x v="3"/>
    <x v="1"/>
    <n v="11.56"/>
    <n v="1156"/>
    <n v="231.20000000000002"/>
  </r>
  <r>
    <n v="1399"/>
    <s v="CA-2017-124485"/>
    <x v="390"/>
    <d v="2017-11-26T00:00:00"/>
    <x v="2"/>
    <s v="NC-18340"/>
    <s v="Nat Carroll"/>
    <s v="Consumer"/>
    <x v="3"/>
    <x v="2"/>
    <n v="88.4"/>
    <n v="8840"/>
    <n v="1768"/>
  </r>
  <r>
    <n v="1400"/>
    <s v="CA-2017-124485"/>
    <x v="390"/>
    <d v="2017-11-26T00:00:00"/>
    <x v="2"/>
    <s v="NC-18340"/>
    <s v="Nat Carroll"/>
    <s v="Consumer"/>
    <x v="3"/>
    <x v="1"/>
    <n v="6.48"/>
    <n v="648"/>
    <n v="129.6"/>
  </r>
  <r>
    <n v="1401"/>
    <s v="CA-2017-159212"/>
    <x v="474"/>
    <d v="2017-11-05T00:00:00"/>
    <x v="1"/>
    <s v="KM-16375"/>
    <s v="Katherine Murray"/>
    <s v="Home Office"/>
    <x v="0"/>
    <x v="2"/>
    <n v="21.8"/>
    <n v="2180"/>
    <n v="436"/>
  </r>
  <r>
    <n v="1402"/>
    <s v="CA-2017-159212"/>
    <x v="474"/>
    <d v="2017-11-05T00:00:00"/>
    <x v="1"/>
    <s v="KM-16375"/>
    <s v="Katherine Murray"/>
    <s v="Home Office"/>
    <x v="0"/>
    <x v="1"/>
    <n v="251.79"/>
    <n v="25179"/>
    <n v="5035.8"/>
  </r>
  <r>
    <n v="1403"/>
    <s v="US-2017-161396"/>
    <x v="475"/>
    <d v="2017-04-25T00:00:00"/>
    <x v="1"/>
    <s v="GM-14455"/>
    <s v="Gary Mitchum"/>
    <s v="Home Office"/>
    <x v="3"/>
    <x v="0"/>
    <n v="205.17599999999999"/>
    <n v="20517.599999999999"/>
    <n v="4103.5199999999995"/>
  </r>
  <r>
    <n v="1404"/>
    <s v="US-2017-161396"/>
    <x v="475"/>
    <d v="2017-04-25T00:00:00"/>
    <x v="1"/>
    <s v="GM-14455"/>
    <s v="Gary Mitchum"/>
    <s v="Home Office"/>
    <x v="3"/>
    <x v="1"/>
    <n v="419.4"/>
    <n v="41940"/>
    <n v="8388"/>
  </r>
  <r>
    <n v="1405"/>
    <s v="US-2015-118486"/>
    <x v="322"/>
    <d v="2015-04-08T00:00:00"/>
    <x v="2"/>
    <s v="SD-20485"/>
    <s v="Shirley Daniels"/>
    <s v="Home Office"/>
    <x v="3"/>
    <x v="1"/>
    <n v="10.304"/>
    <n v="1030.4000000000001"/>
    <n v="206.08000000000004"/>
  </r>
  <r>
    <n v="1406"/>
    <s v="US-2015-118486"/>
    <x v="322"/>
    <d v="2015-04-08T00:00:00"/>
    <x v="2"/>
    <s v="SD-20485"/>
    <s v="Shirley Daniels"/>
    <s v="Home Office"/>
    <x v="3"/>
    <x v="0"/>
    <n v="154.76400000000001"/>
    <n v="15476.400000000001"/>
    <n v="3095.2800000000007"/>
  </r>
  <r>
    <n v="1407"/>
    <s v="US-2015-118486"/>
    <x v="322"/>
    <d v="2015-04-08T00:00:00"/>
    <x v="2"/>
    <s v="SD-20485"/>
    <s v="Shirley Daniels"/>
    <s v="Home Office"/>
    <x v="3"/>
    <x v="2"/>
    <n v="116.78400000000001"/>
    <n v="11678.400000000001"/>
    <n v="2335.6800000000003"/>
  </r>
  <r>
    <n v="1408"/>
    <s v="CA-2017-130407"/>
    <x v="476"/>
    <d v="2017-09-06T00:00:00"/>
    <x v="1"/>
    <s v="KD-16270"/>
    <s v="Karen Daniels"/>
    <s v="Consumer"/>
    <x v="3"/>
    <x v="1"/>
    <n v="75.48"/>
    <n v="7548"/>
    <n v="1509.6000000000001"/>
  </r>
  <r>
    <n v="1409"/>
    <s v="CA-2017-130407"/>
    <x v="476"/>
    <d v="2017-09-06T00:00:00"/>
    <x v="1"/>
    <s v="KD-16270"/>
    <s v="Karen Daniels"/>
    <s v="Consumer"/>
    <x v="3"/>
    <x v="0"/>
    <n v="39.979999999999997"/>
    <n v="3997.9999999999995"/>
    <n v="799.59999999999991"/>
  </r>
  <r>
    <n v="1410"/>
    <s v="US-2017-122245"/>
    <x v="477"/>
    <d v="2017-09-30T00:00:00"/>
    <x v="1"/>
    <s v="AB-10105"/>
    <s v="Adrian Barton"/>
    <s v="Consumer"/>
    <x v="1"/>
    <x v="0"/>
    <n v="393.16500000000002"/>
    <n v="39316.5"/>
    <n v="7863.3"/>
  </r>
  <r>
    <n v="1411"/>
    <s v="CA-2018-105144"/>
    <x v="259"/>
    <d v="2018-11-11T00:00:00"/>
    <x v="1"/>
    <s v="SZ-20035"/>
    <s v="Sam Zeldin"/>
    <s v="Home Office"/>
    <x v="2"/>
    <x v="1"/>
    <n v="23.68"/>
    <n v="2368"/>
    <n v="473.6"/>
  </r>
  <r>
    <n v="1412"/>
    <s v="CA-2017-136329"/>
    <x v="478"/>
    <d v="2017-07-13T00:00:00"/>
    <x v="1"/>
    <s v="JD-15895"/>
    <s v="Jonathan Doherty"/>
    <s v="Corporate"/>
    <x v="3"/>
    <x v="0"/>
    <n v="408.00599999999997"/>
    <n v="40800.6"/>
    <n v="8160.12"/>
  </r>
  <r>
    <n v="1413"/>
    <s v="CA-2017-136329"/>
    <x v="478"/>
    <d v="2017-07-13T00:00:00"/>
    <x v="1"/>
    <s v="JD-15895"/>
    <s v="Jonathan Doherty"/>
    <s v="Corporate"/>
    <x v="3"/>
    <x v="0"/>
    <n v="165.28"/>
    <n v="16528"/>
    <n v="3305.6000000000004"/>
  </r>
  <r>
    <n v="1414"/>
    <s v="CA-2015-146640"/>
    <x v="479"/>
    <d v="2015-07-05T00:00:00"/>
    <x v="1"/>
    <s v="HA-14905"/>
    <s v="Helen Abelman"/>
    <s v="Consumer"/>
    <x v="3"/>
    <x v="1"/>
    <n v="334.76799999999997"/>
    <n v="33476.799999999996"/>
    <n v="6695.36"/>
  </r>
  <r>
    <n v="1415"/>
    <s v="CA-2018-115994"/>
    <x v="480"/>
    <d v="2018-01-31T00:00:00"/>
    <x v="0"/>
    <s v="BT-11305"/>
    <s v="Beth Thompson"/>
    <s v="Home Office"/>
    <x v="1"/>
    <x v="2"/>
    <n v="239.97"/>
    <n v="23997"/>
    <n v="4799.4000000000005"/>
  </r>
  <r>
    <n v="1416"/>
    <s v="CA-2018-115994"/>
    <x v="480"/>
    <d v="2018-01-31T00:00:00"/>
    <x v="0"/>
    <s v="BT-11305"/>
    <s v="Beth Thompson"/>
    <s v="Home Office"/>
    <x v="1"/>
    <x v="0"/>
    <n v="37.74"/>
    <n v="3774"/>
    <n v="754.80000000000007"/>
  </r>
  <r>
    <n v="1417"/>
    <s v="CA-2016-126697"/>
    <x v="481"/>
    <d v="2016-09-24T00:00:00"/>
    <x v="2"/>
    <s v="SV-20815"/>
    <s v="Stuart Van"/>
    <s v="Corporate"/>
    <x v="2"/>
    <x v="2"/>
    <n v="946.34400000000005"/>
    <n v="94634.400000000009"/>
    <n v="18926.88"/>
  </r>
  <r>
    <n v="1418"/>
    <s v="CA-2016-126697"/>
    <x v="481"/>
    <d v="2016-09-24T00:00:00"/>
    <x v="2"/>
    <s v="SV-20815"/>
    <s v="Stuart Van"/>
    <s v="Corporate"/>
    <x v="2"/>
    <x v="2"/>
    <n v="151.19999999999999"/>
    <n v="15119.999999999998"/>
    <n v="3024"/>
  </r>
  <r>
    <n v="1419"/>
    <s v="CA-2016-126697"/>
    <x v="481"/>
    <d v="2016-09-24T00:00:00"/>
    <x v="2"/>
    <s v="SV-20815"/>
    <s v="Stuart Van"/>
    <s v="Corporate"/>
    <x v="2"/>
    <x v="0"/>
    <n v="4.9279999999999999"/>
    <n v="492.8"/>
    <n v="98.56"/>
  </r>
  <r>
    <n v="1420"/>
    <s v="CA-2016-124800"/>
    <x v="120"/>
    <d v="2016-09-30T00:00:00"/>
    <x v="1"/>
    <s v="RW-19540"/>
    <s v="Rick Wilson"/>
    <s v="Corporate"/>
    <x v="1"/>
    <x v="1"/>
    <n v="86.272000000000006"/>
    <n v="8627.2000000000007"/>
    <n v="1725.4400000000003"/>
  </r>
  <r>
    <n v="1421"/>
    <s v="CA-2016-124800"/>
    <x v="120"/>
    <d v="2016-09-30T00:00:00"/>
    <x v="1"/>
    <s v="RW-19540"/>
    <s v="Rick Wilson"/>
    <s v="Corporate"/>
    <x v="1"/>
    <x v="1"/>
    <n v="72.587999999999994"/>
    <n v="7258.7999999999993"/>
    <n v="1451.76"/>
  </r>
  <r>
    <n v="1422"/>
    <s v="CA-2016-124800"/>
    <x v="120"/>
    <d v="2016-09-30T00:00:00"/>
    <x v="1"/>
    <s v="RW-19540"/>
    <s v="Rick Wilson"/>
    <s v="Corporate"/>
    <x v="1"/>
    <x v="1"/>
    <n v="60.671999999999997"/>
    <n v="6067.2"/>
    <n v="1213.44"/>
  </r>
  <r>
    <n v="1423"/>
    <s v="CA-2016-124800"/>
    <x v="120"/>
    <d v="2016-09-30T00:00:00"/>
    <x v="1"/>
    <s v="RW-19540"/>
    <s v="Rick Wilson"/>
    <s v="Corporate"/>
    <x v="1"/>
    <x v="1"/>
    <n v="77.031000000000006"/>
    <n v="7703.1"/>
    <n v="1540.6200000000001"/>
  </r>
  <r>
    <n v="1424"/>
    <s v="CA-2016-124800"/>
    <x v="120"/>
    <d v="2016-09-30T00:00:00"/>
    <x v="1"/>
    <s v="RW-19540"/>
    <s v="Rick Wilson"/>
    <s v="Corporate"/>
    <x v="1"/>
    <x v="1"/>
    <n v="119.904"/>
    <n v="11990.4"/>
    <n v="2398.08"/>
  </r>
  <r>
    <n v="1425"/>
    <s v="CA-2016-124800"/>
    <x v="120"/>
    <d v="2016-09-30T00:00:00"/>
    <x v="1"/>
    <s v="RW-19540"/>
    <s v="Rick Wilson"/>
    <s v="Corporate"/>
    <x v="1"/>
    <x v="2"/>
    <n v="263.95999999999998"/>
    <n v="26395.999999999996"/>
    <n v="5279.2"/>
  </r>
  <r>
    <n v="1426"/>
    <s v="CA-2016-124800"/>
    <x v="120"/>
    <d v="2016-09-30T00:00:00"/>
    <x v="1"/>
    <s v="RW-19540"/>
    <s v="Rick Wilson"/>
    <s v="Corporate"/>
    <x v="1"/>
    <x v="1"/>
    <n v="363.64800000000002"/>
    <n v="36364.800000000003"/>
    <n v="7272.9600000000009"/>
  </r>
  <r>
    <n v="1427"/>
    <s v="US-2016-164448"/>
    <x v="89"/>
    <d v="2016-11-04T00:00:00"/>
    <x v="0"/>
    <s v="DK-12835"/>
    <s v="Damala Kotsonis"/>
    <s v="Corporate"/>
    <x v="1"/>
    <x v="1"/>
    <n v="9.7279999999999998"/>
    <n v="972.8"/>
    <n v="194.56"/>
  </r>
  <r>
    <n v="1428"/>
    <s v="US-2016-164448"/>
    <x v="89"/>
    <d v="2016-11-04T00:00:00"/>
    <x v="0"/>
    <s v="DK-12835"/>
    <s v="Damala Kotsonis"/>
    <s v="Corporate"/>
    <x v="1"/>
    <x v="1"/>
    <n v="14.75"/>
    <n v="1475"/>
    <n v="295"/>
  </r>
  <r>
    <n v="1429"/>
    <s v="US-2016-164448"/>
    <x v="89"/>
    <d v="2016-11-04T00:00:00"/>
    <x v="0"/>
    <s v="DK-12835"/>
    <s v="Damala Kotsonis"/>
    <s v="Corporate"/>
    <x v="1"/>
    <x v="1"/>
    <n v="29.8"/>
    <n v="2980"/>
    <n v="596"/>
  </r>
  <r>
    <n v="1430"/>
    <s v="US-2016-164448"/>
    <x v="89"/>
    <d v="2016-11-04T00:00:00"/>
    <x v="0"/>
    <s v="DK-12835"/>
    <s v="Damala Kotsonis"/>
    <s v="Corporate"/>
    <x v="1"/>
    <x v="1"/>
    <n v="427.42"/>
    <n v="42742"/>
    <n v="8548.4"/>
  </r>
  <r>
    <n v="1431"/>
    <s v="CA-2018-122700"/>
    <x v="200"/>
    <d v="2018-11-30T00:00:00"/>
    <x v="1"/>
    <s v="LT-17110"/>
    <s v="Liz Thompson"/>
    <s v="Consumer"/>
    <x v="3"/>
    <x v="2"/>
    <n v="220.75200000000001"/>
    <n v="22075.200000000001"/>
    <n v="4415.04"/>
  </r>
  <r>
    <n v="1432"/>
    <s v="CA-2015-120768"/>
    <x v="174"/>
    <d v="2015-12-21T00:00:00"/>
    <x v="0"/>
    <s v="IM-15070"/>
    <s v="Irene Maddox"/>
    <s v="Consumer"/>
    <x v="0"/>
    <x v="1"/>
    <n v="152.76"/>
    <n v="15276"/>
    <n v="3055.2000000000003"/>
  </r>
  <r>
    <n v="1433"/>
    <s v="CA-2015-120768"/>
    <x v="174"/>
    <d v="2015-12-21T00:00:00"/>
    <x v="0"/>
    <s v="IM-15070"/>
    <s v="Irene Maddox"/>
    <s v="Consumer"/>
    <x v="0"/>
    <x v="1"/>
    <n v="7.27"/>
    <n v="727"/>
    <n v="145.4"/>
  </r>
  <r>
    <n v="1434"/>
    <s v="CA-2015-120768"/>
    <x v="174"/>
    <d v="2015-12-21T00:00:00"/>
    <x v="0"/>
    <s v="IM-15070"/>
    <s v="Irene Maddox"/>
    <s v="Consumer"/>
    <x v="0"/>
    <x v="0"/>
    <n v="1819.86"/>
    <n v="181986"/>
    <n v="36397.200000000004"/>
  </r>
  <r>
    <n v="1435"/>
    <s v="US-2017-153129"/>
    <x v="482"/>
    <d v="2017-12-30T00:00:00"/>
    <x v="1"/>
    <s v="FP-14320"/>
    <s v="Frank Preis"/>
    <s v="Consumer"/>
    <x v="1"/>
    <x v="1"/>
    <n v="33.9"/>
    <n v="3390"/>
    <n v="678"/>
  </r>
  <r>
    <n v="1436"/>
    <s v="CA-2018-106852"/>
    <x v="308"/>
    <d v="2018-06-27T00:00:00"/>
    <x v="1"/>
    <s v="ST-20530"/>
    <s v="Shui Tom"/>
    <s v="Consumer"/>
    <x v="3"/>
    <x v="1"/>
    <n v="31.103999999999999"/>
    <n v="3110.4"/>
    <n v="622.08000000000004"/>
  </r>
  <r>
    <n v="1437"/>
    <s v="CA-2018-106852"/>
    <x v="308"/>
    <d v="2018-06-27T00:00:00"/>
    <x v="1"/>
    <s v="ST-20530"/>
    <s v="Shui Tom"/>
    <s v="Consumer"/>
    <x v="3"/>
    <x v="1"/>
    <n v="5.2480000000000002"/>
    <n v="524.80000000000007"/>
    <n v="104.96000000000002"/>
  </r>
  <r>
    <n v="1438"/>
    <s v="CA-2016-139731"/>
    <x v="52"/>
    <d v="2016-10-15T00:00:00"/>
    <x v="3"/>
    <s v="JE-15745"/>
    <s v="Joel Eaton"/>
    <s v="Consumer"/>
    <x v="2"/>
    <x v="2"/>
    <n v="263.88"/>
    <n v="26388"/>
    <n v="5277.6"/>
  </r>
  <r>
    <n v="1439"/>
    <s v="CA-2016-139731"/>
    <x v="52"/>
    <d v="2016-10-15T00:00:00"/>
    <x v="3"/>
    <s v="JE-15745"/>
    <s v="Joel Eaton"/>
    <s v="Consumer"/>
    <x v="2"/>
    <x v="0"/>
    <n v="2453.4299999999998"/>
    <n v="245342.99999999997"/>
    <n v="49068.6"/>
  </r>
  <r>
    <n v="1440"/>
    <s v="CA-2018-122735"/>
    <x v="483"/>
    <d v="2018-04-15T00:00:00"/>
    <x v="0"/>
    <s v="BD-11320"/>
    <s v="Bill Donatelli"/>
    <s v="Consumer"/>
    <x v="3"/>
    <x v="1"/>
    <n v="29.7"/>
    <n v="2970"/>
    <n v="594"/>
  </r>
  <r>
    <n v="1441"/>
    <s v="CA-2018-122735"/>
    <x v="483"/>
    <d v="2018-04-15T00:00:00"/>
    <x v="0"/>
    <s v="BD-11320"/>
    <s v="Bill Donatelli"/>
    <s v="Consumer"/>
    <x v="3"/>
    <x v="1"/>
    <n v="39.96"/>
    <n v="3996"/>
    <n v="799.2"/>
  </r>
  <r>
    <n v="1442"/>
    <s v="CA-2018-128160"/>
    <x v="484"/>
    <d v="2018-12-24T00:00:00"/>
    <x v="0"/>
    <s v="MM-17920"/>
    <s v="Michael Moore"/>
    <s v="Consumer"/>
    <x v="1"/>
    <x v="1"/>
    <n v="36.671999999999997"/>
    <n v="3667.2"/>
    <n v="733.44"/>
  </r>
  <r>
    <n v="1443"/>
    <s v="CA-2018-117695"/>
    <x v="485"/>
    <d v="2018-08-08T00:00:00"/>
    <x v="2"/>
    <s v="PW-19030"/>
    <s v="Pauline Webber"/>
    <s v="Corporate"/>
    <x v="0"/>
    <x v="1"/>
    <n v="13.76"/>
    <n v="1376"/>
    <n v="275.2"/>
  </r>
  <r>
    <n v="1444"/>
    <s v="CA-2016-166135"/>
    <x v="486"/>
    <d v="2016-10-06T00:00:00"/>
    <x v="1"/>
    <s v="SC-20440"/>
    <s v="Shaun Chance"/>
    <s v="Corporate"/>
    <x v="1"/>
    <x v="1"/>
    <n v="139.42400000000001"/>
    <n v="13942.400000000001"/>
    <n v="2788.4800000000005"/>
  </r>
  <r>
    <n v="1445"/>
    <s v="CA-2017-133725"/>
    <x v="454"/>
    <d v="2017-05-28T00:00:00"/>
    <x v="1"/>
    <s v="KL-16645"/>
    <s v="Ken Lonsdale"/>
    <s v="Consumer"/>
    <x v="2"/>
    <x v="2"/>
    <n v="1979.9280000000001"/>
    <n v="197992.80000000002"/>
    <n v="39598.560000000005"/>
  </r>
  <r>
    <n v="1446"/>
    <s v="CA-2018-102337"/>
    <x v="487"/>
    <d v="2018-06-16T00:00:00"/>
    <x v="2"/>
    <s v="SD-20485"/>
    <s v="Shirley Daniels"/>
    <s v="Home Office"/>
    <x v="2"/>
    <x v="1"/>
    <n v="164.73599999999999"/>
    <n v="16473.599999999999"/>
    <n v="3294.72"/>
  </r>
  <r>
    <n v="1447"/>
    <s v="CA-2018-102337"/>
    <x v="487"/>
    <d v="2018-06-16T00:00:00"/>
    <x v="2"/>
    <s v="SD-20485"/>
    <s v="Shirley Daniels"/>
    <s v="Home Office"/>
    <x v="2"/>
    <x v="0"/>
    <n v="470.30200000000002"/>
    <n v="47030.200000000004"/>
    <n v="9406.0400000000009"/>
  </r>
  <r>
    <n v="1448"/>
    <s v="CA-2018-102337"/>
    <x v="487"/>
    <d v="2018-06-16T00:00:00"/>
    <x v="2"/>
    <s v="SD-20485"/>
    <s v="Shirley Daniels"/>
    <s v="Home Office"/>
    <x v="2"/>
    <x v="2"/>
    <n v="47.984000000000002"/>
    <n v="4798.4000000000005"/>
    <n v="959.68000000000018"/>
  </r>
  <r>
    <n v="1449"/>
    <s v="US-2015-112564"/>
    <x v="488"/>
    <d v="2015-04-24T00:00:00"/>
    <x v="2"/>
    <s v="TS-21160"/>
    <s v="Theresa Swint"/>
    <s v="Corporate"/>
    <x v="3"/>
    <x v="1"/>
    <n v="2.5019999999999998"/>
    <n v="250.2"/>
    <n v="50.04"/>
  </r>
  <r>
    <n v="1450"/>
    <s v="CA-2016-145821"/>
    <x v="489"/>
    <d v="2016-05-07T00:00:00"/>
    <x v="1"/>
    <s v="JB-15400"/>
    <s v="Jennifer Braxton"/>
    <s v="Corporate"/>
    <x v="1"/>
    <x v="2"/>
    <n v="88.751999999999995"/>
    <n v="8875.1999999999989"/>
    <n v="1775.04"/>
  </r>
  <r>
    <n v="1451"/>
    <s v="US-2016-160150"/>
    <x v="490"/>
    <d v="2016-07-20T00:00:00"/>
    <x v="2"/>
    <s v="TS-21085"/>
    <s v="Thais Sissman"/>
    <s v="Consumer"/>
    <x v="1"/>
    <x v="1"/>
    <n v="2.0249999999999999"/>
    <n v="202.5"/>
    <n v="40.5"/>
  </r>
  <r>
    <n v="1452"/>
    <s v="CA-2017-133711"/>
    <x v="491"/>
    <d v="2017-11-29T00:00:00"/>
    <x v="2"/>
    <s v="MC-17425"/>
    <s v="Mark Cousins"/>
    <s v="Corporate"/>
    <x v="0"/>
    <x v="1"/>
    <n v="70.98"/>
    <n v="7098"/>
    <n v="1419.6000000000001"/>
  </r>
  <r>
    <n v="1453"/>
    <s v="CA-2017-133711"/>
    <x v="491"/>
    <d v="2017-11-29T00:00:00"/>
    <x v="2"/>
    <s v="MC-17425"/>
    <s v="Mark Cousins"/>
    <s v="Corporate"/>
    <x v="0"/>
    <x v="1"/>
    <n v="91.68"/>
    <n v="9168"/>
    <n v="1833.6000000000001"/>
  </r>
  <r>
    <n v="1454"/>
    <s v="CA-2017-133711"/>
    <x v="491"/>
    <d v="2017-11-29T00:00:00"/>
    <x v="2"/>
    <s v="MC-17425"/>
    <s v="Mark Cousins"/>
    <s v="Corporate"/>
    <x v="0"/>
    <x v="1"/>
    <n v="33.75"/>
    <n v="3375"/>
    <n v="675"/>
  </r>
  <r>
    <n v="1455"/>
    <s v="CA-2017-133711"/>
    <x v="491"/>
    <d v="2017-11-29T00:00:00"/>
    <x v="2"/>
    <s v="MC-17425"/>
    <s v="Mark Cousins"/>
    <s v="Corporate"/>
    <x v="0"/>
    <x v="2"/>
    <n v="3040"/>
    <n v="304000"/>
    <n v="60800"/>
  </r>
  <r>
    <n v="1456"/>
    <s v="CA-2018-148474"/>
    <x v="492"/>
    <d v="2018-06-19T00:00:00"/>
    <x v="1"/>
    <s v="ME-17320"/>
    <s v="Maria Etezadi"/>
    <s v="Home Office"/>
    <x v="0"/>
    <x v="1"/>
    <n v="91.2"/>
    <n v="9120"/>
    <n v="1824"/>
  </r>
  <r>
    <n v="1457"/>
    <s v="CA-2018-148474"/>
    <x v="492"/>
    <d v="2018-06-19T00:00:00"/>
    <x v="1"/>
    <s v="ME-17320"/>
    <s v="Maria Etezadi"/>
    <s v="Home Office"/>
    <x v="0"/>
    <x v="0"/>
    <n v="452.94"/>
    <n v="45294"/>
    <n v="9058.8000000000011"/>
  </r>
  <r>
    <n v="1458"/>
    <s v="CA-2016-111297"/>
    <x v="493"/>
    <d v="2016-08-21T00:00:00"/>
    <x v="1"/>
    <s v="SC-20440"/>
    <s v="Shaun Chance"/>
    <s v="Corporate"/>
    <x v="3"/>
    <x v="1"/>
    <n v="52.2"/>
    <n v="5220"/>
    <n v="1044"/>
  </r>
  <r>
    <n v="1459"/>
    <s v="CA-2017-123722"/>
    <x v="477"/>
    <d v="2017-10-01T00:00:00"/>
    <x v="1"/>
    <s v="NH-18610"/>
    <s v="Nicole Hansen"/>
    <s v="Corporate"/>
    <x v="2"/>
    <x v="1"/>
    <n v="15.936"/>
    <n v="1593.6"/>
    <n v="318.72000000000003"/>
  </r>
  <r>
    <n v="1460"/>
    <s v="CA-2015-155271"/>
    <x v="417"/>
    <d v="2015-05-04T00:00:00"/>
    <x v="3"/>
    <s v="AA-10480"/>
    <s v="Andrew Allen"/>
    <s v="Consumer"/>
    <x v="3"/>
    <x v="0"/>
    <n v="27.46"/>
    <n v="2746"/>
    <n v="549.20000000000005"/>
  </r>
  <r>
    <n v="1461"/>
    <s v="CA-2016-119907"/>
    <x v="494"/>
    <d v="2016-12-08T00:00:00"/>
    <x v="1"/>
    <s v="LC-17140"/>
    <s v="Logan Currie"/>
    <s v="Consumer"/>
    <x v="1"/>
    <x v="1"/>
    <n v="55.423999999999999"/>
    <n v="5542.4"/>
    <n v="1108.48"/>
  </r>
  <r>
    <n v="1462"/>
    <s v="US-2017-128902"/>
    <x v="21"/>
    <d v="2017-03-15T00:00:00"/>
    <x v="1"/>
    <s v="MB-18085"/>
    <s v="Mick Brown"/>
    <s v="Consumer"/>
    <x v="3"/>
    <x v="0"/>
    <n v="244.006"/>
    <n v="24400.6"/>
    <n v="4880.12"/>
  </r>
  <r>
    <n v="1463"/>
    <s v="CA-2017-152289"/>
    <x v="370"/>
    <d v="2017-08-28T00:00:00"/>
    <x v="2"/>
    <s v="LC-16930"/>
    <s v="Linda Cazamias"/>
    <s v="Corporate"/>
    <x v="2"/>
    <x v="2"/>
    <n v="159.98400000000001"/>
    <n v="15998.400000000001"/>
    <n v="3199.6800000000003"/>
  </r>
  <r>
    <n v="1464"/>
    <s v="CA-2017-152289"/>
    <x v="370"/>
    <d v="2017-08-28T00:00:00"/>
    <x v="2"/>
    <s v="LC-16930"/>
    <s v="Linda Cazamias"/>
    <s v="Corporate"/>
    <x v="2"/>
    <x v="0"/>
    <n v="1024.7159999999999"/>
    <n v="102471.59999999999"/>
    <n v="20494.32"/>
  </r>
  <r>
    <n v="1465"/>
    <s v="US-2017-104794"/>
    <x v="186"/>
    <d v="2017-12-19T00:00:00"/>
    <x v="2"/>
    <s v="KD-16495"/>
    <s v="Keith Dawkins"/>
    <s v="Corporate"/>
    <x v="3"/>
    <x v="1"/>
    <n v="3.68"/>
    <n v="368"/>
    <n v="73.600000000000009"/>
  </r>
  <r>
    <n v="1466"/>
    <s v="CA-2015-151708"/>
    <x v="233"/>
    <d v="2015-08-14T00:00:00"/>
    <x v="1"/>
    <s v="MB-17305"/>
    <s v="Maria Bertelson"/>
    <s v="Consumer"/>
    <x v="1"/>
    <x v="0"/>
    <n v="121.376"/>
    <n v="12137.6"/>
    <n v="2427.52"/>
  </r>
  <r>
    <n v="1467"/>
    <s v="CA-2015-151708"/>
    <x v="233"/>
    <d v="2015-08-14T00:00:00"/>
    <x v="1"/>
    <s v="MB-17305"/>
    <s v="Maria Bertelson"/>
    <s v="Consumer"/>
    <x v="1"/>
    <x v="2"/>
    <n v="95.975999999999999"/>
    <n v="9597.6"/>
    <n v="1919.5200000000002"/>
  </r>
  <r>
    <n v="1468"/>
    <s v="CA-2016-100769"/>
    <x v="495"/>
    <d v="2016-05-16T00:00:00"/>
    <x v="3"/>
    <s v="TH-21550"/>
    <s v="Tracy Hopkins"/>
    <s v="Home Office"/>
    <x v="0"/>
    <x v="2"/>
    <n v="255.96799999999999"/>
    <n v="25596.799999999999"/>
    <n v="5119.3600000000006"/>
  </r>
  <r>
    <n v="1469"/>
    <s v="CA-2018-139199"/>
    <x v="34"/>
    <d v="2018-12-13T00:00:00"/>
    <x v="1"/>
    <s v="DK-12835"/>
    <s v="Damala Kotsonis"/>
    <s v="Corporate"/>
    <x v="2"/>
    <x v="0"/>
    <n v="872.94"/>
    <n v="87294"/>
    <n v="17458.8"/>
  </r>
  <r>
    <n v="1470"/>
    <s v="CA-2018-139199"/>
    <x v="34"/>
    <d v="2018-12-13T00:00:00"/>
    <x v="1"/>
    <s v="DK-12835"/>
    <s v="Damala Kotsonis"/>
    <s v="Corporate"/>
    <x v="2"/>
    <x v="1"/>
    <n v="41.54"/>
    <n v="4154"/>
    <n v="830.80000000000007"/>
  </r>
  <r>
    <n v="1471"/>
    <s v="CA-2018-139199"/>
    <x v="34"/>
    <d v="2018-12-13T00:00:00"/>
    <x v="1"/>
    <s v="DK-12835"/>
    <s v="Damala Kotsonis"/>
    <s v="Corporate"/>
    <x v="2"/>
    <x v="1"/>
    <n v="12.96"/>
    <n v="1296"/>
    <n v="259.2"/>
  </r>
  <r>
    <n v="1472"/>
    <s v="US-2016-161466"/>
    <x v="496"/>
    <d v="2016-09-27T00:00:00"/>
    <x v="0"/>
    <s v="ON-18715"/>
    <s v="Odella Nelson"/>
    <s v="Corporate"/>
    <x v="3"/>
    <x v="1"/>
    <n v="6.8479999999999999"/>
    <n v="684.8"/>
    <n v="136.96"/>
  </r>
  <r>
    <n v="1473"/>
    <s v="CA-2018-164959"/>
    <x v="497"/>
    <d v="2018-07-15T00:00:00"/>
    <x v="1"/>
    <s v="KN-16390"/>
    <s v="Katherine Nockton"/>
    <s v="Corporate"/>
    <x v="1"/>
    <x v="1"/>
    <n v="8.67"/>
    <n v="867"/>
    <n v="173.4"/>
  </r>
  <r>
    <n v="1474"/>
    <s v="US-2016-105676"/>
    <x v="494"/>
    <d v="2016-12-02T00:00:00"/>
    <x v="3"/>
    <s v="NM-18520"/>
    <s v="Neoma Murray"/>
    <s v="Consumer"/>
    <x v="2"/>
    <x v="0"/>
    <n v="6.6879999999999997"/>
    <n v="668.8"/>
    <n v="133.76"/>
  </r>
  <r>
    <n v="1475"/>
    <s v="CA-2017-113138"/>
    <x v="258"/>
    <d v="2017-11-25T00:00:00"/>
    <x v="1"/>
    <s v="NP-18685"/>
    <s v="Nora Pelletier"/>
    <s v="Home Office"/>
    <x v="3"/>
    <x v="1"/>
    <n v="17.28"/>
    <n v="1728"/>
    <n v="345.6"/>
  </r>
  <r>
    <n v="1476"/>
    <s v="CA-2017-113138"/>
    <x v="258"/>
    <d v="2017-11-25T00:00:00"/>
    <x v="1"/>
    <s v="NP-18685"/>
    <s v="Nora Pelletier"/>
    <s v="Home Office"/>
    <x v="3"/>
    <x v="1"/>
    <n v="17.712"/>
    <n v="1771.2"/>
    <n v="354.24"/>
  </r>
  <r>
    <n v="1477"/>
    <s v="US-2018-104955"/>
    <x v="498"/>
    <d v="2018-03-24T00:00:00"/>
    <x v="1"/>
    <s v="CG-12040"/>
    <s v="Catherine Glotzbach"/>
    <s v="Home Office"/>
    <x v="3"/>
    <x v="1"/>
    <n v="28.91"/>
    <n v="2891"/>
    <n v="578.20000000000005"/>
  </r>
  <r>
    <n v="1478"/>
    <s v="CA-2017-121958"/>
    <x v="373"/>
    <d v="2017-11-17T00:00:00"/>
    <x v="1"/>
    <s v="CS-12505"/>
    <s v="Cindy Stewart"/>
    <s v="Consumer"/>
    <x v="0"/>
    <x v="1"/>
    <n v="52.136000000000003"/>
    <n v="5213.6000000000004"/>
    <n v="1042.72"/>
  </r>
  <r>
    <n v="1479"/>
    <s v="CA-2018-121468"/>
    <x v="123"/>
    <d v="2018-11-20T00:00:00"/>
    <x v="2"/>
    <s v="KD-16345"/>
    <s v="Katherine Ducich"/>
    <s v="Consumer"/>
    <x v="1"/>
    <x v="2"/>
    <n v="31.968"/>
    <n v="3196.8"/>
    <n v="639.36000000000013"/>
  </r>
  <r>
    <n v="1480"/>
    <s v="US-2017-108455"/>
    <x v="499"/>
    <d v="2017-12-08T00:00:00"/>
    <x v="1"/>
    <s v="MK-18160"/>
    <s v="Mike Kennedy"/>
    <s v="Consumer"/>
    <x v="1"/>
    <x v="1"/>
    <n v="25.92"/>
    <n v="2592"/>
    <n v="518.4"/>
  </r>
  <r>
    <n v="1481"/>
    <s v="US-2017-108455"/>
    <x v="499"/>
    <d v="2017-12-08T00:00:00"/>
    <x v="1"/>
    <s v="MK-18160"/>
    <s v="Mike Kennedy"/>
    <s v="Consumer"/>
    <x v="1"/>
    <x v="1"/>
    <n v="40.46"/>
    <n v="4046"/>
    <n v="809.2"/>
  </r>
  <r>
    <n v="1482"/>
    <s v="US-2017-108455"/>
    <x v="499"/>
    <d v="2017-12-08T00:00:00"/>
    <x v="1"/>
    <s v="MK-18160"/>
    <s v="Mike Kennedy"/>
    <s v="Consumer"/>
    <x v="1"/>
    <x v="1"/>
    <n v="33.869999999999997"/>
    <n v="3386.9999999999995"/>
    <n v="677.4"/>
  </r>
  <r>
    <n v="1483"/>
    <s v="CA-2018-101210"/>
    <x v="326"/>
    <d v="2018-08-28T00:00:00"/>
    <x v="0"/>
    <s v="DW-13540"/>
    <s v="Don Weiss"/>
    <s v="Consumer"/>
    <x v="0"/>
    <x v="1"/>
    <n v="9.7279999999999998"/>
    <n v="972.8"/>
    <n v="194.56"/>
  </r>
  <r>
    <n v="1484"/>
    <s v="CA-2018-101210"/>
    <x v="326"/>
    <d v="2018-08-28T00:00:00"/>
    <x v="0"/>
    <s v="DW-13540"/>
    <s v="Don Weiss"/>
    <s v="Consumer"/>
    <x v="0"/>
    <x v="1"/>
    <n v="3.4239999999999999"/>
    <n v="342.4"/>
    <n v="68.48"/>
  </r>
  <r>
    <n v="1485"/>
    <s v="US-2017-108098"/>
    <x v="500"/>
    <d v="2017-10-18T00:00:00"/>
    <x v="1"/>
    <s v="CP-12340"/>
    <s v="Christine Phan"/>
    <s v="Corporate"/>
    <x v="1"/>
    <x v="2"/>
    <n v="177"/>
    <n v="17700"/>
    <n v="3540"/>
  </r>
  <r>
    <n v="1486"/>
    <s v="CA-2015-119032"/>
    <x v="501"/>
    <d v="2015-12-03T00:00:00"/>
    <x v="1"/>
    <s v="MS-17770"/>
    <s v="Maxwell Schwartz"/>
    <s v="Consumer"/>
    <x v="3"/>
    <x v="1"/>
    <n v="3.76"/>
    <n v="376"/>
    <n v="75.2"/>
  </r>
  <r>
    <n v="1487"/>
    <s v="CA-2016-140410"/>
    <x v="502"/>
    <d v="2016-11-07T00:00:00"/>
    <x v="1"/>
    <s v="CM-12655"/>
    <s v="Corinna Mitchell"/>
    <s v="Home Office"/>
    <x v="1"/>
    <x v="2"/>
    <n v="1212.848"/>
    <n v="121284.79999999999"/>
    <n v="24256.959999999999"/>
  </r>
  <r>
    <n v="1488"/>
    <s v="CA-2016-140410"/>
    <x v="502"/>
    <d v="2016-11-07T00:00:00"/>
    <x v="1"/>
    <s v="CM-12655"/>
    <s v="Corinna Mitchell"/>
    <s v="Home Office"/>
    <x v="1"/>
    <x v="2"/>
    <n v="89.97"/>
    <n v="8997"/>
    <n v="1799.4"/>
  </r>
  <r>
    <n v="1489"/>
    <s v="CA-2016-140410"/>
    <x v="502"/>
    <d v="2016-11-07T00:00:00"/>
    <x v="1"/>
    <s v="CM-12655"/>
    <s v="Corinna Mitchell"/>
    <s v="Home Office"/>
    <x v="1"/>
    <x v="0"/>
    <n v="42.6"/>
    <n v="4260"/>
    <n v="852"/>
  </r>
  <r>
    <n v="1490"/>
    <s v="CA-2015-136280"/>
    <x v="503"/>
    <d v="2015-12-06T00:00:00"/>
    <x v="1"/>
    <s v="Co-12640"/>
    <s v="Corey-Lock"/>
    <s v="Consumer"/>
    <x v="3"/>
    <x v="1"/>
    <n v="5.04"/>
    <n v="504"/>
    <n v="100.80000000000001"/>
  </r>
  <r>
    <n v="1491"/>
    <s v="CA-2018-151911"/>
    <x v="504"/>
    <d v="2018-05-05T00:00:00"/>
    <x v="0"/>
    <s v="DL-13495"/>
    <s v="Dionis Lloyd"/>
    <s v="Corporate"/>
    <x v="3"/>
    <x v="1"/>
    <n v="62.96"/>
    <n v="6296"/>
    <n v="1259.2"/>
  </r>
  <r>
    <n v="1492"/>
    <s v="CA-2018-166436"/>
    <x v="221"/>
    <d v="2018-11-28T00:00:00"/>
    <x v="1"/>
    <s v="TS-21370"/>
    <s v="Todd Sumrall"/>
    <s v="Corporate"/>
    <x v="3"/>
    <x v="1"/>
    <n v="5.88"/>
    <n v="588"/>
    <n v="117.60000000000001"/>
  </r>
  <r>
    <n v="1493"/>
    <s v="CA-2018-166436"/>
    <x v="221"/>
    <d v="2018-11-28T00:00:00"/>
    <x v="1"/>
    <s v="TS-21370"/>
    <s v="Todd Sumrall"/>
    <s v="Corporate"/>
    <x v="3"/>
    <x v="0"/>
    <n v="977.29200000000003"/>
    <n v="97729.2"/>
    <n v="19545.84"/>
  </r>
  <r>
    <n v="1494"/>
    <s v="CA-2018-139661"/>
    <x v="505"/>
    <d v="2018-11-03T00:00:00"/>
    <x v="1"/>
    <s v="JW-15220"/>
    <s v="Jane Waco"/>
    <s v="Corporate"/>
    <x v="1"/>
    <x v="0"/>
    <n v="9.64"/>
    <n v="964"/>
    <n v="192.8"/>
  </r>
  <r>
    <n v="1495"/>
    <s v="CA-2015-123925"/>
    <x v="506"/>
    <d v="2015-12-19T00:00:00"/>
    <x v="0"/>
    <s v="RF-19840"/>
    <s v="Roy FranzÃ¶sisch"/>
    <s v="Consumer"/>
    <x v="0"/>
    <x v="1"/>
    <n v="40.049999999999997"/>
    <n v="4004.9999999999995"/>
    <n v="801"/>
  </r>
  <r>
    <n v="1496"/>
    <s v="CA-2018-152485"/>
    <x v="507"/>
    <d v="2018-09-08T00:00:00"/>
    <x v="1"/>
    <s v="JD-15790"/>
    <s v="John Dryer"/>
    <s v="Consumer"/>
    <x v="2"/>
    <x v="1"/>
    <n v="10.192"/>
    <n v="1019.2"/>
    <n v="203.84000000000003"/>
  </r>
  <r>
    <n v="1497"/>
    <s v="CA-2018-152485"/>
    <x v="507"/>
    <d v="2018-09-08T00:00:00"/>
    <x v="1"/>
    <s v="JD-15790"/>
    <s v="John Dryer"/>
    <s v="Consumer"/>
    <x v="2"/>
    <x v="1"/>
    <n v="16.783999999999999"/>
    <n v="1678.3999999999999"/>
    <n v="335.68"/>
  </r>
  <r>
    <n v="1498"/>
    <s v="CA-2018-152485"/>
    <x v="507"/>
    <d v="2018-09-08T00:00:00"/>
    <x v="1"/>
    <s v="JD-15790"/>
    <s v="John Dryer"/>
    <s v="Consumer"/>
    <x v="2"/>
    <x v="1"/>
    <n v="13.12"/>
    <n v="1312"/>
    <n v="262.40000000000003"/>
  </r>
  <r>
    <n v="1499"/>
    <s v="CA-2017-141586"/>
    <x v="508"/>
    <d v="2017-10-20T00:00:00"/>
    <x v="2"/>
    <s v="NK-18490"/>
    <s v="Neil Knudson"/>
    <s v="Home Office"/>
    <x v="1"/>
    <x v="1"/>
    <n v="18.16"/>
    <n v="1816"/>
    <n v="363.20000000000005"/>
  </r>
  <r>
    <n v="1500"/>
    <s v="CA-2018-130386"/>
    <x v="105"/>
    <d v="2018-11-18T00:00:00"/>
    <x v="1"/>
    <s v="NG-18430"/>
    <s v="Nathan Gelder"/>
    <s v="Consumer"/>
    <x v="2"/>
    <x v="1"/>
    <n v="16.056000000000001"/>
    <n v="1605.6000000000001"/>
    <n v="321.12000000000006"/>
  </r>
  <r>
    <n v="1501"/>
    <s v="CA-2018-130386"/>
    <x v="105"/>
    <d v="2018-11-18T00:00:00"/>
    <x v="1"/>
    <s v="NG-18430"/>
    <s v="Nathan Gelder"/>
    <s v="Consumer"/>
    <x v="2"/>
    <x v="1"/>
    <n v="223.05600000000001"/>
    <n v="22305.600000000002"/>
    <n v="4461.1200000000008"/>
  </r>
  <r>
    <n v="1502"/>
    <s v="CA-2018-130386"/>
    <x v="105"/>
    <d v="2018-11-18T00:00:00"/>
    <x v="1"/>
    <s v="NG-18430"/>
    <s v="Nathan Gelder"/>
    <s v="Consumer"/>
    <x v="2"/>
    <x v="1"/>
    <n v="540.048"/>
    <n v="54004.800000000003"/>
    <n v="10800.960000000001"/>
  </r>
  <r>
    <n v="1503"/>
    <s v="CA-2017-100468"/>
    <x v="390"/>
    <d v="2017-12-01T00:00:00"/>
    <x v="1"/>
    <s v="AT-10435"/>
    <s v="Alyssa Tate"/>
    <s v="Home Office"/>
    <x v="1"/>
    <x v="2"/>
    <n v="33.520000000000003"/>
    <n v="3352.0000000000005"/>
    <n v="670.40000000000009"/>
  </r>
  <r>
    <n v="1504"/>
    <s v="CA-2017-100468"/>
    <x v="390"/>
    <d v="2017-12-01T00:00:00"/>
    <x v="1"/>
    <s v="AT-10435"/>
    <s v="Alyssa Tate"/>
    <s v="Home Office"/>
    <x v="1"/>
    <x v="0"/>
    <n v="9.94"/>
    <n v="994"/>
    <n v="198.8"/>
  </r>
  <r>
    <n v="1505"/>
    <s v="CA-2016-153388"/>
    <x v="509"/>
    <d v="2016-08-07T00:00:00"/>
    <x v="1"/>
    <s v="PC-19000"/>
    <s v="Pauline Chand"/>
    <s v="Home Office"/>
    <x v="1"/>
    <x v="1"/>
    <n v="6.72"/>
    <n v="672"/>
    <n v="134.4"/>
  </r>
  <r>
    <n v="1506"/>
    <s v="CA-2016-153388"/>
    <x v="509"/>
    <d v="2016-08-07T00:00:00"/>
    <x v="1"/>
    <s v="PC-19000"/>
    <s v="Pauline Chand"/>
    <s v="Home Office"/>
    <x v="1"/>
    <x v="0"/>
    <n v="1004.976"/>
    <n v="100497.60000000001"/>
    <n v="20099.520000000004"/>
  </r>
  <r>
    <n v="1507"/>
    <s v="CA-2018-154935"/>
    <x v="165"/>
    <d v="2018-12-29T00:00:00"/>
    <x v="1"/>
    <s v="AR-10540"/>
    <s v="Andy Reiter"/>
    <s v="Consumer"/>
    <x v="3"/>
    <x v="1"/>
    <n v="17.88"/>
    <n v="1788"/>
    <n v="357.6"/>
  </r>
  <r>
    <n v="1508"/>
    <s v="CA-2017-134208"/>
    <x v="42"/>
    <d v="2017-09-23T00:00:00"/>
    <x v="1"/>
    <s v="CS-12505"/>
    <s v="Cindy Stewart"/>
    <s v="Consumer"/>
    <x v="0"/>
    <x v="2"/>
    <n v="396"/>
    <n v="39600"/>
    <n v="7920"/>
  </r>
  <r>
    <n v="1509"/>
    <s v="CA-2018-108294"/>
    <x v="389"/>
    <d v="2018-12-10T00:00:00"/>
    <x v="3"/>
    <s v="LS-16975"/>
    <s v="Lindsay Shagiari"/>
    <s v="Home Office"/>
    <x v="2"/>
    <x v="1"/>
    <n v="34.5"/>
    <n v="3450"/>
    <n v="690"/>
  </r>
  <r>
    <n v="1510"/>
    <s v="CA-2018-103611"/>
    <x v="510"/>
    <d v="2018-09-15T00:00:00"/>
    <x v="2"/>
    <s v="JM-15535"/>
    <s v="Jessica Myrick"/>
    <s v="Consumer"/>
    <x v="1"/>
    <x v="0"/>
    <n v="8.36"/>
    <n v="836"/>
    <n v="167.20000000000002"/>
  </r>
  <r>
    <n v="1511"/>
    <s v="CA-2018-100384"/>
    <x v="92"/>
    <d v="2018-07-01T00:00:00"/>
    <x v="1"/>
    <s v="NH-18610"/>
    <s v="Nicole Hansen"/>
    <s v="Corporate"/>
    <x v="1"/>
    <x v="1"/>
    <n v="385.6"/>
    <n v="38560"/>
    <n v="7712"/>
  </r>
  <r>
    <n v="1512"/>
    <s v="CA-2018-100384"/>
    <x v="92"/>
    <d v="2018-07-01T00:00:00"/>
    <x v="1"/>
    <s v="NH-18610"/>
    <s v="Nicole Hansen"/>
    <s v="Corporate"/>
    <x v="1"/>
    <x v="1"/>
    <n v="35.82"/>
    <n v="3582"/>
    <n v="716.40000000000009"/>
  </r>
  <r>
    <n v="1513"/>
    <s v="CA-2018-112809"/>
    <x v="238"/>
    <d v="2018-08-22T00:00:00"/>
    <x v="1"/>
    <s v="RA-19915"/>
    <s v="Russell Applegate"/>
    <s v="Consumer"/>
    <x v="2"/>
    <x v="1"/>
    <n v="200.06399999999999"/>
    <n v="20006.399999999998"/>
    <n v="4001.2799999999997"/>
  </r>
  <r>
    <n v="1514"/>
    <s v="CA-2018-112809"/>
    <x v="238"/>
    <d v="2018-08-22T00:00:00"/>
    <x v="1"/>
    <s v="RA-19915"/>
    <s v="Russell Applegate"/>
    <s v="Consumer"/>
    <x v="2"/>
    <x v="1"/>
    <n v="21.38"/>
    <n v="2138"/>
    <n v="427.6"/>
  </r>
  <r>
    <n v="1515"/>
    <s v="CA-2018-112809"/>
    <x v="238"/>
    <d v="2018-08-22T00:00:00"/>
    <x v="1"/>
    <s v="RA-19915"/>
    <s v="Russell Applegate"/>
    <s v="Consumer"/>
    <x v="2"/>
    <x v="1"/>
    <n v="6.7439999999999998"/>
    <n v="674.4"/>
    <n v="134.88"/>
  </r>
  <r>
    <n v="1516"/>
    <s v="US-2018-160759"/>
    <x v="157"/>
    <d v="2018-12-17T00:00:00"/>
    <x v="1"/>
    <s v="AI-10855"/>
    <s v="Arianne Irving"/>
    <s v="Consumer"/>
    <x v="3"/>
    <x v="0"/>
    <n v="63.686"/>
    <n v="6368.6"/>
    <n v="1273.7200000000003"/>
  </r>
  <r>
    <n v="1517"/>
    <s v="CA-2018-148446"/>
    <x v="389"/>
    <d v="2018-12-14T00:00:00"/>
    <x v="0"/>
    <s v="MC-17845"/>
    <s v="Michael Chen"/>
    <s v="Consumer"/>
    <x v="1"/>
    <x v="0"/>
    <n v="1669.6"/>
    <n v="166960"/>
    <n v="33392"/>
  </r>
  <r>
    <n v="1518"/>
    <s v="CA-2015-111059"/>
    <x v="511"/>
    <d v="2015-02-06T00:00:00"/>
    <x v="0"/>
    <s v="TB-21400"/>
    <s v="Tom Boeckenhauer"/>
    <s v="Consumer"/>
    <x v="1"/>
    <x v="1"/>
    <n v="83.84"/>
    <n v="8384"/>
    <n v="1676.8000000000002"/>
  </r>
  <r>
    <n v="1519"/>
    <s v="CA-2015-111059"/>
    <x v="511"/>
    <d v="2015-02-06T00:00:00"/>
    <x v="0"/>
    <s v="TB-21400"/>
    <s v="Tom Boeckenhauer"/>
    <s v="Consumer"/>
    <x v="1"/>
    <x v="1"/>
    <n v="13.272"/>
    <n v="1327.2"/>
    <n v="265.44"/>
  </r>
  <r>
    <n v="1520"/>
    <s v="CA-2018-116204"/>
    <x v="512"/>
    <d v="2018-02-14T00:00:00"/>
    <x v="0"/>
    <s v="VW-21775"/>
    <s v="Victoria Wilson"/>
    <s v="Corporate"/>
    <x v="1"/>
    <x v="1"/>
    <n v="21.335999999999999"/>
    <n v="2133.6"/>
    <n v="426.72"/>
  </r>
  <r>
    <n v="1521"/>
    <s v="CA-2018-109946"/>
    <x v="513"/>
    <d v="2018-04-21T00:00:00"/>
    <x v="1"/>
    <s v="PL-18925"/>
    <s v="Paul Lucas"/>
    <s v="Home Office"/>
    <x v="2"/>
    <x v="1"/>
    <n v="16.52"/>
    <n v="1652"/>
    <n v="330.40000000000003"/>
  </r>
  <r>
    <n v="1522"/>
    <s v="CA-2016-144806"/>
    <x v="401"/>
    <d v="2016-12-11T00:00:00"/>
    <x v="1"/>
    <s v="GH-14425"/>
    <s v="Gary Hwang"/>
    <s v="Consumer"/>
    <x v="1"/>
    <x v="0"/>
    <n v="206.11199999999999"/>
    <n v="20611.2"/>
    <n v="4122.2400000000007"/>
  </r>
  <r>
    <n v="1523"/>
    <s v="CA-2016-144806"/>
    <x v="401"/>
    <d v="2016-12-11T00:00:00"/>
    <x v="1"/>
    <s v="GH-14425"/>
    <s v="Gary Hwang"/>
    <s v="Consumer"/>
    <x v="1"/>
    <x v="1"/>
    <n v="19.920000000000002"/>
    <n v="1992.0000000000002"/>
    <n v="398.40000000000009"/>
  </r>
  <r>
    <n v="1524"/>
    <s v="CA-2016-144806"/>
    <x v="401"/>
    <d v="2016-12-11T00:00:00"/>
    <x v="1"/>
    <s v="GH-14425"/>
    <s v="Gary Hwang"/>
    <s v="Consumer"/>
    <x v="1"/>
    <x v="1"/>
    <n v="198.27199999999999"/>
    <n v="19827.2"/>
    <n v="3965.4400000000005"/>
  </r>
  <r>
    <n v="1525"/>
    <s v="CA-2016-144806"/>
    <x v="401"/>
    <d v="2016-12-11T00:00:00"/>
    <x v="1"/>
    <s v="GH-14425"/>
    <s v="Gary Hwang"/>
    <s v="Consumer"/>
    <x v="1"/>
    <x v="1"/>
    <n v="247.10400000000001"/>
    <n v="24710.400000000001"/>
    <n v="4942.0800000000008"/>
  </r>
  <r>
    <n v="1526"/>
    <s v="CA-2016-144806"/>
    <x v="401"/>
    <d v="2016-12-11T00:00:00"/>
    <x v="1"/>
    <s v="GH-14425"/>
    <s v="Gary Hwang"/>
    <s v="Consumer"/>
    <x v="1"/>
    <x v="1"/>
    <n v="86.304000000000002"/>
    <n v="8630.4"/>
    <n v="1726.08"/>
  </r>
  <r>
    <n v="1527"/>
    <s v="CA-2017-122392"/>
    <x v="405"/>
    <d v="2017-07-27T00:00:00"/>
    <x v="1"/>
    <s v="CJ-12010"/>
    <s v="Caroline Jumper"/>
    <s v="Consumer"/>
    <x v="3"/>
    <x v="1"/>
    <n v="4.16"/>
    <n v="416"/>
    <n v="83.2"/>
  </r>
  <r>
    <n v="1528"/>
    <s v="CA-2017-122392"/>
    <x v="405"/>
    <d v="2017-07-27T00:00:00"/>
    <x v="1"/>
    <s v="CJ-12010"/>
    <s v="Caroline Jumper"/>
    <s v="Consumer"/>
    <x v="3"/>
    <x v="0"/>
    <n v="11.648"/>
    <n v="1164.8"/>
    <n v="232.96"/>
  </r>
  <r>
    <n v="1529"/>
    <s v="CA-2016-148432"/>
    <x v="209"/>
    <d v="2016-11-10T00:00:00"/>
    <x v="0"/>
    <s v="MC-18130"/>
    <s v="Mike Caudle"/>
    <s v="Corporate"/>
    <x v="3"/>
    <x v="1"/>
    <n v="26.18"/>
    <n v="2618"/>
    <n v="523.6"/>
  </r>
  <r>
    <n v="1530"/>
    <s v="CA-2016-148432"/>
    <x v="209"/>
    <d v="2016-11-10T00:00:00"/>
    <x v="0"/>
    <s v="MC-18130"/>
    <s v="Mike Caudle"/>
    <s v="Corporate"/>
    <x v="3"/>
    <x v="1"/>
    <n v="7.3"/>
    <n v="730"/>
    <n v="146"/>
  </r>
  <r>
    <n v="1531"/>
    <s v="CA-2016-103793"/>
    <x v="514"/>
    <d v="2016-03-31T00:00:00"/>
    <x v="1"/>
    <s v="BV-11245"/>
    <s v="Benjamin Venier"/>
    <s v="Corporate"/>
    <x v="0"/>
    <x v="1"/>
    <n v="74.352000000000004"/>
    <n v="7435.2000000000007"/>
    <n v="1487.0400000000002"/>
  </r>
  <r>
    <n v="1532"/>
    <s v="CA-2018-159884"/>
    <x v="515"/>
    <d v="2018-09-05T00:00:00"/>
    <x v="1"/>
    <s v="JF-15490"/>
    <s v="Jeremy Farry"/>
    <s v="Consumer"/>
    <x v="1"/>
    <x v="1"/>
    <n v="10.744"/>
    <n v="1074.4000000000001"/>
    <n v="214.88000000000002"/>
  </r>
  <r>
    <n v="1533"/>
    <s v="CA-2018-159884"/>
    <x v="515"/>
    <d v="2018-09-05T00:00:00"/>
    <x v="1"/>
    <s v="JF-15490"/>
    <s v="Jeremy Farry"/>
    <s v="Consumer"/>
    <x v="1"/>
    <x v="1"/>
    <n v="8.3759999999999994"/>
    <n v="837.59999999999991"/>
    <n v="167.51999999999998"/>
  </r>
  <r>
    <n v="1534"/>
    <s v="CA-2017-139885"/>
    <x v="429"/>
    <d v="2017-12-08T00:00:00"/>
    <x v="1"/>
    <s v="EB-13840"/>
    <s v="Ellis Ballard"/>
    <s v="Corporate"/>
    <x v="3"/>
    <x v="1"/>
    <n v="212.88"/>
    <n v="21288"/>
    <n v="4257.6000000000004"/>
  </r>
  <r>
    <n v="1535"/>
    <s v="CA-2018-124086"/>
    <x v="516"/>
    <d v="2018-02-14T00:00:00"/>
    <x v="1"/>
    <s v="MP-18175"/>
    <s v="Mike Pelletier"/>
    <s v="Home Office"/>
    <x v="1"/>
    <x v="0"/>
    <n v="203.983"/>
    <n v="20398.3"/>
    <n v="4079.66"/>
  </r>
  <r>
    <n v="1536"/>
    <s v="CA-2017-112389"/>
    <x v="517"/>
    <d v="2017-11-02T00:00:00"/>
    <x v="1"/>
    <s v="JM-15655"/>
    <s v="Jim Mitchum"/>
    <s v="Corporate"/>
    <x v="3"/>
    <x v="1"/>
    <n v="40.74"/>
    <n v="4074"/>
    <n v="814.80000000000007"/>
  </r>
  <r>
    <n v="1537"/>
    <s v="CA-2017-112389"/>
    <x v="517"/>
    <d v="2017-11-02T00:00:00"/>
    <x v="1"/>
    <s v="JM-15655"/>
    <s v="Jim Mitchum"/>
    <s v="Corporate"/>
    <x v="3"/>
    <x v="1"/>
    <n v="11.67"/>
    <n v="1167"/>
    <n v="233.4"/>
  </r>
  <r>
    <n v="1538"/>
    <s v="CA-2018-121888"/>
    <x v="175"/>
    <d v="2018-09-17T00:00:00"/>
    <x v="0"/>
    <s v="CL-11890"/>
    <s v="Carl Ludwig"/>
    <s v="Consumer"/>
    <x v="3"/>
    <x v="2"/>
    <n v="39.99"/>
    <n v="3999"/>
    <n v="799.80000000000007"/>
  </r>
  <r>
    <n v="1539"/>
    <s v="CA-2018-121888"/>
    <x v="175"/>
    <d v="2018-09-17T00:00:00"/>
    <x v="0"/>
    <s v="CL-11890"/>
    <s v="Carl Ludwig"/>
    <s v="Consumer"/>
    <x v="3"/>
    <x v="1"/>
    <n v="16.28"/>
    <n v="1628"/>
    <n v="325.60000000000002"/>
  </r>
  <r>
    <n v="1540"/>
    <s v="CA-2018-121888"/>
    <x v="175"/>
    <d v="2018-09-17T00:00:00"/>
    <x v="0"/>
    <s v="CL-11890"/>
    <s v="Carl Ludwig"/>
    <s v="Consumer"/>
    <x v="3"/>
    <x v="0"/>
    <n v="782.94"/>
    <n v="78294"/>
    <n v="15658.800000000001"/>
  </r>
  <r>
    <n v="1541"/>
    <s v="CA-2018-121888"/>
    <x v="175"/>
    <d v="2018-09-17T00:00:00"/>
    <x v="0"/>
    <s v="CL-11890"/>
    <s v="Carl Ludwig"/>
    <s v="Consumer"/>
    <x v="3"/>
    <x v="1"/>
    <n v="242.48"/>
    <n v="24248"/>
    <n v="4849.6000000000004"/>
  </r>
  <r>
    <n v="1542"/>
    <s v="CA-2015-166884"/>
    <x v="518"/>
    <d v="2015-03-16T00:00:00"/>
    <x v="0"/>
    <s v="CK-12205"/>
    <s v="Chloris Kastensmidt"/>
    <s v="Consumer"/>
    <x v="3"/>
    <x v="0"/>
    <n v="8.32"/>
    <n v="832"/>
    <n v="166.4"/>
  </r>
  <r>
    <n v="1543"/>
    <s v="CA-2015-166884"/>
    <x v="518"/>
    <d v="2015-03-16T00:00:00"/>
    <x v="0"/>
    <s v="CK-12205"/>
    <s v="Chloris Kastensmidt"/>
    <s v="Consumer"/>
    <x v="3"/>
    <x v="1"/>
    <n v="10.464"/>
    <n v="1046.4000000000001"/>
    <n v="209.28000000000003"/>
  </r>
  <r>
    <n v="1544"/>
    <s v="CA-2015-107181"/>
    <x v="519"/>
    <d v="2015-02-08T00:00:00"/>
    <x v="1"/>
    <s v="DB-13270"/>
    <s v="Deborah Brumfield"/>
    <s v="Home Office"/>
    <x v="1"/>
    <x v="1"/>
    <n v="82.896000000000001"/>
    <n v="8289.6"/>
    <n v="1657.92"/>
  </r>
  <r>
    <n v="1545"/>
    <s v="CA-2015-107181"/>
    <x v="519"/>
    <d v="2015-02-08T00:00:00"/>
    <x v="1"/>
    <s v="DB-13270"/>
    <s v="Deborah Brumfield"/>
    <s v="Home Office"/>
    <x v="1"/>
    <x v="1"/>
    <n v="34.24"/>
    <n v="3424"/>
    <n v="684.80000000000007"/>
  </r>
  <r>
    <n v="1546"/>
    <s v="CA-2015-150245"/>
    <x v="520"/>
    <d v="2016-01-04T00:00:00"/>
    <x v="0"/>
    <s v="PC-18745"/>
    <s v="Pamela Coakley"/>
    <s v="Corporate"/>
    <x v="3"/>
    <x v="0"/>
    <n v="1573.4880000000001"/>
    <n v="157348.80000000002"/>
    <n v="31469.760000000006"/>
  </r>
  <r>
    <n v="1547"/>
    <s v="CA-2016-111395"/>
    <x v="521"/>
    <d v="2016-11-27T00:00:00"/>
    <x v="1"/>
    <s v="VB-21745"/>
    <s v="Victoria Brennan"/>
    <s v="Corporate"/>
    <x v="2"/>
    <x v="1"/>
    <n v="335.52"/>
    <n v="33552"/>
    <n v="6710.4000000000005"/>
  </r>
  <r>
    <n v="1548"/>
    <s v="CA-2016-111395"/>
    <x v="521"/>
    <d v="2016-11-27T00:00:00"/>
    <x v="1"/>
    <s v="VB-21745"/>
    <s v="Victoria Brennan"/>
    <s v="Corporate"/>
    <x v="2"/>
    <x v="1"/>
    <n v="23.911999999999999"/>
    <n v="2391.1999999999998"/>
    <n v="478.24"/>
  </r>
  <r>
    <n v="1549"/>
    <s v="CA-2016-111395"/>
    <x v="521"/>
    <d v="2016-11-27T00:00:00"/>
    <x v="1"/>
    <s v="VB-21745"/>
    <s v="Victoria Brennan"/>
    <s v="Corporate"/>
    <x v="2"/>
    <x v="1"/>
    <n v="27.056000000000001"/>
    <n v="2705.6"/>
    <n v="541.12"/>
  </r>
  <r>
    <n v="1550"/>
    <s v="CA-2015-134278"/>
    <x v="522"/>
    <d v="2015-07-08T00:00:00"/>
    <x v="2"/>
    <s v="EP-13915"/>
    <s v="Emily Phan"/>
    <s v="Consumer"/>
    <x v="3"/>
    <x v="2"/>
    <n v="559.99199999999996"/>
    <n v="55999.199999999997"/>
    <n v="11199.84"/>
  </r>
  <r>
    <n v="1551"/>
    <s v="US-2018-124926"/>
    <x v="38"/>
    <d v="2018-11-18T00:00:00"/>
    <x v="0"/>
    <s v="ME-17320"/>
    <s v="Maria Etezadi"/>
    <s v="Home Office"/>
    <x v="2"/>
    <x v="1"/>
    <n v="9.3239999999999998"/>
    <n v="932.4"/>
    <n v="186.48000000000002"/>
  </r>
  <r>
    <n v="1552"/>
    <s v="CA-2017-159345"/>
    <x v="26"/>
    <d v="2017-06-22T00:00:00"/>
    <x v="1"/>
    <s v="IG-15085"/>
    <s v="Ivan Gibson"/>
    <s v="Consumer"/>
    <x v="1"/>
    <x v="1"/>
    <n v="111.96"/>
    <n v="11196"/>
    <n v="2239.2000000000003"/>
  </r>
  <r>
    <n v="1553"/>
    <s v="CA-2015-130274"/>
    <x v="523"/>
    <d v="2015-05-05T00:00:00"/>
    <x v="2"/>
    <s v="JS-15940"/>
    <s v="Joni Sundaresam"/>
    <s v="Home Office"/>
    <x v="2"/>
    <x v="1"/>
    <n v="21.56"/>
    <n v="2156"/>
    <n v="431.20000000000005"/>
  </r>
  <r>
    <n v="1554"/>
    <s v="CA-2018-158386"/>
    <x v="524"/>
    <d v="2018-10-21T00:00:00"/>
    <x v="1"/>
    <s v="BO-11425"/>
    <s v="Bobby Odegard"/>
    <s v="Consumer"/>
    <x v="0"/>
    <x v="1"/>
    <n v="124.75"/>
    <n v="12475"/>
    <n v="2495"/>
  </r>
  <r>
    <n v="1555"/>
    <s v="CA-2016-111507"/>
    <x v="525"/>
    <d v="2016-02-13T00:00:00"/>
    <x v="1"/>
    <s v="VW-21775"/>
    <s v="Victoria Wilson"/>
    <s v="Corporate"/>
    <x v="1"/>
    <x v="1"/>
    <n v="5.28"/>
    <n v="528"/>
    <n v="105.60000000000001"/>
  </r>
  <r>
    <n v="1556"/>
    <s v="CA-2018-120761"/>
    <x v="507"/>
    <d v="2018-09-08T00:00:00"/>
    <x v="1"/>
    <s v="AB-10150"/>
    <s v="Aimee Bixby"/>
    <s v="Consumer"/>
    <x v="3"/>
    <x v="2"/>
    <n v="91.96"/>
    <n v="9196"/>
    <n v="1839.2"/>
  </r>
  <r>
    <n v="1557"/>
    <s v="CA-2017-109176"/>
    <x v="195"/>
    <d v="2017-05-15T00:00:00"/>
    <x v="1"/>
    <s v="JW-16075"/>
    <s v="Julia Goa"/>
    <s v="Consumer"/>
    <x v="3"/>
    <x v="1"/>
    <n v="9.3439999999999994"/>
    <n v="934.4"/>
    <n v="186.88"/>
  </r>
  <r>
    <n v="1558"/>
    <s v="CA-2017-109176"/>
    <x v="195"/>
    <d v="2017-05-15T00:00:00"/>
    <x v="1"/>
    <s v="JW-16075"/>
    <s v="Julia Goa"/>
    <s v="Consumer"/>
    <x v="3"/>
    <x v="1"/>
    <n v="79.36"/>
    <n v="7936"/>
    <n v="1587.2"/>
  </r>
  <r>
    <n v="1559"/>
    <s v="CA-2016-112116"/>
    <x v="199"/>
    <d v="2016-03-18T00:00:00"/>
    <x v="0"/>
    <s v="JE-15475"/>
    <s v="Jeremy Ellison"/>
    <s v="Consumer"/>
    <x v="1"/>
    <x v="0"/>
    <n v="171.96"/>
    <n v="17196"/>
    <n v="3439.2000000000003"/>
  </r>
  <r>
    <n v="1560"/>
    <s v="CA-2017-126809"/>
    <x v="526"/>
    <d v="2017-04-13T00:00:00"/>
    <x v="1"/>
    <s v="EB-13750"/>
    <s v="Edward Becker"/>
    <s v="Corporate"/>
    <x v="1"/>
    <x v="1"/>
    <n v="35.351999999999997"/>
    <n v="3535.2"/>
    <n v="707.04"/>
  </r>
  <r>
    <n v="1561"/>
    <s v="CA-2015-105172"/>
    <x v="527"/>
    <d v="2015-04-09T00:00:00"/>
    <x v="1"/>
    <s v="PK-18910"/>
    <s v="Paul Knutson"/>
    <s v="Home Office"/>
    <x v="1"/>
    <x v="1"/>
    <n v="18.899999999999999"/>
    <n v="1889.9999999999998"/>
    <n v="378"/>
  </r>
  <r>
    <n v="1562"/>
    <s v="CA-2018-107293"/>
    <x v="528"/>
    <d v="2018-09-06T00:00:00"/>
    <x v="2"/>
    <s v="CS-12400"/>
    <s v="Christopher Schild"/>
    <s v="Home Office"/>
    <x v="1"/>
    <x v="1"/>
    <n v="2.78"/>
    <n v="278"/>
    <n v="55.6"/>
  </r>
  <r>
    <n v="1563"/>
    <s v="US-2018-102890"/>
    <x v="160"/>
    <d v="2018-06-30T00:00:00"/>
    <x v="3"/>
    <s v="SG-20470"/>
    <s v="Sheri Gordon"/>
    <s v="Consumer"/>
    <x v="3"/>
    <x v="0"/>
    <n v="1044.6300000000001"/>
    <n v="104463.00000000001"/>
    <n v="20892.600000000006"/>
  </r>
  <r>
    <n v="1564"/>
    <s v="CA-2016-158554"/>
    <x v="529"/>
    <d v="2016-11-09T00:00:00"/>
    <x v="3"/>
    <s v="CM-12190"/>
    <s v="Charlotte Melton"/>
    <s v="Consumer"/>
    <x v="3"/>
    <x v="1"/>
    <n v="11.352"/>
    <n v="1135.2"/>
    <n v="227.04000000000002"/>
  </r>
  <r>
    <n v="1565"/>
    <s v="CA-2015-116239"/>
    <x v="530"/>
    <d v="2015-03-04T00:00:00"/>
    <x v="3"/>
    <s v="CL-12565"/>
    <s v="Clay Ludtke"/>
    <s v="Consumer"/>
    <x v="0"/>
    <x v="1"/>
    <n v="354.9"/>
    <n v="35490"/>
    <n v="7098"/>
  </r>
  <r>
    <n v="1566"/>
    <s v="CA-2016-132101"/>
    <x v="531"/>
    <d v="2016-03-25T00:00:00"/>
    <x v="1"/>
    <s v="JO-15550"/>
    <s v="Jesus Ocampo"/>
    <s v="Home Office"/>
    <x v="1"/>
    <x v="2"/>
    <n v="453.57600000000002"/>
    <n v="45357.600000000006"/>
    <n v="9071.5200000000023"/>
  </r>
  <r>
    <n v="1567"/>
    <s v="CA-2016-129112"/>
    <x v="239"/>
    <d v="2016-11-30T00:00:00"/>
    <x v="2"/>
    <s v="AW-10840"/>
    <s v="Anthony Witt"/>
    <s v="Consumer"/>
    <x v="2"/>
    <x v="2"/>
    <n v="21.48"/>
    <n v="2148"/>
    <n v="429.6"/>
  </r>
  <r>
    <n v="1568"/>
    <s v="CA-2016-129112"/>
    <x v="239"/>
    <d v="2016-11-30T00:00:00"/>
    <x v="2"/>
    <s v="AW-10840"/>
    <s v="Anthony Witt"/>
    <s v="Consumer"/>
    <x v="2"/>
    <x v="1"/>
    <n v="8.7840000000000007"/>
    <n v="878.40000000000009"/>
    <n v="175.68000000000004"/>
  </r>
  <r>
    <n v="1569"/>
    <s v="US-2018-152002"/>
    <x v="532"/>
    <d v="2018-06-11T00:00:00"/>
    <x v="3"/>
    <s v="DV-13465"/>
    <s v="Dianna Vittorini"/>
    <s v="Consumer"/>
    <x v="1"/>
    <x v="1"/>
    <n v="122.97"/>
    <n v="12297"/>
    <n v="2459.4"/>
  </r>
  <r>
    <n v="1570"/>
    <s v="CA-2018-165029"/>
    <x v="200"/>
    <d v="2018-11-30T00:00:00"/>
    <x v="1"/>
    <s v="AH-10075"/>
    <s v="Adam Hart"/>
    <s v="Corporate"/>
    <x v="0"/>
    <x v="1"/>
    <n v="12.84"/>
    <n v="1284"/>
    <n v="256.8"/>
  </r>
  <r>
    <n v="1571"/>
    <s v="US-2015-157385"/>
    <x v="533"/>
    <d v="2015-11-25T00:00:00"/>
    <x v="2"/>
    <s v="SC-20095"/>
    <s v="Sanjit Chand"/>
    <s v="Consumer"/>
    <x v="1"/>
    <x v="0"/>
    <n v="603.91999999999996"/>
    <n v="60391.999999999993"/>
    <n v="12078.4"/>
  </r>
  <r>
    <n v="1572"/>
    <s v="US-2015-157385"/>
    <x v="533"/>
    <d v="2015-11-25T00:00:00"/>
    <x v="2"/>
    <s v="SC-20095"/>
    <s v="Sanjit Chand"/>
    <s v="Consumer"/>
    <x v="1"/>
    <x v="1"/>
    <n v="21.84"/>
    <n v="2184"/>
    <n v="436.8"/>
  </r>
  <r>
    <n v="1573"/>
    <s v="US-2015-157385"/>
    <x v="533"/>
    <d v="2015-11-25T00:00:00"/>
    <x v="2"/>
    <s v="SC-20095"/>
    <s v="Sanjit Chand"/>
    <s v="Consumer"/>
    <x v="1"/>
    <x v="2"/>
    <n v="29.99"/>
    <n v="2999"/>
    <n v="599.80000000000007"/>
  </r>
  <r>
    <n v="1574"/>
    <s v="US-2015-157385"/>
    <x v="533"/>
    <d v="2015-11-25T00:00:00"/>
    <x v="2"/>
    <s v="SC-20095"/>
    <s v="Sanjit Chand"/>
    <s v="Consumer"/>
    <x v="1"/>
    <x v="0"/>
    <n v="381.44"/>
    <n v="38144"/>
    <n v="7628.8"/>
  </r>
  <r>
    <n v="1575"/>
    <s v="CA-2015-101602"/>
    <x v="534"/>
    <d v="2015-12-18T00:00:00"/>
    <x v="2"/>
    <s v="MC-18100"/>
    <s v="Mick Crebagga"/>
    <s v="Consumer"/>
    <x v="2"/>
    <x v="2"/>
    <n v="40.68"/>
    <n v="4068"/>
    <n v="813.6"/>
  </r>
  <r>
    <n v="1576"/>
    <s v="CA-2015-101602"/>
    <x v="534"/>
    <d v="2015-12-18T00:00:00"/>
    <x v="2"/>
    <s v="MC-18100"/>
    <s v="Mick Crebagga"/>
    <s v="Consumer"/>
    <x v="2"/>
    <x v="0"/>
    <n v="763.28"/>
    <n v="76328"/>
    <n v="15265.6"/>
  </r>
  <r>
    <n v="1577"/>
    <s v="CA-2017-109057"/>
    <x v="183"/>
    <d v="2017-04-27T00:00:00"/>
    <x v="1"/>
    <s v="TT-21460"/>
    <s v="Tonja Turnell"/>
    <s v="Home Office"/>
    <x v="2"/>
    <x v="1"/>
    <n v="23.952000000000002"/>
    <n v="2395.2000000000003"/>
    <n v="479.04000000000008"/>
  </r>
  <r>
    <n v="1578"/>
    <s v="CA-2017-154403"/>
    <x v="454"/>
    <d v="2017-05-27T00:00:00"/>
    <x v="1"/>
    <s v="AP-10720"/>
    <s v="Anne Pryor"/>
    <s v="Home Office"/>
    <x v="0"/>
    <x v="1"/>
    <n v="4.9800000000000004"/>
    <n v="498.00000000000006"/>
    <n v="99.600000000000023"/>
  </r>
  <r>
    <n v="1579"/>
    <s v="CA-2017-102456"/>
    <x v="535"/>
    <d v="2017-03-01T00:00:00"/>
    <x v="2"/>
    <s v="DL-12865"/>
    <s v="Dan Lawera"/>
    <s v="Consumer"/>
    <x v="3"/>
    <x v="1"/>
    <n v="170.88"/>
    <n v="17088"/>
    <n v="3417.6000000000004"/>
  </r>
  <r>
    <n v="1580"/>
    <s v="CA-2016-131338"/>
    <x v="101"/>
    <d v="2016-08-12T00:00:00"/>
    <x v="2"/>
    <s v="NP-18325"/>
    <s v="Naresj Patel"/>
    <s v="Consumer"/>
    <x v="3"/>
    <x v="2"/>
    <n v="307.98"/>
    <n v="30798"/>
    <n v="6159.6"/>
  </r>
  <r>
    <n v="1581"/>
    <s v="CA-2016-131338"/>
    <x v="101"/>
    <d v="2016-08-12T00:00:00"/>
    <x v="2"/>
    <s v="NP-18325"/>
    <s v="Naresj Patel"/>
    <s v="Consumer"/>
    <x v="3"/>
    <x v="0"/>
    <n v="382.80599999999998"/>
    <n v="38280.6"/>
    <n v="7656.12"/>
  </r>
  <r>
    <n v="1582"/>
    <s v="CA-2016-131338"/>
    <x v="101"/>
    <d v="2016-08-12T00:00:00"/>
    <x v="2"/>
    <s v="NP-18325"/>
    <s v="Naresj Patel"/>
    <s v="Consumer"/>
    <x v="3"/>
    <x v="1"/>
    <n v="41.96"/>
    <n v="4196"/>
    <n v="839.2"/>
  </r>
  <r>
    <n v="1583"/>
    <s v="CA-2016-131338"/>
    <x v="101"/>
    <d v="2016-08-12T00:00:00"/>
    <x v="2"/>
    <s v="NP-18325"/>
    <s v="Naresj Patel"/>
    <s v="Consumer"/>
    <x v="3"/>
    <x v="1"/>
    <n v="1217.568"/>
    <n v="121756.8"/>
    <n v="24351.360000000001"/>
  </r>
  <r>
    <n v="1584"/>
    <s v="CA-2016-131338"/>
    <x v="101"/>
    <d v="2016-08-12T00:00:00"/>
    <x v="2"/>
    <s v="NP-18325"/>
    <s v="Naresj Patel"/>
    <s v="Consumer"/>
    <x v="3"/>
    <x v="0"/>
    <n v="47.04"/>
    <n v="4704"/>
    <n v="940.80000000000007"/>
  </r>
  <r>
    <n v="1585"/>
    <s v="CA-2016-131338"/>
    <x v="101"/>
    <d v="2016-08-12T00:00:00"/>
    <x v="2"/>
    <s v="NP-18325"/>
    <s v="Naresj Patel"/>
    <s v="Consumer"/>
    <x v="3"/>
    <x v="0"/>
    <n v="6.16"/>
    <n v="616"/>
    <n v="123.2"/>
  </r>
  <r>
    <n v="1586"/>
    <s v="CA-2016-131338"/>
    <x v="101"/>
    <d v="2016-08-12T00:00:00"/>
    <x v="2"/>
    <s v="NP-18325"/>
    <s v="Naresj Patel"/>
    <s v="Consumer"/>
    <x v="3"/>
    <x v="2"/>
    <n v="979.95"/>
    <n v="97995"/>
    <n v="19599"/>
  </r>
  <r>
    <n v="1587"/>
    <s v="CA-2016-131338"/>
    <x v="101"/>
    <d v="2016-08-12T00:00:00"/>
    <x v="2"/>
    <s v="NP-18325"/>
    <s v="Naresj Patel"/>
    <s v="Consumer"/>
    <x v="3"/>
    <x v="1"/>
    <n v="143.69999999999999"/>
    <n v="14369.999999999998"/>
    <n v="2874"/>
  </r>
  <r>
    <n v="1588"/>
    <s v="CA-2016-131338"/>
    <x v="101"/>
    <d v="2016-08-12T00:00:00"/>
    <x v="2"/>
    <s v="NP-18325"/>
    <s v="Naresj Patel"/>
    <s v="Consumer"/>
    <x v="3"/>
    <x v="1"/>
    <n v="10.65"/>
    <n v="1065"/>
    <n v="213"/>
  </r>
  <r>
    <n v="1589"/>
    <s v="CA-2016-131338"/>
    <x v="101"/>
    <d v="2016-08-12T00:00:00"/>
    <x v="2"/>
    <s v="NP-18325"/>
    <s v="Naresj Patel"/>
    <s v="Consumer"/>
    <x v="3"/>
    <x v="2"/>
    <n v="247.8"/>
    <n v="24780"/>
    <n v="4956"/>
  </r>
  <r>
    <n v="1590"/>
    <s v="CA-2017-109911"/>
    <x v="536"/>
    <d v="2017-05-16T00:00:00"/>
    <x v="1"/>
    <s v="VG-21805"/>
    <s v="Vivek Grady"/>
    <s v="Corporate"/>
    <x v="0"/>
    <x v="1"/>
    <n v="10.96"/>
    <n v="1096"/>
    <n v="219.20000000000002"/>
  </r>
  <r>
    <n v="1591"/>
    <s v="US-2017-132423"/>
    <x v="173"/>
    <d v="2017-04-19T00:00:00"/>
    <x v="1"/>
    <s v="MY-18295"/>
    <s v="Muhammed Yedwab"/>
    <s v="Corporate"/>
    <x v="2"/>
    <x v="1"/>
    <n v="33.488"/>
    <n v="3348.8"/>
    <n v="669.7600000000001"/>
  </r>
  <r>
    <n v="1592"/>
    <s v="US-2017-132423"/>
    <x v="173"/>
    <d v="2017-04-19T00:00:00"/>
    <x v="1"/>
    <s v="MY-18295"/>
    <s v="Muhammed Yedwab"/>
    <s v="Corporate"/>
    <x v="2"/>
    <x v="1"/>
    <n v="8.0399999999999991"/>
    <n v="803.99999999999989"/>
    <n v="160.79999999999998"/>
  </r>
  <r>
    <n v="1593"/>
    <s v="CA-2016-122826"/>
    <x v="537"/>
    <d v="2016-06-25T00:00:00"/>
    <x v="0"/>
    <s v="RD-19480"/>
    <s v="Rick Duston"/>
    <s v="Consumer"/>
    <x v="1"/>
    <x v="2"/>
    <n v="201.56800000000001"/>
    <n v="20156.800000000003"/>
    <n v="4031.3600000000006"/>
  </r>
  <r>
    <n v="1594"/>
    <s v="CA-2015-117317"/>
    <x v="538"/>
    <d v="2015-10-19T00:00:00"/>
    <x v="3"/>
    <s v="JF-15490"/>
    <s v="Jeremy Farry"/>
    <s v="Consumer"/>
    <x v="1"/>
    <x v="1"/>
    <n v="13.44"/>
    <n v="1344"/>
    <n v="268.8"/>
  </r>
  <r>
    <n v="1595"/>
    <s v="CA-2016-118423"/>
    <x v="539"/>
    <d v="2016-03-27T00:00:00"/>
    <x v="2"/>
    <s v="DP-13390"/>
    <s v="Dennis Pardue"/>
    <s v="Home Office"/>
    <x v="2"/>
    <x v="0"/>
    <n v="359.05799999999999"/>
    <n v="35905.800000000003"/>
    <n v="7181.1600000000008"/>
  </r>
  <r>
    <n v="1596"/>
    <s v="CA-2018-149181"/>
    <x v="540"/>
    <d v="2018-05-12T00:00:00"/>
    <x v="1"/>
    <s v="MD-17350"/>
    <s v="Maribeth Dona"/>
    <s v="Consumer"/>
    <x v="3"/>
    <x v="0"/>
    <n v="47.991999999999997"/>
    <n v="4799.2"/>
    <n v="959.84"/>
  </r>
  <r>
    <n v="1597"/>
    <s v="CA-2018-132234"/>
    <x v="524"/>
    <d v="2018-10-18T00:00:00"/>
    <x v="2"/>
    <s v="MY-17380"/>
    <s v="Maribeth Yedwab"/>
    <s v="Corporate"/>
    <x v="3"/>
    <x v="0"/>
    <n v="547.29999999999995"/>
    <n v="54729.999999999993"/>
    <n v="10946"/>
  </r>
  <r>
    <n v="1598"/>
    <s v="CA-2018-158876"/>
    <x v="123"/>
    <d v="2018-11-21T00:00:00"/>
    <x v="0"/>
    <s v="AB-10150"/>
    <s v="Aimee Bixby"/>
    <s v="Consumer"/>
    <x v="2"/>
    <x v="1"/>
    <n v="16.896000000000001"/>
    <n v="1689.6000000000001"/>
    <n v="337.92000000000007"/>
  </r>
  <r>
    <n v="1599"/>
    <s v="CA-2018-158876"/>
    <x v="123"/>
    <d v="2018-11-21T00:00:00"/>
    <x v="0"/>
    <s v="AB-10150"/>
    <s v="Aimee Bixby"/>
    <s v="Consumer"/>
    <x v="2"/>
    <x v="1"/>
    <n v="6.6719999999999997"/>
    <n v="667.19999999999993"/>
    <n v="133.44"/>
  </r>
  <r>
    <n v="1600"/>
    <s v="CA-2018-158876"/>
    <x v="123"/>
    <d v="2018-11-21T00:00:00"/>
    <x v="0"/>
    <s v="AB-10150"/>
    <s v="Aimee Bixby"/>
    <s v="Consumer"/>
    <x v="2"/>
    <x v="1"/>
    <n v="99.135999999999996"/>
    <n v="9913.6"/>
    <n v="1982.7200000000003"/>
  </r>
  <r>
    <n v="1601"/>
    <s v="CA-2018-158876"/>
    <x v="123"/>
    <d v="2018-11-21T00:00:00"/>
    <x v="0"/>
    <s v="AB-10150"/>
    <s v="Aimee Bixby"/>
    <s v="Consumer"/>
    <x v="2"/>
    <x v="0"/>
    <n v="15.992000000000001"/>
    <n v="1599.2"/>
    <n v="319.84000000000003"/>
  </r>
  <r>
    <n v="1602"/>
    <s v="CA-2017-164672"/>
    <x v="541"/>
    <d v="2017-05-13T00:00:00"/>
    <x v="0"/>
    <s v="GB-14530"/>
    <s v="George Bell"/>
    <s v="Corporate"/>
    <x v="3"/>
    <x v="0"/>
    <n v="211.96"/>
    <n v="21196"/>
    <n v="4239.2"/>
  </r>
  <r>
    <n v="1603"/>
    <s v="US-2017-132857"/>
    <x v="25"/>
    <d v="2017-12-17T00:00:00"/>
    <x v="1"/>
    <s v="CA-12775"/>
    <s v="Cynthia Arntzen"/>
    <s v="Consumer"/>
    <x v="0"/>
    <x v="1"/>
    <n v="6.6719999999999997"/>
    <n v="667.19999999999993"/>
    <n v="133.44"/>
  </r>
  <r>
    <n v="1604"/>
    <s v="CA-2018-116645"/>
    <x v="329"/>
    <d v="2018-12-04T00:00:00"/>
    <x v="1"/>
    <s v="ME-17725"/>
    <s v="Max Engle"/>
    <s v="Consumer"/>
    <x v="3"/>
    <x v="1"/>
    <n v="155.94"/>
    <n v="15594"/>
    <n v="3118.8"/>
  </r>
  <r>
    <n v="1605"/>
    <s v="US-2017-115819"/>
    <x v="475"/>
    <d v="2017-04-24T00:00:00"/>
    <x v="0"/>
    <s v="JO-15280"/>
    <s v="Jas O'Carroll"/>
    <s v="Consumer"/>
    <x v="1"/>
    <x v="2"/>
    <n v="39.96"/>
    <n v="3996"/>
    <n v="799.2"/>
  </r>
  <r>
    <n v="1606"/>
    <s v="US-2017-115819"/>
    <x v="475"/>
    <d v="2017-04-24T00:00:00"/>
    <x v="0"/>
    <s v="JO-15280"/>
    <s v="Jas O'Carroll"/>
    <s v="Consumer"/>
    <x v="1"/>
    <x v="1"/>
    <n v="5.46"/>
    <n v="546"/>
    <n v="109.2"/>
  </r>
  <r>
    <n v="1607"/>
    <s v="US-2017-115819"/>
    <x v="475"/>
    <d v="2017-04-24T00:00:00"/>
    <x v="0"/>
    <s v="JO-15280"/>
    <s v="Jas O'Carroll"/>
    <s v="Consumer"/>
    <x v="1"/>
    <x v="1"/>
    <n v="73.2"/>
    <n v="7320"/>
    <n v="1464"/>
  </r>
  <r>
    <n v="1608"/>
    <s v="US-2017-115819"/>
    <x v="475"/>
    <d v="2017-04-24T00:00:00"/>
    <x v="0"/>
    <s v="JO-15280"/>
    <s v="Jas O'Carroll"/>
    <s v="Consumer"/>
    <x v="1"/>
    <x v="1"/>
    <n v="5.84"/>
    <n v="584"/>
    <n v="116.80000000000001"/>
  </r>
  <r>
    <n v="1609"/>
    <s v="US-2017-115819"/>
    <x v="475"/>
    <d v="2017-04-24T00:00:00"/>
    <x v="0"/>
    <s v="JO-15280"/>
    <s v="Jas O'Carroll"/>
    <s v="Consumer"/>
    <x v="1"/>
    <x v="1"/>
    <n v="22.72"/>
    <n v="2272"/>
    <n v="454.40000000000003"/>
  </r>
  <r>
    <n v="1610"/>
    <s v="US-2017-115819"/>
    <x v="475"/>
    <d v="2017-04-24T00:00:00"/>
    <x v="0"/>
    <s v="JO-15280"/>
    <s v="Jas O'Carroll"/>
    <s v="Consumer"/>
    <x v="1"/>
    <x v="1"/>
    <n v="9.3360000000000003"/>
    <n v="933.6"/>
    <n v="186.72000000000003"/>
  </r>
  <r>
    <n v="1611"/>
    <s v="CA-2015-156349"/>
    <x v="542"/>
    <d v="2015-05-30T00:00:00"/>
    <x v="1"/>
    <s v="ML-17395"/>
    <s v="Marina Lichtenstein"/>
    <s v="Corporate"/>
    <x v="1"/>
    <x v="0"/>
    <n v="290.666"/>
    <n v="29066.6"/>
    <n v="5813.32"/>
  </r>
  <r>
    <n v="1612"/>
    <s v="CA-2015-156349"/>
    <x v="542"/>
    <d v="2015-05-30T00:00:00"/>
    <x v="1"/>
    <s v="ML-17395"/>
    <s v="Marina Lichtenstein"/>
    <s v="Corporate"/>
    <x v="1"/>
    <x v="2"/>
    <n v="201.584"/>
    <n v="20158.400000000001"/>
    <n v="4031.6800000000003"/>
  </r>
  <r>
    <n v="1613"/>
    <s v="CA-2015-156349"/>
    <x v="542"/>
    <d v="2015-05-30T00:00:00"/>
    <x v="1"/>
    <s v="ML-17395"/>
    <s v="Marina Lichtenstein"/>
    <s v="Corporate"/>
    <x v="1"/>
    <x v="2"/>
    <n v="83.983999999999995"/>
    <n v="8398.4"/>
    <n v="1679.68"/>
  </r>
  <r>
    <n v="1614"/>
    <s v="CA-2018-138380"/>
    <x v="202"/>
    <d v="2018-12-25T00:00:00"/>
    <x v="1"/>
    <s v="YS-21880"/>
    <s v="Yana Sorensen"/>
    <s v="Corporate"/>
    <x v="1"/>
    <x v="1"/>
    <n v="1000.02"/>
    <n v="100002"/>
    <n v="20000.400000000001"/>
  </r>
  <r>
    <n v="1615"/>
    <s v="US-2017-113509"/>
    <x v="543"/>
    <d v="2017-03-19T00:00:00"/>
    <x v="1"/>
    <s v="PL-18925"/>
    <s v="Paul Lucas"/>
    <s v="Home Office"/>
    <x v="3"/>
    <x v="2"/>
    <n v="83.975999999999999"/>
    <n v="8397.6"/>
    <n v="1679.5200000000002"/>
  </r>
  <r>
    <n v="1616"/>
    <s v="CA-2016-130022"/>
    <x v="544"/>
    <d v="2016-08-16T00:00:00"/>
    <x v="1"/>
    <s v="JK-16120"/>
    <s v="Julie Kriz"/>
    <s v="Home Office"/>
    <x v="2"/>
    <x v="1"/>
    <n v="3.75"/>
    <n v="375"/>
    <n v="75"/>
  </r>
  <r>
    <n v="1617"/>
    <s v="CA-2016-130022"/>
    <x v="544"/>
    <d v="2016-08-16T00:00:00"/>
    <x v="1"/>
    <s v="JK-16120"/>
    <s v="Julie Kriz"/>
    <s v="Home Office"/>
    <x v="2"/>
    <x v="1"/>
    <n v="41.4"/>
    <n v="4140"/>
    <n v="828"/>
  </r>
  <r>
    <n v="1618"/>
    <s v="CA-2016-130022"/>
    <x v="544"/>
    <d v="2016-08-16T00:00:00"/>
    <x v="1"/>
    <s v="JK-16120"/>
    <s v="Julie Kriz"/>
    <s v="Home Office"/>
    <x v="2"/>
    <x v="1"/>
    <n v="29.79"/>
    <n v="2979"/>
    <n v="595.80000000000007"/>
  </r>
  <r>
    <n v="1619"/>
    <s v="US-2017-118780"/>
    <x v="545"/>
    <d v="2017-09-14T00:00:00"/>
    <x v="0"/>
    <s v="PN-18775"/>
    <s v="Parhena Norris"/>
    <s v="Home Office"/>
    <x v="3"/>
    <x v="1"/>
    <n v="59.48"/>
    <n v="5948"/>
    <n v="1189.6000000000001"/>
  </r>
  <r>
    <n v="1620"/>
    <s v="US-2017-118780"/>
    <x v="545"/>
    <d v="2017-09-14T00:00:00"/>
    <x v="0"/>
    <s v="PN-18775"/>
    <s v="Parhena Norris"/>
    <s v="Home Office"/>
    <x v="3"/>
    <x v="1"/>
    <n v="6.69"/>
    <n v="669"/>
    <n v="133.80000000000001"/>
  </r>
  <r>
    <n v="1621"/>
    <s v="CA-2018-108560"/>
    <x v="141"/>
    <d v="2018-07-15T00:00:00"/>
    <x v="1"/>
    <s v="JC-15385"/>
    <s v="Jenna Caffey"/>
    <s v="Consumer"/>
    <x v="1"/>
    <x v="0"/>
    <n v="198.46"/>
    <n v="19846"/>
    <n v="3969.2000000000003"/>
  </r>
  <r>
    <n v="1622"/>
    <s v="CA-2018-108560"/>
    <x v="141"/>
    <d v="2018-07-15T00:00:00"/>
    <x v="1"/>
    <s v="JC-15385"/>
    <s v="Jenna Caffey"/>
    <s v="Consumer"/>
    <x v="1"/>
    <x v="1"/>
    <n v="786.48"/>
    <n v="78648"/>
    <n v="15729.6"/>
  </r>
  <r>
    <n v="1623"/>
    <s v="CA-2018-108560"/>
    <x v="141"/>
    <d v="2018-07-15T00:00:00"/>
    <x v="1"/>
    <s v="JC-15385"/>
    <s v="Jenna Caffey"/>
    <s v="Consumer"/>
    <x v="1"/>
    <x v="1"/>
    <n v="23.167999999999999"/>
    <n v="2316.7999999999997"/>
    <n v="463.35999999999996"/>
  </r>
  <r>
    <n v="1624"/>
    <s v="CA-2018-108560"/>
    <x v="141"/>
    <d v="2018-07-15T00:00:00"/>
    <x v="1"/>
    <s v="JC-15385"/>
    <s v="Jenna Caffey"/>
    <s v="Consumer"/>
    <x v="1"/>
    <x v="2"/>
    <n v="50"/>
    <n v="5000"/>
    <n v="1000"/>
  </r>
  <r>
    <n v="1625"/>
    <s v="CA-2016-157084"/>
    <x v="546"/>
    <d v="2016-12-24T00:00:00"/>
    <x v="1"/>
    <s v="JG-15160"/>
    <s v="James Galang"/>
    <s v="Consumer"/>
    <x v="1"/>
    <x v="2"/>
    <n v="675.96"/>
    <n v="67596"/>
    <n v="13519.2"/>
  </r>
  <r>
    <n v="1626"/>
    <s v="CA-2016-157084"/>
    <x v="546"/>
    <d v="2016-12-24T00:00:00"/>
    <x v="1"/>
    <s v="JG-15160"/>
    <s v="James Galang"/>
    <s v="Consumer"/>
    <x v="1"/>
    <x v="2"/>
    <n v="1265.8499999999999"/>
    <n v="126584.99999999999"/>
    <n v="25317"/>
  </r>
  <r>
    <n v="1627"/>
    <s v="CA-2016-164539"/>
    <x v="547"/>
    <d v="2016-11-22T00:00:00"/>
    <x v="1"/>
    <s v="PO-19180"/>
    <s v="Philisse Overcash"/>
    <s v="Home Office"/>
    <x v="3"/>
    <x v="1"/>
    <n v="523.25"/>
    <n v="52325"/>
    <n v="10465"/>
  </r>
  <r>
    <n v="1628"/>
    <s v="CA-2016-143119"/>
    <x v="496"/>
    <d v="2016-09-30T00:00:00"/>
    <x v="1"/>
    <s v="MC-17275"/>
    <s v="Marc Crier"/>
    <s v="Consumer"/>
    <x v="0"/>
    <x v="0"/>
    <n v="517.5"/>
    <n v="51750"/>
    <n v="10350"/>
  </r>
  <r>
    <n v="1629"/>
    <s v="CA-2018-101049"/>
    <x v="548"/>
    <d v="2018-06-25T00:00:00"/>
    <x v="0"/>
    <s v="AS-10240"/>
    <s v="Alan Shonely"/>
    <s v="Consumer"/>
    <x v="3"/>
    <x v="0"/>
    <n v="17.920000000000002"/>
    <n v="1792.0000000000002"/>
    <n v="358.40000000000009"/>
  </r>
  <r>
    <n v="1630"/>
    <s v="CA-2018-101049"/>
    <x v="548"/>
    <d v="2018-06-25T00:00:00"/>
    <x v="0"/>
    <s v="AS-10240"/>
    <s v="Alan Shonely"/>
    <s v="Consumer"/>
    <x v="3"/>
    <x v="1"/>
    <n v="41.256"/>
    <n v="4125.6000000000004"/>
    <n v="825.12000000000012"/>
  </r>
  <r>
    <n v="1631"/>
    <s v="CA-2017-106530"/>
    <x v="541"/>
    <d v="2017-05-08T00:00:00"/>
    <x v="3"/>
    <s v="CL-12565"/>
    <s v="Clay Ludtke"/>
    <s v="Consumer"/>
    <x v="3"/>
    <x v="1"/>
    <n v="1006.056"/>
    <n v="100605.6"/>
    <n v="20121.120000000003"/>
  </r>
  <r>
    <n v="1632"/>
    <s v="CA-2017-106530"/>
    <x v="541"/>
    <d v="2017-05-08T00:00:00"/>
    <x v="3"/>
    <s v="CL-12565"/>
    <s v="Clay Ludtke"/>
    <s v="Consumer"/>
    <x v="3"/>
    <x v="1"/>
    <n v="10.688000000000001"/>
    <n v="1068.8"/>
    <n v="213.76"/>
  </r>
  <r>
    <n v="1633"/>
    <s v="CA-2017-106530"/>
    <x v="541"/>
    <d v="2017-05-08T00:00:00"/>
    <x v="3"/>
    <s v="CL-12565"/>
    <s v="Clay Ludtke"/>
    <s v="Consumer"/>
    <x v="3"/>
    <x v="1"/>
    <n v="10.368"/>
    <n v="1036.8"/>
    <n v="207.36"/>
  </r>
  <r>
    <n v="1634"/>
    <s v="CA-2017-106530"/>
    <x v="541"/>
    <d v="2017-05-08T00:00:00"/>
    <x v="3"/>
    <s v="CL-12565"/>
    <s v="Clay Ludtke"/>
    <s v="Consumer"/>
    <x v="3"/>
    <x v="1"/>
    <n v="25.12"/>
    <n v="2512"/>
    <n v="502.40000000000003"/>
  </r>
  <r>
    <n v="1635"/>
    <s v="CA-2017-106530"/>
    <x v="541"/>
    <d v="2017-05-08T00:00:00"/>
    <x v="3"/>
    <s v="CL-12565"/>
    <s v="Clay Ludtke"/>
    <s v="Consumer"/>
    <x v="3"/>
    <x v="2"/>
    <n v="58.112000000000002"/>
    <n v="5811.2"/>
    <n v="1162.24"/>
  </r>
  <r>
    <n v="1636"/>
    <s v="CA-2015-168984"/>
    <x v="35"/>
    <d v="2015-12-02T00:00:00"/>
    <x v="1"/>
    <s v="NW-18400"/>
    <s v="Natalie Webber"/>
    <s v="Consumer"/>
    <x v="1"/>
    <x v="1"/>
    <n v="15.552"/>
    <n v="1555.2"/>
    <n v="311.04000000000002"/>
  </r>
  <r>
    <n v="1637"/>
    <s v="CA-2015-168984"/>
    <x v="35"/>
    <d v="2015-12-02T00:00:00"/>
    <x v="1"/>
    <s v="NW-18400"/>
    <s v="Natalie Webber"/>
    <s v="Consumer"/>
    <x v="1"/>
    <x v="1"/>
    <n v="669.08"/>
    <n v="66908"/>
    <n v="13381.6"/>
  </r>
  <r>
    <n v="1638"/>
    <s v="CA-2015-168984"/>
    <x v="35"/>
    <d v="2015-12-02T00:00:00"/>
    <x v="1"/>
    <s v="NW-18400"/>
    <s v="Natalie Webber"/>
    <s v="Consumer"/>
    <x v="1"/>
    <x v="2"/>
    <n v="438.33600000000001"/>
    <n v="43833.599999999999"/>
    <n v="8766.7199999999993"/>
  </r>
  <r>
    <n v="1639"/>
    <s v="CA-2017-157266"/>
    <x v="439"/>
    <d v="2017-06-01T00:00:00"/>
    <x v="1"/>
    <s v="TB-21280"/>
    <s v="Toby Braunhardt"/>
    <s v="Consumer"/>
    <x v="3"/>
    <x v="1"/>
    <n v="19.440000000000001"/>
    <n v="1944.0000000000002"/>
    <n v="388.80000000000007"/>
  </r>
  <r>
    <n v="1640"/>
    <s v="CA-2017-157266"/>
    <x v="439"/>
    <d v="2017-06-01T00:00:00"/>
    <x v="1"/>
    <s v="TB-21280"/>
    <s v="Toby Braunhardt"/>
    <s v="Consumer"/>
    <x v="3"/>
    <x v="1"/>
    <n v="9.64"/>
    <n v="964"/>
    <n v="192.8"/>
  </r>
  <r>
    <n v="1641"/>
    <s v="CA-2017-157266"/>
    <x v="439"/>
    <d v="2017-06-01T00:00:00"/>
    <x v="1"/>
    <s v="TB-21280"/>
    <s v="Toby Braunhardt"/>
    <s v="Consumer"/>
    <x v="3"/>
    <x v="1"/>
    <n v="12.7"/>
    <n v="1270"/>
    <n v="254"/>
  </r>
  <r>
    <n v="1642"/>
    <s v="CA-2017-157266"/>
    <x v="439"/>
    <d v="2017-06-01T00:00:00"/>
    <x v="1"/>
    <s v="TB-21280"/>
    <s v="Toby Braunhardt"/>
    <s v="Consumer"/>
    <x v="3"/>
    <x v="0"/>
    <n v="41.37"/>
    <n v="4137"/>
    <n v="827.40000000000009"/>
  </r>
  <r>
    <n v="1643"/>
    <s v="US-2015-134712"/>
    <x v="503"/>
    <d v="2015-12-04T00:00:00"/>
    <x v="1"/>
    <s v="BS-11380"/>
    <s v="Bill Stewart"/>
    <s v="Corporate"/>
    <x v="2"/>
    <x v="1"/>
    <n v="12.624000000000001"/>
    <n v="1262.4000000000001"/>
    <n v="252.48000000000002"/>
  </r>
  <r>
    <n v="1644"/>
    <s v="CA-2016-111829"/>
    <x v="531"/>
    <d v="2016-03-20T00:00:00"/>
    <x v="2"/>
    <s v="FH-14365"/>
    <s v="Fred Hopkins"/>
    <s v="Corporate"/>
    <x v="1"/>
    <x v="1"/>
    <n v="1247.6400000000001"/>
    <n v="124764.00000000001"/>
    <n v="24952.800000000003"/>
  </r>
  <r>
    <n v="1645"/>
    <s v="CA-2016-111829"/>
    <x v="531"/>
    <d v="2016-03-20T00:00:00"/>
    <x v="2"/>
    <s v="FH-14365"/>
    <s v="Fred Hopkins"/>
    <s v="Corporate"/>
    <x v="1"/>
    <x v="2"/>
    <n v="3149.93"/>
    <n v="314993"/>
    <n v="62998.600000000006"/>
  </r>
  <r>
    <n v="1646"/>
    <s v="CA-2016-111829"/>
    <x v="531"/>
    <d v="2016-03-20T00:00:00"/>
    <x v="2"/>
    <s v="FH-14365"/>
    <s v="Fred Hopkins"/>
    <s v="Corporate"/>
    <x v="1"/>
    <x v="1"/>
    <n v="209.7"/>
    <n v="20970"/>
    <n v="4194"/>
  </r>
  <r>
    <n v="1647"/>
    <s v="CA-2016-105221"/>
    <x v="549"/>
    <d v="2016-11-03T00:00:00"/>
    <x v="2"/>
    <s v="VM-21685"/>
    <s v="Valerie Mitchum"/>
    <s v="Home Office"/>
    <x v="3"/>
    <x v="2"/>
    <n v="35.36"/>
    <n v="3536"/>
    <n v="707.2"/>
  </r>
  <r>
    <n v="1648"/>
    <s v="CA-2016-105221"/>
    <x v="549"/>
    <d v="2016-11-03T00:00:00"/>
    <x v="2"/>
    <s v="VM-21685"/>
    <s v="Valerie Mitchum"/>
    <s v="Home Office"/>
    <x v="3"/>
    <x v="1"/>
    <n v="3.1680000000000001"/>
    <n v="316.8"/>
    <n v="63.360000000000007"/>
  </r>
  <r>
    <n v="1649"/>
    <s v="CA-2016-120341"/>
    <x v="120"/>
    <d v="2016-09-29T00:00:00"/>
    <x v="0"/>
    <s v="SF-20200"/>
    <s v="Sarah Foster"/>
    <s v="Consumer"/>
    <x v="3"/>
    <x v="1"/>
    <n v="121.104"/>
    <n v="12110.4"/>
    <n v="2422.08"/>
  </r>
  <r>
    <n v="1650"/>
    <s v="CA-2016-120341"/>
    <x v="120"/>
    <d v="2016-09-29T00:00:00"/>
    <x v="0"/>
    <s v="SF-20200"/>
    <s v="Sarah Foster"/>
    <s v="Consumer"/>
    <x v="3"/>
    <x v="2"/>
    <n v="45.893999999999998"/>
    <n v="4589.3999999999996"/>
    <n v="917.88"/>
  </r>
  <r>
    <n v="1651"/>
    <s v="CA-2015-135699"/>
    <x v="550"/>
    <d v="2015-08-29T00:00:00"/>
    <x v="3"/>
    <s v="HH-15010"/>
    <s v="Hilary Holden"/>
    <s v="Corporate"/>
    <x v="1"/>
    <x v="1"/>
    <n v="109.92"/>
    <n v="10992"/>
    <n v="2198.4"/>
  </r>
  <r>
    <n v="1652"/>
    <s v="CA-2015-135699"/>
    <x v="550"/>
    <d v="2015-08-29T00:00:00"/>
    <x v="3"/>
    <s v="HH-15010"/>
    <s v="Hilary Holden"/>
    <s v="Corporate"/>
    <x v="1"/>
    <x v="1"/>
    <n v="13.36"/>
    <n v="1336"/>
    <n v="267.2"/>
  </r>
  <r>
    <n v="1653"/>
    <s v="US-2018-132444"/>
    <x v="551"/>
    <d v="2018-11-21T00:00:00"/>
    <x v="2"/>
    <s v="CD-12280"/>
    <s v="Christina DeMoss"/>
    <s v="Consumer"/>
    <x v="1"/>
    <x v="1"/>
    <n v="169.68"/>
    <n v="16968"/>
    <n v="3393.6000000000004"/>
  </r>
  <r>
    <n v="1654"/>
    <s v="US-2018-132444"/>
    <x v="551"/>
    <d v="2018-11-21T00:00:00"/>
    <x v="2"/>
    <s v="CD-12280"/>
    <s v="Christina DeMoss"/>
    <s v="Consumer"/>
    <x v="1"/>
    <x v="2"/>
    <n v="132.52000000000001"/>
    <n v="13252.000000000002"/>
    <n v="2650.4000000000005"/>
  </r>
  <r>
    <n v="1655"/>
    <s v="US-2018-132444"/>
    <x v="551"/>
    <d v="2018-11-21T00:00:00"/>
    <x v="2"/>
    <s v="CD-12280"/>
    <s v="Christina DeMoss"/>
    <s v="Consumer"/>
    <x v="1"/>
    <x v="1"/>
    <n v="2.96"/>
    <n v="296"/>
    <n v="59.2"/>
  </r>
  <r>
    <n v="1656"/>
    <s v="US-2018-132444"/>
    <x v="551"/>
    <d v="2018-11-21T00:00:00"/>
    <x v="2"/>
    <s v="CD-12280"/>
    <s v="Christina DeMoss"/>
    <s v="Consumer"/>
    <x v="1"/>
    <x v="1"/>
    <n v="8.4480000000000004"/>
    <n v="844.80000000000007"/>
    <n v="168.96000000000004"/>
  </r>
  <r>
    <n v="1657"/>
    <s v="US-2018-132444"/>
    <x v="551"/>
    <d v="2018-11-21T00:00:00"/>
    <x v="2"/>
    <s v="CD-12280"/>
    <s v="Christina DeMoss"/>
    <s v="Consumer"/>
    <x v="1"/>
    <x v="1"/>
    <n v="95.94"/>
    <n v="9594"/>
    <n v="1918.8000000000002"/>
  </r>
  <r>
    <n v="1658"/>
    <s v="CA-2015-127159"/>
    <x v="552"/>
    <d v="2015-05-15T00:00:00"/>
    <x v="2"/>
    <s v="HL-15040"/>
    <s v="Hunter Lopez"/>
    <s v="Consumer"/>
    <x v="2"/>
    <x v="0"/>
    <n v="34.79"/>
    <n v="3479"/>
    <n v="695.80000000000007"/>
  </r>
  <r>
    <n v="1659"/>
    <s v="CA-2018-161809"/>
    <x v="176"/>
    <d v="2018-01-26T00:00:00"/>
    <x v="1"/>
    <s v="TH-21100"/>
    <s v="Thea Hendricks"/>
    <s v="Consumer"/>
    <x v="1"/>
    <x v="2"/>
    <n v="160.77600000000001"/>
    <n v="16077.6"/>
    <n v="3215.5200000000004"/>
  </r>
  <r>
    <n v="1660"/>
    <s v="CA-2018-127285"/>
    <x v="505"/>
    <d v="2018-11-06T00:00:00"/>
    <x v="1"/>
    <s v="MM-18055"/>
    <s v="Michelle Moray"/>
    <s v="Consumer"/>
    <x v="1"/>
    <x v="1"/>
    <n v="88.751999999999995"/>
    <n v="8875.1999999999989"/>
    <n v="1775.04"/>
  </r>
  <r>
    <n v="1661"/>
    <s v="CA-2018-127285"/>
    <x v="505"/>
    <d v="2018-11-06T00:00:00"/>
    <x v="1"/>
    <s v="MM-18055"/>
    <s v="Michelle Moray"/>
    <s v="Consumer"/>
    <x v="1"/>
    <x v="1"/>
    <n v="13.904"/>
    <n v="1390.4"/>
    <n v="278.08000000000004"/>
  </r>
  <r>
    <n v="1662"/>
    <s v="CA-2018-144526"/>
    <x v="504"/>
    <d v="2018-05-06T00:00:00"/>
    <x v="1"/>
    <s v="QJ-19255"/>
    <s v="Quincy Jones"/>
    <s v="Corporate"/>
    <x v="3"/>
    <x v="2"/>
    <n v="677.58"/>
    <n v="67758"/>
    <n v="13551.6"/>
  </r>
  <r>
    <n v="1663"/>
    <s v="CA-2018-144526"/>
    <x v="504"/>
    <d v="2018-05-06T00:00:00"/>
    <x v="1"/>
    <s v="QJ-19255"/>
    <s v="Quincy Jones"/>
    <s v="Corporate"/>
    <x v="3"/>
    <x v="1"/>
    <n v="13.896000000000001"/>
    <n v="1389.6000000000001"/>
    <n v="277.92"/>
  </r>
  <r>
    <n v="1664"/>
    <s v="CA-2017-128531"/>
    <x v="390"/>
    <d v="2017-11-26T00:00:00"/>
    <x v="0"/>
    <s v="NS-18505"/>
    <s v="Neola Schneider"/>
    <s v="Consumer"/>
    <x v="2"/>
    <x v="1"/>
    <n v="41.92"/>
    <n v="4192"/>
    <n v="838.40000000000009"/>
  </r>
  <r>
    <n v="1665"/>
    <s v="CA-2017-128531"/>
    <x v="390"/>
    <d v="2017-11-26T00:00:00"/>
    <x v="0"/>
    <s v="NS-18505"/>
    <s v="Neola Schneider"/>
    <s v="Consumer"/>
    <x v="2"/>
    <x v="2"/>
    <n v="297.57600000000002"/>
    <n v="29757.600000000002"/>
    <n v="5951.52"/>
  </r>
  <r>
    <n v="1666"/>
    <s v="CA-2017-128531"/>
    <x v="390"/>
    <d v="2017-11-26T00:00:00"/>
    <x v="0"/>
    <s v="NS-18505"/>
    <s v="Neola Schneider"/>
    <s v="Consumer"/>
    <x v="2"/>
    <x v="1"/>
    <n v="4.3440000000000003"/>
    <n v="434.40000000000003"/>
    <n v="86.88000000000001"/>
  </r>
  <r>
    <n v="1667"/>
    <s v="CA-2017-128531"/>
    <x v="390"/>
    <d v="2017-11-26T00:00:00"/>
    <x v="0"/>
    <s v="NS-18505"/>
    <s v="Neola Schneider"/>
    <s v="Consumer"/>
    <x v="2"/>
    <x v="2"/>
    <n v="94.992000000000004"/>
    <n v="9499.2000000000007"/>
    <n v="1899.8400000000001"/>
  </r>
  <r>
    <n v="1668"/>
    <s v="CA-2017-128531"/>
    <x v="390"/>
    <d v="2017-11-26T00:00:00"/>
    <x v="0"/>
    <s v="NS-18505"/>
    <s v="Neola Schneider"/>
    <s v="Consumer"/>
    <x v="2"/>
    <x v="1"/>
    <n v="74.352000000000004"/>
    <n v="7435.2000000000007"/>
    <n v="1487.0400000000002"/>
  </r>
  <r>
    <n v="1669"/>
    <s v="CA-2017-128531"/>
    <x v="390"/>
    <d v="2017-11-26T00:00:00"/>
    <x v="0"/>
    <s v="NS-18505"/>
    <s v="Neola Schneider"/>
    <s v="Consumer"/>
    <x v="2"/>
    <x v="1"/>
    <n v="14.04"/>
    <n v="1404"/>
    <n v="280.8"/>
  </r>
  <r>
    <n v="1670"/>
    <s v="US-2016-157154"/>
    <x v="553"/>
    <d v="2016-01-15T00:00:00"/>
    <x v="1"/>
    <s v="MM-17920"/>
    <s v="Michael Moore"/>
    <s v="Consumer"/>
    <x v="3"/>
    <x v="0"/>
    <n v="1018.104"/>
    <n v="101810.40000000001"/>
    <n v="20362.080000000002"/>
  </r>
  <r>
    <n v="1671"/>
    <s v="CA-2018-159457"/>
    <x v="15"/>
    <d v="2018-10-26T00:00:00"/>
    <x v="1"/>
    <s v="RD-19480"/>
    <s v="Rick Duston"/>
    <s v="Consumer"/>
    <x v="2"/>
    <x v="2"/>
    <n v="16.68"/>
    <n v="1668"/>
    <n v="333.6"/>
  </r>
  <r>
    <n v="1672"/>
    <s v="CA-2017-107615"/>
    <x v="554"/>
    <d v="2017-03-25T00:00:00"/>
    <x v="2"/>
    <s v="RB-19645"/>
    <s v="Robert Barroso"/>
    <s v="Corporate"/>
    <x v="1"/>
    <x v="2"/>
    <n v="58.58"/>
    <n v="5858"/>
    <n v="1171.6000000000001"/>
  </r>
  <r>
    <n v="1673"/>
    <s v="CA-2018-111647"/>
    <x v="445"/>
    <d v="2018-07-07T00:00:00"/>
    <x v="1"/>
    <s v="RD-19585"/>
    <s v="Rob Dowd"/>
    <s v="Consumer"/>
    <x v="2"/>
    <x v="2"/>
    <n v="167.96799999999999"/>
    <n v="16796.8"/>
    <n v="3359.36"/>
  </r>
  <r>
    <n v="1674"/>
    <s v="CA-2016-150560"/>
    <x v="555"/>
    <d v="2016-12-12T00:00:00"/>
    <x v="2"/>
    <s v="SW-20455"/>
    <s v="Shaun Weien"/>
    <s v="Consumer"/>
    <x v="0"/>
    <x v="1"/>
    <n v="196.62"/>
    <n v="19662"/>
    <n v="3932.4"/>
  </r>
  <r>
    <n v="1675"/>
    <s v="CA-2016-143077"/>
    <x v="14"/>
    <d v="2016-09-21T00:00:00"/>
    <x v="1"/>
    <s v="SF-20965"/>
    <s v="Sylvia Foulston"/>
    <s v="Corporate"/>
    <x v="2"/>
    <x v="0"/>
    <n v="21.936"/>
    <n v="2193.6"/>
    <n v="438.72"/>
  </r>
  <r>
    <n v="1676"/>
    <s v="CA-2016-143077"/>
    <x v="14"/>
    <d v="2016-09-21T00:00:00"/>
    <x v="1"/>
    <s v="SF-20965"/>
    <s v="Sylvia Foulston"/>
    <s v="Corporate"/>
    <x v="2"/>
    <x v="1"/>
    <n v="6.5880000000000001"/>
    <n v="658.8"/>
    <n v="131.76"/>
  </r>
  <r>
    <n v="1677"/>
    <s v="CA-2017-122728"/>
    <x v="556"/>
    <d v="2017-05-24T00:00:00"/>
    <x v="1"/>
    <s v="EB-13930"/>
    <s v="Eric Barreto"/>
    <s v="Consumer"/>
    <x v="1"/>
    <x v="1"/>
    <n v="104.28"/>
    <n v="10428"/>
    <n v="2085.6"/>
  </r>
  <r>
    <n v="1678"/>
    <s v="CA-2017-122728"/>
    <x v="556"/>
    <d v="2017-05-24T00:00:00"/>
    <x v="1"/>
    <s v="EB-13930"/>
    <s v="Eric Barreto"/>
    <s v="Consumer"/>
    <x v="1"/>
    <x v="1"/>
    <n v="17.940000000000001"/>
    <n v="1794.0000000000002"/>
    <n v="358.80000000000007"/>
  </r>
  <r>
    <n v="1679"/>
    <s v="CA-2015-122882"/>
    <x v="557"/>
    <d v="2015-09-13T00:00:00"/>
    <x v="1"/>
    <s v="SB-20290"/>
    <s v="Sean Braxton"/>
    <s v="Corporate"/>
    <x v="3"/>
    <x v="1"/>
    <n v="64.784000000000006"/>
    <n v="6478.4000000000005"/>
    <n v="1295.6800000000003"/>
  </r>
  <r>
    <n v="1680"/>
    <s v="CA-2015-122882"/>
    <x v="557"/>
    <d v="2015-09-13T00:00:00"/>
    <x v="1"/>
    <s v="SB-20290"/>
    <s v="Sean Braxton"/>
    <s v="Corporate"/>
    <x v="3"/>
    <x v="2"/>
    <n v="32.381999999999998"/>
    <n v="3238.2"/>
    <n v="647.64"/>
  </r>
  <r>
    <n v="1681"/>
    <s v="CA-2015-122882"/>
    <x v="557"/>
    <d v="2015-09-13T00:00:00"/>
    <x v="1"/>
    <s v="SB-20290"/>
    <s v="Sean Braxton"/>
    <s v="Corporate"/>
    <x v="3"/>
    <x v="0"/>
    <n v="42.368000000000002"/>
    <n v="4236.8"/>
    <n v="847.36000000000013"/>
  </r>
  <r>
    <n v="1682"/>
    <s v="CA-2015-122882"/>
    <x v="557"/>
    <d v="2015-09-13T00:00:00"/>
    <x v="1"/>
    <s v="SB-20290"/>
    <s v="Sean Braxton"/>
    <s v="Corporate"/>
    <x v="3"/>
    <x v="2"/>
    <n v="399.54"/>
    <n v="39954"/>
    <n v="7990.8"/>
  </r>
  <r>
    <n v="1683"/>
    <s v="US-2017-101497"/>
    <x v="321"/>
    <d v="2017-10-01T00:00:00"/>
    <x v="0"/>
    <s v="PS-18760"/>
    <s v="Pamela Stobb"/>
    <s v="Consumer"/>
    <x v="1"/>
    <x v="1"/>
    <n v="18.97"/>
    <n v="1897"/>
    <n v="379.40000000000003"/>
  </r>
  <r>
    <n v="1684"/>
    <s v="CA-2017-147585"/>
    <x v="77"/>
    <d v="2017-11-12T00:00:00"/>
    <x v="1"/>
    <s v="CB-12535"/>
    <s v="Claudia Bergmann"/>
    <s v="Corporate"/>
    <x v="1"/>
    <x v="0"/>
    <n v="14.82"/>
    <n v="1482"/>
    <n v="296.40000000000003"/>
  </r>
  <r>
    <n v="1685"/>
    <s v="CA-2018-149489"/>
    <x v="558"/>
    <d v="2018-04-27T00:00:00"/>
    <x v="2"/>
    <s v="DK-12835"/>
    <s v="Damala Kotsonis"/>
    <s v="Corporate"/>
    <x v="3"/>
    <x v="1"/>
    <n v="99.28"/>
    <n v="9928"/>
    <n v="1985.6000000000001"/>
  </r>
  <r>
    <n v="1686"/>
    <s v="CA-2018-149489"/>
    <x v="558"/>
    <d v="2018-04-27T00:00:00"/>
    <x v="2"/>
    <s v="DK-12835"/>
    <s v="Damala Kotsonis"/>
    <s v="Corporate"/>
    <x v="3"/>
    <x v="1"/>
    <n v="1.1879999999999999"/>
    <n v="118.8"/>
    <n v="23.76"/>
  </r>
  <r>
    <n v="1687"/>
    <s v="CA-2018-149489"/>
    <x v="558"/>
    <d v="2018-04-27T00:00:00"/>
    <x v="2"/>
    <s v="DK-12835"/>
    <s v="Damala Kotsonis"/>
    <s v="Corporate"/>
    <x v="3"/>
    <x v="1"/>
    <n v="7.5179999999999998"/>
    <n v="751.8"/>
    <n v="150.35999999999999"/>
  </r>
  <r>
    <n v="1688"/>
    <s v="CA-2018-143798"/>
    <x v="389"/>
    <d v="2018-12-12T00:00:00"/>
    <x v="2"/>
    <s v="AW-10840"/>
    <s v="Anthony Witt"/>
    <s v="Consumer"/>
    <x v="3"/>
    <x v="1"/>
    <n v="10.368"/>
    <n v="1036.8"/>
    <n v="207.36"/>
  </r>
  <r>
    <n v="1689"/>
    <s v="CA-2018-143798"/>
    <x v="389"/>
    <d v="2018-12-12T00:00:00"/>
    <x v="2"/>
    <s v="AW-10840"/>
    <s v="Anthony Witt"/>
    <s v="Consumer"/>
    <x v="3"/>
    <x v="0"/>
    <n v="310.88"/>
    <n v="31088"/>
    <n v="6217.6"/>
  </r>
  <r>
    <n v="1690"/>
    <s v="CA-2015-142839"/>
    <x v="559"/>
    <d v="2015-08-20T00:00:00"/>
    <x v="1"/>
    <s v="TS-21610"/>
    <s v="Troy Staebel"/>
    <s v="Consumer"/>
    <x v="3"/>
    <x v="0"/>
    <n v="853.09199999999998"/>
    <n v="85309.2"/>
    <n v="17061.84"/>
  </r>
  <r>
    <n v="1691"/>
    <s v="CA-2018-129833"/>
    <x v="34"/>
    <d v="2018-12-15T00:00:00"/>
    <x v="1"/>
    <s v="HF-14995"/>
    <s v="Herbert Flentye"/>
    <s v="Consumer"/>
    <x v="2"/>
    <x v="1"/>
    <n v="33.450000000000003"/>
    <n v="3345.0000000000005"/>
    <n v="669.00000000000011"/>
  </r>
  <r>
    <n v="1692"/>
    <s v="CA-2018-129833"/>
    <x v="34"/>
    <d v="2018-12-15T00:00:00"/>
    <x v="1"/>
    <s v="HF-14995"/>
    <s v="Herbert Flentye"/>
    <s v="Consumer"/>
    <x v="2"/>
    <x v="1"/>
    <n v="10.4"/>
    <n v="1040"/>
    <n v="208"/>
  </r>
  <r>
    <n v="1693"/>
    <s v="US-2017-154361"/>
    <x v="560"/>
    <d v="2017-03-19T00:00:00"/>
    <x v="1"/>
    <s v="HZ-14950"/>
    <s v="Henia Zydlo"/>
    <s v="Consumer"/>
    <x v="3"/>
    <x v="0"/>
    <n v="21.88"/>
    <n v="2188"/>
    <n v="437.6"/>
  </r>
  <r>
    <n v="1694"/>
    <s v="US-2017-158708"/>
    <x v="190"/>
    <d v="2017-06-29T00:00:00"/>
    <x v="0"/>
    <s v="AB-10255"/>
    <s v="Alejandro Ballentine"/>
    <s v="Home Office"/>
    <x v="2"/>
    <x v="2"/>
    <n v="13.616"/>
    <n v="1361.6"/>
    <n v="272.32"/>
  </r>
  <r>
    <n v="1695"/>
    <s v="CA-2016-156335"/>
    <x v="12"/>
    <d v="2016-09-28T00:00:00"/>
    <x v="0"/>
    <s v="PO-19195"/>
    <s v="Phillina Ober"/>
    <s v="Home Office"/>
    <x v="3"/>
    <x v="2"/>
    <n v="63.96"/>
    <n v="6396"/>
    <n v="1279.2"/>
  </r>
  <r>
    <n v="1696"/>
    <s v="CA-2016-156335"/>
    <x v="12"/>
    <d v="2016-09-28T00:00:00"/>
    <x v="0"/>
    <s v="PO-19195"/>
    <s v="Phillina Ober"/>
    <s v="Home Office"/>
    <x v="3"/>
    <x v="1"/>
    <n v="14.46"/>
    <n v="1446"/>
    <n v="289.2"/>
  </r>
  <r>
    <n v="1697"/>
    <s v="CA-2016-156335"/>
    <x v="12"/>
    <d v="2016-09-28T00:00:00"/>
    <x v="0"/>
    <s v="PO-19195"/>
    <s v="Phillina Ober"/>
    <s v="Home Office"/>
    <x v="3"/>
    <x v="2"/>
    <n v="104.98"/>
    <n v="10498"/>
    <n v="2099.6"/>
  </r>
  <r>
    <n v="1698"/>
    <s v="CA-2016-148376"/>
    <x v="17"/>
    <d v="2016-12-31T00:00:00"/>
    <x v="1"/>
    <s v="AG-10900"/>
    <s v="Arthur Gainer"/>
    <s v="Consumer"/>
    <x v="1"/>
    <x v="1"/>
    <n v="106.96"/>
    <n v="10696"/>
    <n v="2139.2000000000003"/>
  </r>
  <r>
    <n v="1699"/>
    <s v="CA-2016-148376"/>
    <x v="17"/>
    <d v="2016-12-31T00:00:00"/>
    <x v="1"/>
    <s v="AG-10900"/>
    <s v="Arthur Gainer"/>
    <s v="Consumer"/>
    <x v="1"/>
    <x v="1"/>
    <n v="21.56"/>
    <n v="2156"/>
    <n v="431.20000000000005"/>
  </r>
  <r>
    <n v="1700"/>
    <s v="CA-2015-135657"/>
    <x v="561"/>
    <d v="2015-06-07T00:00:00"/>
    <x v="0"/>
    <s v="SC-20725"/>
    <s v="Steven Cartwright"/>
    <s v="Consumer"/>
    <x v="1"/>
    <x v="0"/>
    <n v="515.88"/>
    <n v="51588"/>
    <n v="10317.6"/>
  </r>
  <r>
    <n v="1701"/>
    <s v="CA-2016-114069"/>
    <x v="562"/>
    <d v="2016-07-15T00:00:00"/>
    <x v="0"/>
    <s v="ND-18370"/>
    <s v="Natalie DeCherney"/>
    <s v="Consumer"/>
    <x v="3"/>
    <x v="1"/>
    <n v="11.808"/>
    <n v="1180.8"/>
    <n v="236.16"/>
  </r>
  <r>
    <n v="1702"/>
    <s v="CA-2016-114069"/>
    <x v="562"/>
    <d v="2016-07-15T00:00:00"/>
    <x v="0"/>
    <s v="ND-18370"/>
    <s v="Natalie DeCherney"/>
    <s v="Consumer"/>
    <x v="3"/>
    <x v="0"/>
    <n v="1931.04"/>
    <n v="193104"/>
    <n v="38620.800000000003"/>
  </r>
  <r>
    <n v="1703"/>
    <s v="CA-2016-114069"/>
    <x v="562"/>
    <d v="2016-07-15T00:00:00"/>
    <x v="0"/>
    <s v="ND-18370"/>
    <s v="Natalie DeCherney"/>
    <s v="Consumer"/>
    <x v="3"/>
    <x v="1"/>
    <n v="9.9600000000000009"/>
    <n v="996.00000000000011"/>
    <n v="199.20000000000005"/>
  </r>
  <r>
    <n v="1704"/>
    <s v="CA-2015-139857"/>
    <x v="563"/>
    <d v="2015-02-06T00:00:00"/>
    <x v="1"/>
    <s v="CD-12790"/>
    <s v="Cynthia Delaney"/>
    <s v="Home Office"/>
    <x v="1"/>
    <x v="1"/>
    <n v="12.35"/>
    <n v="1235"/>
    <n v="247"/>
  </r>
  <r>
    <n v="1705"/>
    <s v="CA-2017-106306"/>
    <x v="387"/>
    <d v="2017-03-08T00:00:00"/>
    <x v="3"/>
    <s v="PG-18820"/>
    <s v="Patrick Gardner"/>
    <s v="Consumer"/>
    <x v="1"/>
    <x v="1"/>
    <n v="9.702"/>
    <n v="970.2"/>
    <n v="194.04000000000002"/>
  </r>
  <r>
    <n v="1706"/>
    <s v="CA-2016-100545"/>
    <x v="6"/>
    <d v="2016-11-26T00:00:00"/>
    <x v="1"/>
    <s v="IM-15070"/>
    <s v="Irene Maddox"/>
    <s v="Consumer"/>
    <x v="3"/>
    <x v="1"/>
    <n v="11.61"/>
    <n v="1161"/>
    <n v="232.20000000000002"/>
  </r>
  <r>
    <n v="1707"/>
    <s v="CA-2018-123491"/>
    <x v="505"/>
    <d v="2018-11-05T00:00:00"/>
    <x v="1"/>
    <s v="JK-15205"/>
    <s v="Jamie Kunitz"/>
    <s v="Consumer"/>
    <x v="1"/>
    <x v="1"/>
    <n v="43.86"/>
    <n v="4386"/>
    <n v="877.2"/>
  </r>
  <r>
    <n v="1708"/>
    <s v="CA-2018-123491"/>
    <x v="505"/>
    <d v="2018-11-05T00:00:00"/>
    <x v="1"/>
    <s v="JK-15205"/>
    <s v="Jamie Kunitz"/>
    <s v="Consumer"/>
    <x v="1"/>
    <x v="2"/>
    <n v="148.47999999999999"/>
    <n v="14847.999999999998"/>
    <n v="2969.6"/>
  </r>
  <r>
    <n v="1709"/>
    <s v="CA-2018-123491"/>
    <x v="505"/>
    <d v="2018-11-05T00:00:00"/>
    <x v="1"/>
    <s v="JK-15205"/>
    <s v="Jamie Kunitz"/>
    <s v="Consumer"/>
    <x v="1"/>
    <x v="1"/>
    <n v="7.42"/>
    <n v="742"/>
    <n v="148.4"/>
  </r>
  <r>
    <n v="1710"/>
    <s v="CA-2018-123491"/>
    <x v="505"/>
    <d v="2018-11-05T00:00:00"/>
    <x v="1"/>
    <s v="JK-15205"/>
    <s v="Jamie Kunitz"/>
    <s v="Consumer"/>
    <x v="1"/>
    <x v="0"/>
    <n v="71.992000000000004"/>
    <n v="7199.2000000000007"/>
    <n v="1439.8400000000001"/>
  </r>
  <r>
    <n v="1711"/>
    <s v="CA-2018-123491"/>
    <x v="505"/>
    <d v="2018-11-05T00:00:00"/>
    <x v="1"/>
    <s v="JK-15205"/>
    <s v="Jamie Kunitz"/>
    <s v="Consumer"/>
    <x v="1"/>
    <x v="1"/>
    <n v="19.899999999999999"/>
    <n v="1989.9999999999998"/>
    <n v="398"/>
  </r>
  <r>
    <n v="1712"/>
    <s v="CA-2018-123491"/>
    <x v="505"/>
    <d v="2018-11-05T00:00:00"/>
    <x v="1"/>
    <s v="JK-15205"/>
    <s v="Jamie Kunitz"/>
    <s v="Consumer"/>
    <x v="1"/>
    <x v="1"/>
    <n v="1702.12"/>
    <n v="170212"/>
    <n v="34042.400000000001"/>
  </r>
  <r>
    <n v="1713"/>
    <s v="CA-2016-145401"/>
    <x v="564"/>
    <d v="2016-02-04T00:00:00"/>
    <x v="1"/>
    <s v="JP-15520"/>
    <s v="Jeremy Pistek"/>
    <s v="Consumer"/>
    <x v="2"/>
    <x v="1"/>
    <n v="14.304"/>
    <n v="1430.4"/>
    <n v="286.08000000000004"/>
  </r>
  <r>
    <n v="1714"/>
    <s v="US-2018-124968"/>
    <x v="565"/>
    <d v="2018-09-13T00:00:00"/>
    <x v="0"/>
    <s v="MM-18055"/>
    <s v="Michelle Moray"/>
    <s v="Consumer"/>
    <x v="2"/>
    <x v="0"/>
    <n v="765.625"/>
    <n v="76562.5"/>
    <n v="15312.5"/>
  </r>
  <r>
    <n v="1715"/>
    <s v="CA-2018-104003"/>
    <x v="566"/>
    <d v="2018-10-13T00:00:00"/>
    <x v="1"/>
    <s v="DC-13285"/>
    <s v="Debra Catini"/>
    <s v="Consumer"/>
    <x v="1"/>
    <x v="0"/>
    <n v="307.666"/>
    <n v="30766.6"/>
    <n v="6153.32"/>
  </r>
  <r>
    <n v="1716"/>
    <s v="CA-2017-154788"/>
    <x v="567"/>
    <d v="2017-05-04T00:00:00"/>
    <x v="1"/>
    <s v="JL-15835"/>
    <s v="John Lee"/>
    <s v="Consumer"/>
    <x v="3"/>
    <x v="1"/>
    <n v="7.7119999999999997"/>
    <n v="771.19999999999993"/>
    <n v="154.24"/>
  </r>
  <r>
    <n v="1717"/>
    <s v="CA-2017-169943"/>
    <x v="288"/>
    <d v="2017-05-24T00:00:00"/>
    <x v="1"/>
    <s v="BN-11515"/>
    <s v="Bradley Nguyen"/>
    <s v="Consumer"/>
    <x v="3"/>
    <x v="1"/>
    <n v="242.9"/>
    <n v="24290"/>
    <n v="4858"/>
  </r>
  <r>
    <n v="1718"/>
    <s v="CA-2017-169943"/>
    <x v="288"/>
    <d v="2017-05-24T00:00:00"/>
    <x v="1"/>
    <s v="BN-11515"/>
    <s v="Bradley Nguyen"/>
    <s v="Consumer"/>
    <x v="3"/>
    <x v="1"/>
    <n v="454.9"/>
    <n v="45490"/>
    <n v="9098"/>
  </r>
  <r>
    <n v="1719"/>
    <s v="CA-2017-169943"/>
    <x v="288"/>
    <d v="2017-05-24T00:00:00"/>
    <x v="1"/>
    <s v="BN-11515"/>
    <s v="Bradley Nguyen"/>
    <s v="Consumer"/>
    <x v="3"/>
    <x v="0"/>
    <n v="35.92"/>
    <n v="3592"/>
    <n v="718.40000000000009"/>
  </r>
  <r>
    <n v="1720"/>
    <s v="CA-2017-169943"/>
    <x v="288"/>
    <d v="2017-05-24T00:00:00"/>
    <x v="1"/>
    <s v="BN-11515"/>
    <s v="Bradley Nguyen"/>
    <s v="Consumer"/>
    <x v="3"/>
    <x v="0"/>
    <n v="39.76"/>
    <n v="3976"/>
    <n v="795.2"/>
  </r>
  <r>
    <n v="1721"/>
    <s v="CA-2017-169943"/>
    <x v="288"/>
    <d v="2017-05-24T00:00:00"/>
    <x v="1"/>
    <s v="BN-11515"/>
    <s v="Bradley Nguyen"/>
    <s v="Consumer"/>
    <x v="3"/>
    <x v="1"/>
    <n v="47.744"/>
    <n v="4774.3999999999996"/>
    <n v="954.88"/>
  </r>
  <r>
    <n v="1722"/>
    <s v="US-2016-123218"/>
    <x v="139"/>
    <d v="2016-12-25T00:00:00"/>
    <x v="1"/>
    <s v="KD-16345"/>
    <s v="Katherine Ducich"/>
    <s v="Consumer"/>
    <x v="2"/>
    <x v="2"/>
    <n v="159.98400000000001"/>
    <n v="15998.400000000001"/>
    <n v="3199.6800000000003"/>
  </r>
  <r>
    <n v="1723"/>
    <s v="US-2016-123218"/>
    <x v="139"/>
    <d v="2016-12-25T00:00:00"/>
    <x v="1"/>
    <s v="KD-16345"/>
    <s v="Katherine Ducich"/>
    <s v="Consumer"/>
    <x v="2"/>
    <x v="2"/>
    <n v="255.96799999999999"/>
    <n v="25596.799999999999"/>
    <n v="5119.3600000000006"/>
  </r>
  <r>
    <n v="1724"/>
    <s v="US-2016-123218"/>
    <x v="139"/>
    <d v="2016-12-25T00:00:00"/>
    <x v="1"/>
    <s v="KD-16345"/>
    <s v="Katherine Ducich"/>
    <s v="Consumer"/>
    <x v="2"/>
    <x v="0"/>
    <n v="359.05799999999999"/>
    <n v="35905.800000000003"/>
    <n v="7181.1600000000008"/>
  </r>
  <r>
    <n v="1725"/>
    <s v="CA-2016-127453"/>
    <x v="546"/>
    <d v="2016-12-20T00:00:00"/>
    <x v="2"/>
    <s v="JK-15370"/>
    <s v="Jay Kimmel"/>
    <s v="Consumer"/>
    <x v="3"/>
    <x v="1"/>
    <n v="434.35199999999998"/>
    <n v="43435.199999999997"/>
    <n v="8687.0399999999991"/>
  </r>
  <r>
    <n v="1726"/>
    <s v="CA-2016-127453"/>
    <x v="546"/>
    <d v="2016-12-20T00:00:00"/>
    <x v="2"/>
    <s v="JK-15370"/>
    <s v="Jay Kimmel"/>
    <s v="Consumer"/>
    <x v="3"/>
    <x v="1"/>
    <n v="3.552"/>
    <n v="355.2"/>
    <n v="71.040000000000006"/>
  </r>
  <r>
    <n v="1727"/>
    <s v="CA-2016-127453"/>
    <x v="546"/>
    <d v="2016-12-20T00:00:00"/>
    <x v="2"/>
    <s v="JK-15370"/>
    <s v="Jay Kimmel"/>
    <s v="Consumer"/>
    <x v="3"/>
    <x v="1"/>
    <n v="88.831999999999994"/>
    <n v="8883.1999999999989"/>
    <n v="1776.6399999999999"/>
  </r>
  <r>
    <n v="1728"/>
    <s v="US-2018-164056"/>
    <x v="568"/>
    <d v="2018-05-04T00:00:00"/>
    <x v="0"/>
    <s v="FM-14215"/>
    <s v="Filia McAdams"/>
    <s v="Corporate"/>
    <x v="3"/>
    <x v="0"/>
    <n v="1048.3499999999999"/>
    <n v="104834.99999999999"/>
    <n v="20967"/>
  </r>
  <r>
    <n v="1729"/>
    <s v="CA-2017-106894"/>
    <x v="569"/>
    <d v="2017-02-07T00:00:00"/>
    <x v="3"/>
    <s v="CA-12265"/>
    <s v="Christina Anderson"/>
    <s v="Consumer"/>
    <x v="0"/>
    <x v="2"/>
    <n v="100"/>
    <n v="10000"/>
    <n v="2000"/>
  </r>
  <r>
    <n v="1730"/>
    <s v="CA-2017-106894"/>
    <x v="569"/>
    <d v="2017-02-07T00:00:00"/>
    <x v="3"/>
    <s v="CA-12265"/>
    <s v="Christina Anderson"/>
    <s v="Consumer"/>
    <x v="0"/>
    <x v="1"/>
    <n v="7.83"/>
    <n v="783"/>
    <n v="156.60000000000002"/>
  </r>
  <r>
    <n v="1731"/>
    <s v="CA-2015-125136"/>
    <x v="450"/>
    <d v="2015-10-03T00:00:00"/>
    <x v="1"/>
    <s v="KD-16495"/>
    <s v="Keith Dawkins"/>
    <s v="Corporate"/>
    <x v="0"/>
    <x v="1"/>
    <n v="96.256"/>
    <n v="9625.6"/>
    <n v="1925.1200000000001"/>
  </r>
  <r>
    <n v="1732"/>
    <s v="CA-2015-125136"/>
    <x v="450"/>
    <d v="2015-10-03T00:00:00"/>
    <x v="1"/>
    <s v="KD-16495"/>
    <s v="Keith Dawkins"/>
    <s v="Corporate"/>
    <x v="0"/>
    <x v="1"/>
    <n v="10.688000000000001"/>
    <n v="1068.8"/>
    <n v="213.76"/>
  </r>
  <r>
    <n v="1733"/>
    <s v="US-2017-131149"/>
    <x v="212"/>
    <d v="2017-07-14T00:00:00"/>
    <x v="1"/>
    <s v="LH-17155"/>
    <s v="Logan Haushalter"/>
    <s v="Consumer"/>
    <x v="2"/>
    <x v="1"/>
    <n v="338.04"/>
    <n v="33804"/>
    <n v="6760.8"/>
  </r>
  <r>
    <n v="1734"/>
    <s v="US-2017-131149"/>
    <x v="212"/>
    <d v="2017-07-14T00:00:00"/>
    <x v="1"/>
    <s v="LH-17155"/>
    <s v="Logan Haushalter"/>
    <s v="Consumer"/>
    <x v="2"/>
    <x v="1"/>
    <n v="154.24"/>
    <n v="15424"/>
    <n v="3084.8"/>
  </r>
  <r>
    <n v="1735"/>
    <s v="CA-2018-101483"/>
    <x v="570"/>
    <d v="2018-08-01T00:00:00"/>
    <x v="0"/>
    <s v="AG-10675"/>
    <s v="Anna Gayman"/>
    <s v="Consumer"/>
    <x v="0"/>
    <x v="1"/>
    <n v="34.847999999999999"/>
    <n v="3484.7999999999997"/>
    <n v="696.96"/>
  </r>
  <r>
    <n v="1736"/>
    <s v="CA-2018-101483"/>
    <x v="570"/>
    <d v="2018-08-01T00:00:00"/>
    <x v="0"/>
    <s v="AG-10675"/>
    <s v="Anna Gayman"/>
    <s v="Consumer"/>
    <x v="0"/>
    <x v="2"/>
    <n v="22"/>
    <n v="2200"/>
    <n v="440"/>
  </r>
  <r>
    <n v="1737"/>
    <s v="CA-2018-101483"/>
    <x v="570"/>
    <d v="2018-08-01T00:00:00"/>
    <x v="0"/>
    <s v="AG-10675"/>
    <s v="Anna Gayman"/>
    <s v="Consumer"/>
    <x v="0"/>
    <x v="1"/>
    <n v="4.3680000000000003"/>
    <n v="436.8"/>
    <n v="87.360000000000014"/>
  </r>
  <r>
    <n v="1738"/>
    <s v="CA-2016-130204"/>
    <x v="37"/>
    <d v="2016-09-09T00:00:00"/>
    <x v="1"/>
    <s v="DB-13120"/>
    <s v="David Bremer"/>
    <s v="Corporate"/>
    <x v="1"/>
    <x v="1"/>
    <n v="31.44"/>
    <n v="3144"/>
    <n v="628.80000000000007"/>
  </r>
  <r>
    <n v="1739"/>
    <s v="CA-2016-130204"/>
    <x v="37"/>
    <d v="2016-09-09T00:00:00"/>
    <x v="1"/>
    <s v="DB-13120"/>
    <s v="David Bremer"/>
    <s v="Corporate"/>
    <x v="1"/>
    <x v="2"/>
    <n v="17.899999999999999"/>
    <n v="1789.9999999999998"/>
    <n v="358"/>
  </r>
  <r>
    <n v="1740"/>
    <s v="CA-2016-130204"/>
    <x v="37"/>
    <d v="2016-09-09T00:00:00"/>
    <x v="1"/>
    <s v="DB-13120"/>
    <s v="David Bremer"/>
    <s v="Corporate"/>
    <x v="1"/>
    <x v="2"/>
    <n v="129.44999999999999"/>
    <n v="12944.999999999998"/>
    <n v="2589"/>
  </r>
  <r>
    <n v="1741"/>
    <s v="CA-2015-110527"/>
    <x v="128"/>
    <d v="2015-08-16T00:00:00"/>
    <x v="1"/>
    <s v="ED-13885"/>
    <s v="Emily Ducich"/>
    <s v="Home Office"/>
    <x v="1"/>
    <x v="1"/>
    <n v="20.88"/>
    <n v="2088"/>
    <n v="417.6"/>
  </r>
  <r>
    <n v="1742"/>
    <s v="CA-2018-152807"/>
    <x v="505"/>
    <d v="2018-11-03T00:00:00"/>
    <x v="1"/>
    <s v="MC-18100"/>
    <s v="Mick Crebagga"/>
    <s v="Consumer"/>
    <x v="3"/>
    <x v="1"/>
    <n v="20.736000000000001"/>
    <n v="2073.6"/>
    <n v="414.72"/>
  </r>
  <r>
    <n v="1743"/>
    <s v="CA-2018-152807"/>
    <x v="505"/>
    <d v="2018-11-03T00:00:00"/>
    <x v="1"/>
    <s v="MC-18100"/>
    <s v="Mick Crebagga"/>
    <s v="Consumer"/>
    <x v="3"/>
    <x v="0"/>
    <n v="7.1680000000000001"/>
    <n v="716.80000000000007"/>
    <n v="143.36000000000001"/>
  </r>
  <r>
    <n v="1744"/>
    <s v="CA-2018-152807"/>
    <x v="505"/>
    <d v="2018-11-03T00:00:00"/>
    <x v="1"/>
    <s v="MC-18100"/>
    <s v="Mick Crebagga"/>
    <s v="Consumer"/>
    <x v="3"/>
    <x v="1"/>
    <n v="11.167999999999999"/>
    <n v="1116.8"/>
    <n v="223.36"/>
  </r>
  <r>
    <n v="1745"/>
    <s v="CA-2018-152807"/>
    <x v="505"/>
    <d v="2018-11-03T00:00:00"/>
    <x v="1"/>
    <s v="MC-18100"/>
    <s v="Mick Crebagga"/>
    <s v="Consumer"/>
    <x v="3"/>
    <x v="2"/>
    <n v="442.4"/>
    <n v="44240"/>
    <n v="8848"/>
  </r>
  <r>
    <n v="1746"/>
    <s v="CA-2015-133270"/>
    <x v="571"/>
    <d v="2015-06-09T00:00:00"/>
    <x v="2"/>
    <s v="BM-11785"/>
    <s v="Bryan Mills"/>
    <s v="Consumer"/>
    <x v="3"/>
    <x v="1"/>
    <n v="13.36"/>
    <n v="1336"/>
    <n v="267.2"/>
  </r>
  <r>
    <n v="1747"/>
    <s v="CA-2017-155670"/>
    <x v="572"/>
    <d v="2017-08-17T00:00:00"/>
    <x v="0"/>
    <s v="EM-14065"/>
    <s v="Erin Mull"/>
    <s v="Consumer"/>
    <x v="0"/>
    <x v="1"/>
    <n v="11.231999999999999"/>
    <n v="1123.1999999999998"/>
    <n v="224.64"/>
  </r>
  <r>
    <n v="1748"/>
    <s v="CA-2017-155670"/>
    <x v="572"/>
    <d v="2017-08-17T00:00:00"/>
    <x v="0"/>
    <s v="EM-14065"/>
    <s v="Erin Mull"/>
    <s v="Consumer"/>
    <x v="0"/>
    <x v="1"/>
    <n v="10.272"/>
    <n v="1027.2"/>
    <n v="205.44000000000003"/>
  </r>
  <r>
    <n v="1749"/>
    <s v="US-2015-157406"/>
    <x v="573"/>
    <d v="2015-04-29T00:00:00"/>
    <x v="1"/>
    <s v="DA-13450"/>
    <s v="Dianna Arnett"/>
    <s v="Home Office"/>
    <x v="2"/>
    <x v="1"/>
    <n v="10.368"/>
    <n v="1036.8"/>
    <n v="207.36"/>
  </r>
  <r>
    <n v="1750"/>
    <s v="US-2015-157406"/>
    <x v="573"/>
    <d v="2015-04-29T00:00:00"/>
    <x v="1"/>
    <s v="DA-13450"/>
    <s v="Dianna Arnett"/>
    <s v="Home Office"/>
    <x v="2"/>
    <x v="1"/>
    <n v="6.24"/>
    <n v="624"/>
    <n v="124.80000000000001"/>
  </r>
  <r>
    <n v="1751"/>
    <s v="CA-2016-139094"/>
    <x v="6"/>
    <d v="2016-11-27T00:00:00"/>
    <x v="1"/>
    <s v="MO-17800"/>
    <s v="Meg O'Connel"/>
    <s v="Home Office"/>
    <x v="2"/>
    <x v="0"/>
    <n v="206.96199999999999"/>
    <n v="20696.199999999997"/>
    <n v="4139.24"/>
  </r>
  <r>
    <n v="1752"/>
    <s v="CA-2018-168837"/>
    <x v="336"/>
    <d v="2018-10-17T00:00:00"/>
    <x v="2"/>
    <s v="JW-15955"/>
    <s v="Joni Wasserman"/>
    <s v="Consumer"/>
    <x v="1"/>
    <x v="0"/>
    <n v="9.4600000000000009"/>
    <n v="946.00000000000011"/>
    <n v="189.20000000000005"/>
  </r>
  <r>
    <n v="1753"/>
    <s v="CA-2018-116715"/>
    <x v="574"/>
    <d v="2018-12-05T00:00:00"/>
    <x v="2"/>
    <s v="VW-21775"/>
    <s v="Victoria Wilson"/>
    <s v="Corporate"/>
    <x v="1"/>
    <x v="1"/>
    <n v="559.62"/>
    <n v="55962"/>
    <n v="11192.400000000001"/>
  </r>
  <r>
    <n v="1754"/>
    <s v="CA-2018-116715"/>
    <x v="574"/>
    <d v="2018-12-05T00:00:00"/>
    <x v="2"/>
    <s v="VW-21775"/>
    <s v="Victoria Wilson"/>
    <s v="Corporate"/>
    <x v="1"/>
    <x v="1"/>
    <n v="109.92"/>
    <n v="10992"/>
    <n v="2198.4"/>
  </r>
  <r>
    <n v="1755"/>
    <s v="CA-2018-116715"/>
    <x v="574"/>
    <d v="2018-12-05T00:00:00"/>
    <x v="2"/>
    <s v="VW-21775"/>
    <s v="Victoria Wilson"/>
    <s v="Corporate"/>
    <x v="1"/>
    <x v="1"/>
    <n v="8.56"/>
    <n v="856"/>
    <n v="171.20000000000002"/>
  </r>
  <r>
    <n v="1756"/>
    <s v="CA-2016-135622"/>
    <x v="575"/>
    <d v="2016-12-11T00:00:00"/>
    <x v="0"/>
    <s v="TT-21460"/>
    <s v="Tonja Turnell"/>
    <s v="Home Office"/>
    <x v="2"/>
    <x v="1"/>
    <n v="360.71199999999999"/>
    <n v="36071.199999999997"/>
    <n v="7214.24"/>
  </r>
  <r>
    <n v="1757"/>
    <s v="CA-2016-135622"/>
    <x v="575"/>
    <d v="2016-12-11T00:00:00"/>
    <x v="0"/>
    <s v="TT-21460"/>
    <s v="Tonja Turnell"/>
    <s v="Home Office"/>
    <x v="2"/>
    <x v="2"/>
    <n v="1718.4"/>
    <n v="171840"/>
    <n v="34368"/>
  </r>
  <r>
    <n v="1758"/>
    <s v="US-2016-107349"/>
    <x v="562"/>
    <d v="2016-07-15T00:00:00"/>
    <x v="2"/>
    <s v="SL-20155"/>
    <s v="Sara Luxemburg"/>
    <s v="Home Office"/>
    <x v="2"/>
    <x v="1"/>
    <n v="41.567999999999998"/>
    <n v="4156.8"/>
    <n v="831.36000000000013"/>
  </r>
  <r>
    <n v="1759"/>
    <s v="CA-2015-139017"/>
    <x v="218"/>
    <d v="2015-05-17T00:00:00"/>
    <x v="1"/>
    <s v="RM-19375"/>
    <s v="Raymond Messe"/>
    <s v="Consumer"/>
    <x v="2"/>
    <x v="2"/>
    <n v="46.863999999999997"/>
    <n v="4686.3999999999996"/>
    <n v="937.28"/>
  </r>
  <r>
    <n v="1760"/>
    <s v="CA-2015-141817"/>
    <x v="576"/>
    <d v="2015-01-12T00:00:00"/>
    <x v="1"/>
    <s v="MB-18085"/>
    <s v="Mick Brown"/>
    <s v="Consumer"/>
    <x v="3"/>
    <x v="1"/>
    <n v="19.536000000000001"/>
    <n v="1953.6000000000001"/>
    <n v="390.72"/>
  </r>
  <r>
    <n v="1761"/>
    <s v="CA-2016-130785"/>
    <x v="577"/>
    <d v="2016-09-09T00:00:00"/>
    <x v="1"/>
    <s v="AG-10900"/>
    <s v="Arthur Gainer"/>
    <s v="Consumer"/>
    <x v="1"/>
    <x v="0"/>
    <n v="411.33199999999999"/>
    <n v="41133.199999999997"/>
    <n v="8226.64"/>
  </r>
  <r>
    <n v="1762"/>
    <s v="CA-2016-130785"/>
    <x v="577"/>
    <d v="2016-09-09T00:00:00"/>
    <x v="1"/>
    <s v="AG-10900"/>
    <s v="Arthur Gainer"/>
    <s v="Consumer"/>
    <x v="1"/>
    <x v="1"/>
    <n v="28.751999999999999"/>
    <n v="2875.2"/>
    <n v="575.04"/>
  </r>
  <r>
    <n v="1763"/>
    <s v="CA-2016-130785"/>
    <x v="577"/>
    <d v="2016-09-09T00:00:00"/>
    <x v="1"/>
    <s v="AG-10900"/>
    <s v="Arthur Gainer"/>
    <s v="Consumer"/>
    <x v="1"/>
    <x v="0"/>
    <n v="293.19900000000001"/>
    <n v="29319.9"/>
    <n v="5863.9800000000005"/>
  </r>
  <r>
    <n v="1764"/>
    <s v="CA-2017-110254"/>
    <x v="578"/>
    <d v="2017-08-08T00:00:00"/>
    <x v="1"/>
    <s v="ML-17755"/>
    <s v="Max Ludwig"/>
    <s v="Home Office"/>
    <x v="0"/>
    <x v="1"/>
    <n v="35.06"/>
    <n v="3506"/>
    <n v="701.2"/>
  </r>
  <r>
    <n v="1765"/>
    <s v="CA-2017-110254"/>
    <x v="578"/>
    <d v="2017-08-08T00:00:00"/>
    <x v="1"/>
    <s v="ML-17755"/>
    <s v="Max Ludwig"/>
    <s v="Home Office"/>
    <x v="0"/>
    <x v="1"/>
    <n v="4.13"/>
    <n v="413"/>
    <n v="82.600000000000009"/>
  </r>
  <r>
    <n v="1766"/>
    <s v="CA-2017-110254"/>
    <x v="578"/>
    <d v="2017-08-08T00:00:00"/>
    <x v="1"/>
    <s v="ML-17755"/>
    <s v="Max Ludwig"/>
    <s v="Home Office"/>
    <x v="0"/>
    <x v="0"/>
    <n v="109.8"/>
    <n v="10980"/>
    <n v="2196"/>
  </r>
  <r>
    <n v="1767"/>
    <s v="CA-2017-110254"/>
    <x v="578"/>
    <d v="2017-08-08T00:00:00"/>
    <x v="1"/>
    <s v="ML-17755"/>
    <s v="Max Ludwig"/>
    <s v="Home Office"/>
    <x v="0"/>
    <x v="1"/>
    <n v="9.82"/>
    <n v="982"/>
    <n v="196.4"/>
  </r>
  <r>
    <n v="1768"/>
    <s v="US-2015-158057"/>
    <x v="579"/>
    <d v="2015-03-26T00:00:00"/>
    <x v="1"/>
    <s v="CC-12685"/>
    <s v="Craig Carroll"/>
    <s v="Consumer"/>
    <x v="0"/>
    <x v="1"/>
    <n v="7.6440000000000001"/>
    <n v="764.4"/>
    <n v="152.88"/>
  </r>
  <r>
    <n v="1769"/>
    <s v="US-2015-158057"/>
    <x v="579"/>
    <d v="2015-03-26T00:00:00"/>
    <x v="1"/>
    <s v="CC-12685"/>
    <s v="Craig Carroll"/>
    <s v="Consumer"/>
    <x v="0"/>
    <x v="1"/>
    <n v="51.465000000000003"/>
    <n v="5146.5"/>
    <n v="1029.3"/>
  </r>
  <r>
    <n v="1770"/>
    <s v="CA-2018-146024"/>
    <x v="580"/>
    <d v="2018-03-08T00:00:00"/>
    <x v="1"/>
    <s v="SC-20770"/>
    <s v="Stewart Carmichael"/>
    <s v="Corporate"/>
    <x v="2"/>
    <x v="1"/>
    <n v="6.976"/>
    <n v="697.6"/>
    <n v="139.52000000000001"/>
  </r>
  <r>
    <n v="1771"/>
    <s v="CA-2018-146024"/>
    <x v="580"/>
    <d v="2018-03-08T00:00:00"/>
    <x v="1"/>
    <s v="SC-20770"/>
    <s v="Stewart Carmichael"/>
    <s v="Corporate"/>
    <x v="2"/>
    <x v="1"/>
    <n v="12.222"/>
    <n v="1222.2"/>
    <n v="244.44000000000003"/>
  </r>
  <r>
    <n v="1772"/>
    <s v="CA-2017-129686"/>
    <x v="581"/>
    <d v="2017-11-29T00:00:00"/>
    <x v="0"/>
    <s v="GG-14650"/>
    <s v="Greg Guthrie"/>
    <s v="Corporate"/>
    <x v="2"/>
    <x v="1"/>
    <n v="97.983999999999995"/>
    <n v="9798.4"/>
    <n v="1959.68"/>
  </r>
  <r>
    <n v="1773"/>
    <s v="CA-2017-129686"/>
    <x v="581"/>
    <d v="2017-11-29T00:00:00"/>
    <x v="0"/>
    <s v="GG-14650"/>
    <s v="Greg Guthrie"/>
    <s v="Corporate"/>
    <x v="2"/>
    <x v="2"/>
    <n v="62.4"/>
    <n v="6240"/>
    <n v="1248"/>
  </r>
  <r>
    <n v="1774"/>
    <s v="CA-2015-118976"/>
    <x v="582"/>
    <d v="2015-05-03T00:00:00"/>
    <x v="1"/>
    <s v="MY-18295"/>
    <s v="Muhammed Yedwab"/>
    <s v="Corporate"/>
    <x v="3"/>
    <x v="1"/>
    <n v="20.86"/>
    <n v="2086"/>
    <n v="417.20000000000005"/>
  </r>
  <r>
    <n v="1775"/>
    <s v="CA-2015-118976"/>
    <x v="582"/>
    <d v="2015-05-03T00:00:00"/>
    <x v="1"/>
    <s v="MY-18295"/>
    <s v="Muhammed Yedwab"/>
    <s v="Corporate"/>
    <x v="3"/>
    <x v="1"/>
    <n v="497.61"/>
    <n v="49761"/>
    <n v="9952.2000000000007"/>
  </r>
  <r>
    <n v="1776"/>
    <s v="CA-2015-118976"/>
    <x v="582"/>
    <d v="2015-05-03T00:00:00"/>
    <x v="1"/>
    <s v="MY-18295"/>
    <s v="Muhammed Yedwab"/>
    <s v="Corporate"/>
    <x v="3"/>
    <x v="1"/>
    <n v="5.34"/>
    <n v="534"/>
    <n v="106.80000000000001"/>
  </r>
  <r>
    <n v="1777"/>
    <s v="CA-2015-118976"/>
    <x v="582"/>
    <d v="2015-05-03T00:00:00"/>
    <x v="1"/>
    <s v="MY-18295"/>
    <s v="Muhammed Yedwab"/>
    <s v="Corporate"/>
    <x v="3"/>
    <x v="1"/>
    <n v="3.15"/>
    <n v="315"/>
    <n v="63"/>
  </r>
  <r>
    <n v="1778"/>
    <s v="CA-2016-105347"/>
    <x v="27"/>
    <d v="2016-11-28T00:00:00"/>
    <x v="1"/>
    <s v="DP-13000"/>
    <s v="Darren Powers"/>
    <s v="Consumer"/>
    <x v="1"/>
    <x v="1"/>
    <n v="368.91"/>
    <n v="36891"/>
    <n v="7378.2000000000007"/>
  </r>
  <r>
    <n v="1779"/>
    <s v="CA-2016-105347"/>
    <x v="27"/>
    <d v="2016-11-28T00:00:00"/>
    <x v="1"/>
    <s v="DP-13000"/>
    <s v="Darren Powers"/>
    <s v="Consumer"/>
    <x v="1"/>
    <x v="1"/>
    <n v="14.7"/>
    <n v="1470"/>
    <n v="294"/>
  </r>
  <r>
    <n v="1780"/>
    <s v="CA-2017-124667"/>
    <x v="583"/>
    <d v="2017-11-16T00:00:00"/>
    <x v="1"/>
    <s v="BD-11770"/>
    <s v="Bryan Davis"/>
    <s v="Consumer"/>
    <x v="3"/>
    <x v="2"/>
    <n v="59.97"/>
    <n v="5997"/>
    <n v="1199.4000000000001"/>
  </r>
  <r>
    <n v="1781"/>
    <s v="CA-2017-124667"/>
    <x v="583"/>
    <d v="2017-11-16T00:00:00"/>
    <x v="1"/>
    <s v="BD-11770"/>
    <s v="Bryan Davis"/>
    <s v="Consumer"/>
    <x v="3"/>
    <x v="1"/>
    <n v="83.36"/>
    <n v="8336"/>
    <n v="1667.2"/>
  </r>
  <r>
    <n v="1782"/>
    <s v="CA-2016-111094"/>
    <x v="584"/>
    <d v="2016-07-13T00:00:00"/>
    <x v="1"/>
    <s v="CB-12535"/>
    <s v="Claudia Bergmann"/>
    <s v="Corporate"/>
    <x v="3"/>
    <x v="1"/>
    <n v="6.58"/>
    <n v="658"/>
    <n v="131.6"/>
  </r>
  <r>
    <n v="1783"/>
    <s v="CA-2016-111094"/>
    <x v="584"/>
    <d v="2016-07-13T00:00:00"/>
    <x v="1"/>
    <s v="CB-12535"/>
    <s v="Claudia Bergmann"/>
    <s v="Corporate"/>
    <x v="3"/>
    <x v="1"/>
    <n v="122.94"/>
    <n v="12294"/>
    <n v="2458.8000000000002"/>
  </r>
  <r>
    <n v="1784"/>
    <s v="CA-2018-166317"/>
    <x v="585"/>
    <d v="2018-09-26T00:00:00"/>
    <x v="1"/>
    <s v="JE-15610"/>
    <s v="Jim Epp"/>
    <s v="Corporate"/>
    <x v="2"/>
    <x v="1"/>
    <n v="219.84"/>
    <n v="21984"/>
    <n v="4396.8"/>
  </r>
  <r>
    <n v="1785"/>
    <s v="CA-2018-166317"/>
    <x v="585"/>
    <d v="2018-09-26T00:00:00"/>
    <x v="1"/>
    <s v="JE-15610"/>
    <s v="Jim Epp"/>
    <s v="Corporate"/>
    <x v="2"/>
    <x v="2"/>
    <n v="98.16"/>
    <n v="9816"/>
    <n v="1963.2"/>
  </r>
  <r>
    <n v="1786"/>
    <s v="CA-2018-166317"/>
    <x v="585"/>
    <d v="2018-09-26T00:00:00"/>
    <x v="1"/>
    <s v="JE-15610"/>
    <s v="Jim Epp"/>
    <s v="Corporate"/>
    <x v="2"/>
    <x v="1"/>
    <n v="33.04"/>
    <n v="3304"/>
    <n v="660.80000000000007"/>
  </r>
  <r>
    <n v="1787"/>
    <s v="CA-2018-166317"/>
    <x v="585"/>
    <d v="2018-09-26T00:00:00"/>
    <x v="1"/>
    <s v="JE-15610"/>
    <s v="Jim Epp"/>
    <s v="Corporate"/>
    <x v="2"/>
    <x v="2"/>
    <n v="86.97"/>
    <n v="8697"/>
    <n v="1739.4"/>
  </r>
  <r>
    <n v="1788"/>
    <s v="CA-2016-154326"/>
    <x v="586"/>
    <d v="2016-02-19T00:00:00"/>
    <x v="1"/>
    <s v="RP-19855"/>
    <s v="Roy Phan"/>
    <s v="Corporate"/>
    <x v="2"/>
    <x v="2"/>
    <n v="134.97"/>
    <n v="13497"/>
    <n v="2699.4"/>
  </r>
  <r>
    <n v="1789"/>
    <s v="CA-2016-154326"/>
    <x v="586"/>
    <d v="2016-02-19T00:00:00"/>
    <x v="1"/>
    <s v="RP-19855"/>
    <s v="Roy Phan"/>
    <s v="Corporate"/>
    <x v="2"/>
    <x v="2"/>
    <n v="699.98"/>
    <n v="69998"/>
    <n v="13999.6"/>
  </r>
  <r>
    <n v="1790"/>
    <s v="CA-2016-154326"/>
    <x v="586"/>
    <d v="2016-02-19T00:00:00"/>
    <x v="1"/>
    <s v="RP-19855"/>
    <s v="Roy Phan"/>
    <s v="Corporate"/>
    <x v="2"/>
    <x v="2"/>
    <n v="139.94999999999999"/>
    <n v="13994.999999999998"/>
    <n v="2799"/>
  </r>
  <r>
    <n v="1791"/>
    <s v="CA-2015-102008"/>
    <x v="587"/>
    <d v="2015-10-04T00:00:00"/>
    <x v="1"/>
    <s v="RA-19915"/>
    <s v="Russell Applegate"/>
    <s v="Consumer"/>
    <x v="3"/>
    <x v="1"/>
    <n v="48.94"/>
    <n v="4894"/>
    <n v="978.80000000000007"/>
  </r>
  <r>
    <n v="1792"/>
    <s v="CA-2015-120474"/>
    <x v="588"/>
    <d v="2015-12-03T00:00:00"/>
    <x v="2"/>
    <s v="RP-19390"/>
    <s v="Resi PÃ¶lking"/>
    <s v="Consumer"/>
    <x v="2"/>
    <x v="0"/>
    <n v="2807.84"/>
    <n v="280784"/>
    <n v="56156.800000000003"/>
  </r>
  <r>
    <n v="1793"/>
    <s v="CA-2015-120474"/>
    <x v="588"/>
    <d v="2015-12-03T00:00:00"/>
    <x v="2"/>
    <s v="RP-19390"/>
    <s v="Resi PÃ¶lking"/>
    <s v="Consumer"/>
    <x v="2"/>
    <x v="1"/>
    <n v="46.64"/>
    <n v="4664"/>
    <n v="932.80000000000007"/>
  </r>
  <r>
    <n v="1794"/>
    <s v="CA-2015-104773"/>
    <x v="589"/>
    <d v="2015-12-13T00:00:00"/>
    <x v="1"/>
    <s v="TB-21175"/>
    <s v="Thomas Boland"/>
    <s v="Corporate"/>
    <x v="2"/>
    <x v="1"/>
    <n v="60.415999999999997"/>
    <n v="6041.5999999999995"/>
    <n v="1208.32"/>
  </r>
  <r>
    <n v="1795"/>
    <s v="CA-2017-140774"/>
    <x v="64"/>
    <d v="2017-09-10T00:00:00"/>
    <x v="1"/>
    <s v="BE-11455"/>
    <s v="Brad Eason"/>
    <s v="Home Office"/>
    <x v="2"/>
    <x v="1"/>
    <n v="107.94"/>
    <n v="10794"/>
    <n v="2158.8000000000002"/>
  </r>
  <r>
    <n v="1796"/>
    <s v="US-2018-139465"/>
    <x v="151"/>
    <d v="2018-08-30T00:00:00"/>
    <x v="2"/>
    <s v="MR-17545"/>
    <s v="Mathew Reese"/>
    <s v="Home Office"/>
    <x v="3"/>
    <x v="1"/>
    <n v="63.84"/>
    <n v="6384"/>
    <n v="1276.8000000000002"/>
  </r>
  <r>
    <n v="1797"/>
    <s v="US-2018-139465"/>
    <x v="151"/>
    <d v="2018-08-30T00:00:00"/>
    <x v="2"/>
    <s v="MR-17545"/>
    <s v="Mathew Reese"/>
    <s v="Home Office"/>
    <x v="3"/>
    <x v="2"/>
    <n v="347.97"/>
    <n v="34797"/>
    <n v="6959.4000000000005"/>
  </r>
  <r>
    <n v="1798"/>
    <s v="US-2018-139465"/>
    <x v="151"/>
    <d v="2018-08-30T00:00:00"/>
    <x v="2"/>
    <s v="MR-17545"/>
    <s v="Mathew Reese"/>
    <s v="Home Office"/>
    <x v="3"/>
    <x v="1"/>
    <n v="37.008000000000003"/>
    <n v="3700.8"/>
    <n v="740.16000000000008"/>
  </r>
  <r>
    <n v="1799"/>
    <s v="CA-2017-100965"/>
    <x v="274"/>
    <d v="2017-07-11T00:00:00"/>
    <x v="1"/>
    <s v="RM-19375"/>
    <s v="Raymond Messe"/>
    <s v="Consumer"/>
    <x v="1"/>
    <x v="0"/>
    <n v="215.65"/>
    <n v="21565"/>
    <n v="4313"/>
  </r>
  <r>
    <n v="1800"/>
    <s v="CA-2017-121034"/>
    <x v="590"/>
    <d v="2017-08-10T00:00:00"/>
    <x v="0"/>
    <s v="JF-15565"/>
    <s v="Jill Fjeld"/>
    <s v="Consumer"/>
    <x v="2"/>
    <x v="1"/>
    <n v="11.167999999999999"/>
    <n v="1116.8"/>
    <n v="223.36"/>
  </r>
  <r>
    <n v="1801"/>
    <s v="CA-2017-121034"/>
    <x v="590"/>
    <d v="2017-08-10T00:00:00"/>
    <x v="0"/>
    <s v="JF-15565"/>
    <s v="Jill Fjeld"/>
    <s v="Consumer"/>
    <x v="2"/>
    <x v="1"/>
    <n v="53.951999999999998"/>
    <n v="5395.2"/>
    <n v="1079.04"/>
  </r>
  <r>
    <n v="1802"/>
    <s v="CA-2017-149461"/>
    <x v="373"/>
    <d v="2017-11-19T00:00:00"/>
    <x v="1"/>
    <s v="AS-10135"/>
    <s v="Adrian Shami"/>
    <s v="Home Office"/>
    <x v="1"/>
    <x v="0"/>
    <n v="4.18"/>
    <n v="418"/>
    <n v="83.600000000000009"/>
  </r>
  <r>
    <n v="1803"/>
    <s v="CA-2018-158379"/>
    <x v="585"/>
    <d v="2018-09-26T00:00:00"/>
    <x v="0"/>
    <s v="JA-15970"/>
    <s v="Joseph Airdo"/>
    <s v="Consumer"/>
    <x v="3"/>
    <x v="1"/>
    <n v="5.6070000000000002"/>
    <n v="560.70000000000005"/>
    <n v="112.14000000000001"/>
  </r>
  <r>
    <n v="1804"/>
    <s v="CA-2018-158379"/>
    <x v="585"/>
    <d v="2018-09-26T00:00:00"/>
    <x v="0"/>
    <s v="JA-15970"/>
    <s v="Joseph Airdo"/>
    <s v="Consumer"/>
    <x v="3"/>
    <x v="1"/>
    <n v="4663.7359999999999"/>
    <n v="466373.6"/>
    <n v="93274.72"/>
  </r>
  <r>
    <n v="1805"/>
    <s v="CA-2018-158379"/>
    <x v="585"/>
    <d v="2018-09-26T00:00:00"/>
    <x v="0"/>
    <s v="JA-15970"/>
    <s v="Joseph Airdo"/>
    <s v="Consumer"/>
    <x v="3"/>
    <x v="2"/>
    <n v="79.983999999999995"/>
    <n v="7998.4"/>
    <n v="1599.68"/>
  </r>
  <r>
    <n v="1806"/>
    <s v="US-2017-116729"/>
    <x v="591"/>
    <d v="2017-12-28T00:00:00"/>
    <x v="2"/>
    <s v="GK-14620"/>
    <s v="Grace Kelly"/>
    <s v="Corporate"/>
    <x v="1"/>
    <x v="2"/>
    <n v="2575.944"/>
    <n v="257594.4"/>
    <n v="51518.880000000005"/>
  </r>
  <r>
    <n v="1807"/>
    <s v="US-2017-116729"/>
    <x v="591"/>
    <d v="2017-12-28T00:00:00"/>
    <x v="2"/>
    <s v="GK-14620"/>
    <s v="Grace Kelly"/>
    <s v="Corporate"/>
    <x v="1"/>
    <x v="1"/>
    <n v="45.36"/>
    <n v="4536"/>
    <n v="907.2"/>
  </r>
  <r>
    <n v="1808"/>
    <s v="US-2017-116729"/>
    <x v="591"/>
    <d v="2017-12-28T00:00:00"/>
    <x v="2"/>
    <s v="GK-14620"/>
    <s v="Grace Kelly"/>
    <s v="Corporate"/>
    <x v="1"/>
    <x v="2"/>
    <n v="254.24"/>
    <n v="25424"/>
    <n v="5084.8"/>
  </r>
  <r>
    <n v="1809"/>
    <s v="CA-2017-164938"/>
    <x v="592"/>
    <d v="2017-02-13T00:00:00"/>
    <x v="2"/>
    <s v="PB-19210"/>
    <s v="Phillip Breyer"/>
    <s v="Corporate"/>
    <x v="2"/>
    <x v="2"/>
    <n v="69.930000000000007"/>
    <n v="6993.0000000000009"/>
    <n v="1398.6000000000004"/>
  </r>
  <r>
    <n v="1810"/>
    <s v="CA-2017-165484"/>
    <x v="248"/>
    <d v="2017-10-29T00:00:00"/>
    <x v="1"/>
    <s v="HK-14890"/>
    <s v="Heather Kirkland"/>
    <s v="Corporate"/>
    <x v="2"/>
    <x v="0"/>
    <n v="16.155999999999999"/>
    <n v="1615.6"/>
    <n v="323.12"/>
  </r>
  <r>
    <n v="1811"/>
    <s v="CA-2017-165484"/>
    <x v="248"/>
    <d v="2017-10-29T00:00:00"/>
    <x v="1"/>
    <s v="HK-14890"/>
    <s v="Heather Kirkland"/>
    <s v="Corporate"/>
    <x v="2"/>
    <x v="1"/>
    <n v="54.816000000000003"/>
    <n v="5481.6"/>
    <n v="1096.3200000000002"/>
  </r>
  <r>
    <n v="1812"/>
    <s v="CA-2015-132612"/>
    <x v="3"/>
    <d v="2015-06-11T00:00:00"/>
    <x v="0"/>
    <s v="FO-14305"/>
    <s v="Frank Olsen"/>
    <s v="Consumer"/>
    <x v="0"/>
    <x v="0"/>
    <n v="1441.3"/>
    <n v="144130"/>
    <n v="28826"/>
  </r>
  <r>
    <n v="1813"/>
    <s v="US-2018-161193"/>
    <x v="225"/>
    <d v="2018-11-26T00:00:00"/>
    <x v="1"/>
    <s v="BT-11680"/>
    <s v="Brian Thompson"/>
    <s v="Consumer"/>
    <x v="3"/>
    <x v="0"/>
    <n v="77.599999999999994"/>
    <n v="7759.9999999999991"/>
    <n v="1552"/>
  </r>
  <r>
    <n v="1814"/>
    <s v="US-2018-161193"/>
    <x v="225"/>
    <d v="2018-11-26T00:00:00"/>
    <x v="1"/>
    <s v="BT-11680"/>
    <s v="Brian Thompson"/>
    <s v="Consumer"/>
    <x v="3"/>
    <x v="0"/>
    <n v="4.6559999999999997"/>
    <n v="465.59999999999997"/>
    <n v="93.12"/>
  </r>
  <r>
    <n v="1815"/>
    <s v="CA-2016-131597"/>
    <x v="471"/>
    <d v="2016-09-18T00:00:00"/>
    <x v="1"/>
    <s v="SP-20620"/>
    <s v="Stefania Perrino"/>
    <s v="Corporate"/>
    <x v="1"/>
    <x v="0"/>
    <n v="170.136"/>
    <n v="17013.599999999999"/>
    <n v="3402.72"/>
  </r>
  <r>
    <n v="1816"/>
    <s v="CA-2016-164833"/>
    <x v="593"/>
    <d v="2016-06-04T00:00:00"/>
    <x v="3"/>
    <s v="LL-16840"/>
    <s v="Lauren Leatherbury"/>
    <s v="Consumer"/>
    <x v="1"/>
    <x v="1"/>
    <n v="7.38"/>
    <n v="738"/>
    <n v="147.6"/>
  </r>
  <r>
    <n v="1817"/>
    <s v="CA-2016-164833"/>
    <x v="593"/>
    <d v="2016-06-04T00:00:00"/>
    <x v="3"/>
    <s v="LL-16840"/>
    <s v="Lauren Leatherbury"/>
    <s v="Consumer"/>
    <x v="1"/>
    <x v="1"/>
    <n v="9.26"/>
    <n v="926"/>
    <n v="185.20000000000002"/>
  </r>
  <r>
    <n v="1818"/>
    <s v="CA-2016-125423"/>
    <x v="350"/>
    <d v="2016-12-15T00:00:00"/>
    <x v="0"/>
    <s v="MC-17575"/>
    <s v="Matt Collins"/>
    <s v="Consumer"/>
    <x v="1"/>
    <x v="1"/>
    <n v="9.9600000000000009"/>
    <n v="996.00000000000011"/>
    <n v="199.20000000000005"/>
  </r>
  <r>
    <n v="1819"/>
    <s v="US-2015-130379"/>
    <x v="594"/>
    <d v="2015-05-29T00:00:00"/>
    <x v="1"/>
    <s v="JL-15235"/>
    <s v="Janet Lee"/>
    <s v="Consumer"/>
    <x v="2"/>
    <x v="1"/>
    <n v="75.599999999999994"/>
    <n v="7559.9999999999991"/>
    <n v="1512"/>
  </r>
  <r>
    <n v="1820"/>
    <s v="US-2015-130379"/>
    <x v="594"/>
    <d v="2015-05-29T00:00:00"/>
    <x v="1"/>
    <s v="JL-15235"/>
    <s v="Janet Lee"/>
    <s v="Consumer"/>
    <x v="2"/>
    <x v="0"/>
    <n v="29.32"/>
    <n v="2932"/>
    <n v="586.4"/>
  </r>
  <r>
    <n v="1821"/>
    <s v="CA-2017-168956"/>
    <x v="595"/>
    <d v="2017-02-20T00:00:00"/>
    <x v="1"/>
    <s v="EA-14035"/>
    <s v="Erin Ashbrook"/>
    <s v="Corporate"/>
    <x v="2"/>
    <x v="1"/>
    <n v="92.063999999999993"/>
    <n v="9206.4"/>
    <n v="1841.28"/>
  </r>
  <r>
    <n v="1822"/>
    <s v="CA-2017-168956"/>
    <x v="595"/>
    <d v="2017-02-20T00:00:00"/>
    <x v="1"/>
    <s v="EA-14035"/>
    <s v="Erin Ashbrook"/>
    <s v="Corporate"/>
    <x v="2"/>
    <x v="1"/>
    <n v="6.976"/>
    <n v="697.6"/>
    <n v="139.52000000000001"/>
  </r>
  <r>
    <n v="1823"/>
    <s v="CA-2017-168956"/>
    <x v="595"/>
    <d v="2017-02-20T00:00:00"/>
    <x v="1"/>
    <s v="EA-14035"/>
    <s v="Erin Ashbrook"/>
    <s v="Corporate"/>
    <x v="2"/>
    <x v="0"/>
    <n v="62.957999999999998"/>
    <n v="6295.8"/>
    <n v="1259.1600000000001"/>
  </r>
  <r>
    <n v="1824"/>
    <s v="CA-2017-168956"/>
    <x v="595"/>
    <d v="2017-02-20T00:00:00"/>
    <x v="1"/>
    <s v="EA-14035"/>
    <s v="Erin Ashbrook"/>
    <s v="Corporate"/>
    <x v="2"/>
    <x v="1"/>
    <n v="5.1840000000000002"/>
    <n v="518.4"/>
    <n v="103.68"/>
  </r>
  <r>
    <n v="1825"/>
    <s v="CA-2017-167507"/>
    <x v="596"/>
    <d v="2017-12-28T00:00:00"/>
    <x v="1"/>
    <s v="SA-20830"/>
    <s v="Sue Ann Reed"/>
    <s v="Consumer"/>
    <x v="1"/>
    <x v="1"/>
    <n v="31.32"/>
    <n v="3132"/>
    <n v="626.40000000000009"/>
  </r>
  <r>
    <n v="1826"/>
    <s v="CA-2017-167507"/>
    <x v="596"/>
    <d v="2017-12-28T00:00:00"/>
    <x v="1"/>
    <s v="SA-20830"/>
    <s v="Sue Ann Reed"/>
    <s v="Consumer"/>
    <x v="1"/>
    <x v="0"/>
    <n v="11.84"/>
    <n v="1184"/>
    <n v="236.8"/>
  </r>
  <r>
    <n v="1827"/>
    <s v="CA-2017-167507"/>
    <x v="596"/>
    <d v="2017-12-28T00:00:00"/>
    <x v="1"/>
    <s v="SA-20830"/>
    <s v="Sue Ann Reed"/>
    <s v="Consumer"/>
    <x v="1"/>
    <x v="0"/>
    <n v="22.783999999999999"/>
    <n v="2278.4"/>
    <n v="455.68000000000006"/>
  </r>
  <r>
    <n v="1828"/>
    <s v="CA-2017-109344"/>
    <x v="597"/>
    <d v="2017-02-11T00:00:00"/>
    <x v="0"/>
    <s v="CH-12070"/>
    <s v="Cathy Hwang"/>
    <s v="Home Office"/>
    <x v="0"/>
    <x v="2"/>
    <n v="1127.9760000000001"/>
    <n v="112797.6"/>
    <n v="22559.520000000004"/>
  </r>
  <r>
    <n v="1829"/>
    <s v="US-2016-140851"/>
    <x v="562"/>
    <d v="2016-07-15T00:00:00"/>
    <x v="0"/>
    <s v="ND-18460"/>
    <s v="Neil Ducich"/>
    <s v="Corporate"/>
    <x v="0"/>
    <x v="1"/>
    <n v="38.880000000000003"/>
    <n v="3888.0000000000005"/>
    <n v="777.60000000000014"/>
  </r>
  <r>
    <n v="1830"/>
    <s v="CA-2015-103373"/>
    <x v="598"/>
    <d v="2015-05-24T00:00:00"/>
    <x v="1"/>
    <s v="BS-11755"/>
    <s v="Bruce Stewart"/>
    <s v="Consumer"/>
    <x v="3"/>
    <x v="2"/>
    <n v="779.79600000000005"/>
    <n v="77979.600000000006"/>
    <n v="15595.920000000002"/>
  </r>
  <r>
    <n v="1831"/>
    <s v="CA-2018-145884"/>
    <x v="208"/>
    <d v="2018-10-21T00:00:00"/>
    <x v="3"/>
    <s v="SL-20155"/>
    <s v="Sara Luxemburg"/>
    <s v="Home Office"/>
    <x v="2"/>
    <x v="2"/>
    <n v="1439.92"/>
    <n v="143992"/>
    <n v="28798.400000000001"/>
  </r>
  <r>
    <n v="1832"/>
    <s v="CA-2018-145884"/>
    <x v="208"/>
    <d v="2018-10-21T00:00:00"/>
    <x v="3"/>
    <s v="SL-20155"/>
    <s v="Sara Luxemburg"/>
    <s v="Home Office"/>
    <x v="2"/>
    <x v="0"/>
    <n v="262.11"/>
    <n v="26211"/>
    <n v="5242.2000000000007"/>
  </r>
  <r>
    <n v="1833"/>
    <s v="CA-2016-131422"/>
    <x v="599"/>
    <d v="2016-11-09T00:00:00"/>
    <x v="1"/>
    <s v="GB-14530"/>
    <s v="George Bell"/>
    <s v="Corporate"/>
    <x v="0"/>
    <x v="0"/>
    <n v="207"/>
    <n v="20700"/>
    <n v="4140"/>
  </r>
  <r>
    <n v="1834"/>
    <s v="CA-2018-162691"/>
    <x v="378"/>
    <d v="2018-08-07T00:00:00"/>
    <x v="1"/>
    <s v="AS-10045"/>
    <s v="Aaron Smayling"/>
    <s v="Corporate"/>
    <x v="2"/>
    <x v="2"/>
    <n v="1439.982"/>
    <n v="143998.20000000001"/>
    <n v="28799.640000000003"/>
  </r>
  <r>
    <n v="1835"/>
    <s v="CA-2018-162691"/>
    <x v="378"/>
    <d v="2018-08-07T00:00:00"/>
    <x v="1"/>
    <s v="AS-10045"/>
    <s v="Aaron Smayling"/>
    <s v="Corporate"/>
    <x v="2"/>
    <x v="1"/>
    <n v="36.287999999999997"/>
    <n v="3628.7999999999997"/>
    <n v="725.76"/>
  </r>
  <r>
    <n v="1836"/>
    <s v="CA-2015-141278"/>
    <x v="261"/>
    <d v="2015-06-24T00:00:00"/>
    <x v="2"/>
    <s v="RM-19375"/>
    <s v="Raymond Messe"/>
    <s v="Consumer"/>
    <x v="3"/>
    <x v="1"/>
    <n v="21.4"/>
    <n v="2140"/>
    <n v="428"/>
  </r>
  <r>
    <n v="1837"/>
    <s v="CA-2018-122693"/>
    <x v="600"/>
    <d v="2018-02-21T00:00:00"/>
    <x v="0"/>
    <s v="NH-18610"/>
    <s v="Nicole Hansen"/>
    <s v="Corporate"/>
    <x v="0"/>
    <x v="1"/>
    <n v="1245.8599999999999"/>
    <n v="124585.99999999999"/>
    <n v="24917.199999999997"/>
  </r>
  <r>
    <n v="1838"/>
    <s v="CA-2015-117345"/>
    <x v="601"/>
    <d v="2015-08-05T00:00:00"/>
    <x v="1"/>
    <s v="BF-10975"/>
    <s v="Barbara Fisher"/>
    <s v="Corporate"/>
    <x v="0"/>
    <x v="1"/>
    <n v="17.544"/>
    <n v="1754.4"/>
    <n v="350.88000000000005"/>
  </r>
  <r>
    <n v="1839"/>
    <s v="CA-2015-117345"/>
    <x v="601"/>
    <d v="2015-08-05T00:00:00"/>
    <x v="1"/>
    <s v="BF-10975"/>
    <s v="Barbara Fisher"/>
    <s v="Corporate"/>
    <x v="0"/>
    <x v="0"/>
    <n v="44.128"/>
    <n v="4412.8"/>
    <n v="882.56000000000006"/>
  </r>
  <r>
    <n v="1840"/>
    <s v="CA-2015-117345"/>
    <x v="601"/>
    <d v="2015-08-05T00:00:00"/>
    <x v="1"/>
    <s v="BF-10975"/>
    <s v="Barbara Fisher"/>
    <s v="Corporate"/>
    <x v="0"/>
    <x v="1"/>
    <n v="62.92"/>
    <n v="6292"/>
    <n v="1258.4000000000001"/>
  </r>
  <r>
    <n v="1841"/>
    <s v="CA-2015-117345"/>
    <x v="601"/>
    <d v="2015-08-05T00:00:00"/>
    <x v="1"/>
    <s v="BF-10975"/>
    <s v="Barbara Fisher"/>
    <s v="Corporate"/>
    <x v="0"/>
    <x v="1"/>
    <n v="78.304000000000002"/>
    <n v="7830.4000000000005"/>
    <n v="1566.0800000000002"/>
  </r>
  <r>
    <n v="1842"/>
    <s v="CA-2017-157763"/>
    <x v="427"/>
    <d v="2017-07-23T00:00:00"/>
    <x v="1"/>
    <s v="KH-16330"/>
    <s v="Katharine Harms"/>
    <s v="Corporate"/>
    <x v="0"/>
    <x v="0"/>
    <n v="140.81"/>
    <n v="14081"/>
    <n v="2816.2000000000003"/>
  </r>
  <r>
    <n v="1843"/>
    <s v="CA-2016-135391"/>
    <x v="97"/>
    <d v="2016-02-11T00:00:00"/>
    <x v="0"/>
    <s v="FA-14230"/>
    <s v="Frank Atkinson"/>
    <s v="Corporate"/>
    <x v="2"/>
    <x v="1"/>
    <n v="40.095999999999997"/>
    <n v="4009.5999999999995"/>
    <n v="801.92"/>
  </r>
  <r>
    <n v="1844"/>
    <s v="CA-2016-135391"/>
    <x v="97"/>
    <d v="2016-02-11T00:00:00"/>
    <x v="0"/>
    <s v="FA-14230"/>
    <s v="Frank Atkinson"/>
    <s v="Corporate"/>
    <x v="2"/>
    <x v="0"/>
    <n v="40.783999999999999"/>
    <n v="4078.4"/>
    <n v="815.68000000000006"/>
  </r>
  <r>
    <n v="1845"/>
    <s v="US-2018-113852"/>
    <x v="570"/>
    <d v="2018-08-02T00:00:00"/>
    <x v="1"/>
    <s v="GW-14605"/>
    <s v="Giulietta Weimer"/>
    <s v="Consumer"/>
    <x v="1"/>
    <x v="2"/>
    <n v="90.57"/>
    <n v="9057"/>
    <n v="1811.4"/>
  </r>
  <r>
    <n v="1846"/>
    <s v="US-2018-158512"/>
    <x v="602"/>
    <d v="2018-01-17T00:00:00"/>
    <x v="0"/>
    <s v="DA-13450"/>
    <s v="Dianna Arnett"/>
    <s v="Home Office"/>
    <x v="3"/>
    <x v="1"/>
    <n v="40.08"/>
    <n v="4008"/>
    <n v="801.6"/>
  </r>
  <r>
    <n v="1847"/>
    <s v="US-2018-158512"/>
    <x v="602"/>
    <d v="2018-01-17T00:00:00"/>
    <x v="0"/>
    <s v="DA-13450"/>
    <s v="Dianna Arnett"/>
    <s v="Home Office"/>
    <x v="3"/>
    <x v="0"/>
    <n v="37.68"/>
    <n v="3768"/>
    <n v="753.6"/>
  </r>
  <r>
    <n v="1848"/>
    <s v="CA-2018-128370"/>
    <x v="18"/>
    <d v="2018-09-10T00:00:00"/>
    <x v="3"/>
    <s v="FH-14275"/>
    <s v="Frank Hawley"/>
    <s v="Corporate"/>
    <x v="1"/>
    <x v="0"/>
    <n v="362.35199999999998"/>
    <n v="36235.199999999997"/>
    <n v="7247.04"/>
  </r>
  <r>
    <n v="1849"/>
    <s v="CA-2018-128370"/>
    <x v="18"/>
    <d v="2018-09-10T00:00:00"/>
    <x v="3"/>
    <s v="FH-14275"/>
    <s v="Frank Hawley"/>
    <s v="Corporate"/>
    <x v="1"/>
    <x v="1"/>
    <n v="7.1840000000000002"/>
    <n v="718.4"/>
    <n v="143.68"/>
  </r>
  <r>
    <n v="1850"/>
    <s v="CA-2016-160472"/>
    <x v="603"/>
    <d v="2016-07-25T00:00:00"/>
    <x v="0"/>
    <s v="RK-19300"/>
    <s v="Ralph Kennedy"/>
    <s v="Consumer"/>
    <x v="2"/>
    <x v="1"/>
    <n v="34.76"/>
    <n v="3476"/>
    <n v="695.2"/>
  </r>
  <r>
    <n v="1851"/>
    <s v="CA-2016-160472"/>
    <x v="603"/>
    <d v="2016-07-25T00:00:00"/>
    <x v="0"/>
    <s v="RK-19300"/>
    <s v="Ralph Kennedy"/>
    <s v="Consumer"/>
    <x v="2"/>
    <x v="2"/>
    <n v="831.2"/>
    <n v="83120"/>
    <n v="16624"/>
  </r>
  <r>
    <n v="1852"/>
    <s v="CA-2016-160472"/>
    <x v="603"/>
    <d v="2016-07-25T00:00:00"/>
    <x v="0"/>
    <s v="RK-19300"/>
    <s v="Ralph Kennedy"/>
    <s v="Consumer"/>
    <x v="2"/>
    <x v="1"/>
    <n v="26.4"/>
    <n v="2640"/>
    <n v="528"/>
  </r>
  <r>
    <n v="1853"/>
    <s v="CA-2016-160472"/>
    <x v="603"/>
    <d v="2016-07-25T00:00:00"/>
    <x v="0"/>
    <s v="RK-19300"/>
    <s v="Ralph Kennedy"/>
    <s v="Consumer"/>
    <x v="2"/>
    <x v="1"/>
    <n v="106.75"/>
    <n v="10675"/>
    <n v="2135"/>
  </r>
  <r>
    <n v="1854"/>
    <s v="CA-2016-160472"/>
    <x v="603"/>
    <d v="2016-07-25T00:00:00"/>
    <x v="0"/>
    <s v="RK-19300"/>
    <s v="Ralph Kennedy"/>
    <s v="Consumer"/>
    <x v="2"/>
    <x v="1"/>
    <n v="97.82"/>
    <n v="9782"/>
    <n v="1956.4"/>
  </r>
  <r>
    <n v="1855"/>
    <s v="CA-2016-160472"/>
    <x v="603"/>
    <d v="2016-07-25T00:00:00"/>
    <x v="0"/>
    <s v="RK-19300"/>
    <s v="Ralph Kennedy"/>
    <s v="Consumer"/>
    <x v="2"/>
    <x v="1"/>
    <n v="141.4"/>
    <n v="14140"/>
    <n v="2828"/>
  </r>
  <r>
    <n v="1856"/>
    <s v="CA-2015-114643"/>
    <x v="604"/>
    <d v="2015-06-17T00:00:00"/>
    <x v="1"/>
    <s v="FM-14215"/>
    <s v="Filia McAdams"/>
    <s v="Corporate"/>
    <x v="1"/>
    <x v="1"/>
    <n v="14.52"/>
    <n v="1452"/>
    <n v="290.40000000000003"/>
  </r>
  <r>
    <n v="1857"/>
    <s v="US-2018-158218"/>
    <x v="605"/>
    <d v="2018-05-15T00:00:00"/>
    <x v="0"/>
    <s v="AC-10420"/>
    <s v="Alyssa Crouse"/>
    <s v="Corporate"/>
    <x v="2"/>
    <x v="1"/>
    <n v="127.92"/>
    <n v="12792"/>
    <n v="2558.4"/>
  </r>
  <r>
    <n v="1858"/>
    <s v="US-2018-158218"/>
    <x v="605"/>
    <d v="2018-05-15T00:00:00"/>
    <x v="0"/>
    <s v="AC-10420"/>
    <s v="Alyssa Crouse"/>
    <s v="Corporate"/>
    <x v="2"/>
    <x v="1"/>
    <n v="34.24"/>
    <n v="3424"/>
    <n v="684.80000000000007"/>
  </r>
  <r>
    <n v="1859"/>
    <s v="CA-2016-121608"/>
    <x v="37"/>
    <d v="2016-09-05T00:00:00"/>
    <x v="2"/>
    <s v="JB-15400"/>
    <s v="Jennifer Braxton"/>
    <s v="Corporate"/>
    <x v="3"/>
    <x v="1"/>
    <n v="137.62"/>
    <n v="13762"/>
    <n v="2752.4"/>
  </r>
  <r>
    <n v="1860"/>
    <s v="CA-2016-121608"/>
    <x v="37"/>
    <d v="2016-09-05T00:00:00"/>
    <x v="2"/>
    <s v="JB-15400"/>
    <s v="Jennifer Braxton"/>
    <s v="Corporate"/>
    <x v="3"/>
    <x v="2"/>
    <n v="100.49"/>
    <n v="10049"/>
    <n v="2009.8000000000002"/>
  </r>
  <r>
    <n v="1861"/>
    <s v="US-2018-121251"/>
    <x v="606"/>
    <d v="2018-03-27T00:00:00"/>
    <x v="2"/>
    <s v="GM-14440"/>
    <s v="Gary McGarr"/>
    <s v="Consumer"/>
    <x v="3"/>
    <x v="0"/>
    <n v="257.56799999999998"/>
    <n v="25756.799999999999"/>
    <n v="5151.3600000000006"/>
  </r>
  <r>
    <n v="1862"/>
    <s v="US-2018-121251"/>
    <x v="606"/>
    <d v="2018-03-27T00:00:00"/>
    <x v="2"/>
    <s v="GM-14440"/>
    <s v="Gary McGarr"/>
    <s v="Consumer"/>
    <x v="3"/>
    <x v="2"/>
    <n v="119.96"/>
    <n v="11996"/>
    <n v="2399.2000000000003"/>
  </r>
  <r>
    <n v="1863"/>
    <s v="CA-2015-151078"/>
    <x v="607"/>
    <d v="2015-11-12T00:00:00"/>
    <x v="3"/>
    <s v="RF-19840"/>
    <s v="Roy FranzÃ¶sisch"/>
    <s v="Consumer"/>
    <x v="2"/>
    <x v="1"/>
    <n v="49.631999999999998"/>
    <n v="4963.2"/>
    <n v="992.64"/>
  </r>
  <r>
    <n v="1864"/>
    <s v="US-2017-100839"/>
    <x v="63"/>
    <d v="2017-10-17T00:00:00"/>
    <x v="1"/>
    <s v="NC-18625"/>
    <s v="Noah Childs"/>
    <s v="Corporate"/>
    <x v="1"/>
    <x v="0"/>
    <n v="727.45"/>
    <n v="72745"/>
    <n v="14549"/>
  </r>
  <r>
    <n v="1865"/>
    <s v="US-2017-100839"/>
    <x v="63"/>
    <d v="2017-10-17T00:00:00"/>
    <x v="1"/>
    <s v="NC-18625"/>
    <s v="Noah Childs"/>
    <s v="Corporate"/>
    <x v="1"/>
    <x v="0"/>
    <n v="24.96"/>
    <n v="2496"/>
    <n v="499.20000000000005"/>
  </r>
  <r>
    <n v="1866"/>
    <s v="US-2018-116659"/>
    <x v="105"/>
    <d v="2018-11-12T00:00:00"/>
    <x v="3"/>
    <s v="NG-18355"/>
    <s v="Nat Gilpin"/>
    <s v="Corporate"/>
    <x v="3"/>
    <x v="2"/>
    <n v="370.78199999999998"/>
    <n v="37078.199999999997"/>
    <n v="7415.6399999999994"/>
  </r>
  <r>
    <n v="1867"/>
    <s v="CA-2018-118857"/>
    <x v="4"/>
    <d v="2018-04-18T00:00:00"/>
    <x v="2"/>
    <s v="AH-10075"/>
    <s v="Adam Hart"/>
    <s v="Corporate"/>
    <x v="1"/>
    <x v="0"/>
    <n v="196.45"/>
    <n v="19645"/>
    <n v="3929"/>
  </r>
  <r>
    <n v="1868"/>
    <s v="CA-2016-127110"/>
    <x v="608"/>
    <d v="2016-07-01T00:00:00"/>
    <x v="1"/>
    <s v="CH-12070"/>
    <s v="Cathy Hwang"/>
    <s v="Home Office"/>
    <x v="3"/>
    <x v="1"/>
    <n v="31.103999999999999"/>
    <n v="3110.4"/>
    <n v="622.08000000000004"/>
  </r>
  <r>
    <n v="1869"/>
    <s v="CA-2016-127110"/>
    <x v="608"/>
    <d v="2016-07-01T00:00:00"/>
    <x v="1"/>
    <s v="CH-12070"/>
    <s v="Cathy Hwang"/>
    <s v="Home Office"/>
    <x v="3"/>
    <x v="1"/>
    <n v="78.256"/>
    <n v="7825.6"/>
    <n v="1565.1200000000001"/>
  </r>
  <r>
    <n v="1870"/>
    <s v="CA-2017-148201"/>
    <x v="370"/>
    <d v="2017-08-29T00:00:00"/>
    <x v="0"/>
    <s v="CC-12145"/>
    <s v="Charles Crestani"/>
    <s v="Consumer"/>
    <x v="1"/>
    <x v="1"/>
    <n v="6.48"/>
    <n v="648"/>
    <n v="129.6"/>
  </r>
  <r>
    <n v="1871"/>
    <s v="CA-2015-116932"/>
    <x v="609"/>
    <d v="2015-07-25T00:00:00"/>
    <x v="1"/>
    <s v="ME-18010"/>
    <s v="Michelle Ellison"/>
    <s v="Corporate"/>
    <x v="1"/>
    <x v="1"/>
    <n v="99.2"/>
    <n v="9920"/>
    <n v="1984"/>
  </r>
  <r>
    <n v="1872"/>
    <s v="CA-2015-116932"/>
    <x v="609"/>
    <d v="2015-07-25T00:00:00"/>
    <x v="1"/>
    <s v="ME-18010"/>
    <s v="Michelle Ellison"/>
    <s v="Corporate"/>
    <x v="1"/>
    <x v="0"/>
    <n v="801.56799999999998"/>
    <n v="80156.800000000003"/>
    <n v="16031.36"/>
  </r>
  <r>
    <n v="1873"/>
    <s v="CA-2015-116932"/>
    <x v="609"/>
    <d v="2015-07-25T00:00:00"/>
    <x v="1"/>
    <s v="ME-18010"/>
    <s v="Michelle Ellison"/>
    <s v="Corporate"/>
    <x v="1"/>
    <x v="0"/>
    <n v="272.84800000000001"/>
    <n v="27284.800000000003"/>
    <n v="5456.9600000000009"/>
  </r>
  <r>
    <n v="1874"/>
    <s v="CA-2018-142888"/>
    <x v="610"/>
    <d v="2018-11-25T00:00:00"/>
    <x v="1"/>
    <s v="BP-11230"/>
    <s v="Benjamin Patterson"/>
    <s v="Consumer"/>
    <x v="1"/>
    <x v="0"/>
    <n v="70.98"/>
    <n v="7098"/>
    <n v="1419.6000000000001"/>
  </r>
  <r>
    <n v="1875"/>
    <s v="CA-2015-147914"/>
    <x v="611"/>
    <d v="2015-06-09T00:00:00"/>
    <x v="1"/>
    <s v="MP-17470"/>
    <s v="Mark Packer"/>
    <s v="Home Office"/>
    <x v="3"/>
    <x v="1"/>
    <n v="16.224"/>
    <n v="1622.4"/>
    <n v="324.48"/>
  </r>
  <r>
    <n v="1876"/>
    <s v="US-2017-112977"/>
    <x v="612"/>
    <d v="2017-03-16T00:00:00"/>
    <x v="1"/>
    <s v="CJ-12010"/>
    <s v="Caroline Jumper"/>
    <s v="Consumer"/>
    <x v="3"/>
    <x v="0"/>
    <n v="176.78399999999999"/>
    <n v="17678.399999999998"/>
    <n v="3535.68"/>
  </r>
  <r>
    <n v="1877"/>
    <s v="CA-2018-112039"/>
    <x v="613"/>
    <d v="2018-03-29T00:00:00"/>
    <x v="1"/>
    <s v="JC-15775"/>
    <s v="John Castell"/>
    <s v="Consumer"/>
    <x v="2"/>
    <x v="2"/>
    <n v="470.37599999999998"/>
    <n v="47037.599999999999"/>
    <n v="9407.52"/>
  </r>
  <r>
    <n v="1878"/>
    <s v="CA-2018-118885"/>
    <x v="614"/>
    <d v="2019-01-02T00:00:00"/>
    <x v="1"/>
    <s v="JG-15160"/>
    <s v="James Galang"/>
    <s v="Consumer"/>
    <x v="1"/>
    <x v="0"/>
    <n v="393.56799999999998"/>
    <n v="39356.799999999996"/>
    <n v="7871.36"/>
  </r>
  <r>
    <n v="1879"/>
    <s v="CA-2018-118885"/>
    <x v="614"/>
    <d v="2019-01-02T00:00:00"/>
    <x v="1"/>
    <s v="JG-15160"/>
    <s v="James Galang"/>
    <s v="Consumer"/>
    <x v="1"/>
    <x v="2"/>
    <n v="302.37599999999998"/>
    <n v="30237.599999999999"/>
    <n v="6047.52"/>
  </r>
  <r>
    <n v="1880"/>
    <s v="US-2018-166611"/>
    <x v="615"/>
    <d v="2018-04-02T00:00:00"/>
    <x v="1"/>
    <s v="CK-12760"/>
    <s v="Cyma Kinney"/>
    <s v="Corporate"/>
    <x v="0"/>
    <x v="1"/>
    <n v="68.742000000000004"/>
    <n v="6874.2000000000007"/>
    <n v="1374.8400000000001"/>
  </r>
  <r>
    <n v="1881"/>
    <s v="CA-2016-109512"/>
    <x v="616"/>
    <d v="2016-03-05T00:00:00"/>
    <x v="3"/>
    <s v="LF-17185"/>
    <s v="Luke Foster"/>
    <s v="Consumer"/>
    <x v="3"/>
    <x v="1"/>
    <n v="29.34"/>
    <n v="2934"/>
    <n v="586.80000000000007"/>
  </r>
  <r>
    <n v="1882"/>
    <s v="CA-2016-109512"/>
    <x v="616"/>
    <d v="2016-03-05T00:00:00"/>
    <x v="3"/>
    <s v="LF-17185"/>
    <s v="Luke Foster"/>
    <s v="Consumer"/>
    <x v="3"/>
    <x v="0"/>
    <n v="383.60700000000003"/>
    <n v="38360.700000000004"/>
    <n v="7672.1400000000012"/>
  </r>
  <r>
    <n v="1883"/>
    <s v="CA-2016-109512"/>
    <x v="616"/>
    <d v="2016-03-05T00:00:00"/>
    <x v="3"/>
    <s v="LF-17185"/>
    <s v="Luke Foster"/>
    <s v="Consumer"/>
    <x v="3"/>
    <x v="1"/>
    <n v="563.4"/>
    <n v="56340"/>
    <n v="11268"/>
  </r>
  <r>
    <n v="1884"/>
    <s v="CA-2017-118570"/>
    <x v="373"/>
    <d v="2017-11-17T00:00:00"/>
    <x v="1"/>
    <s v="CC-12430"/>
    <s v="Chuck Clark"/>
    <s v="Home Office"/>
    <x v="3"/>
    <x v="1"/>
    <n v="217.05600000000001"/>
    <n v="21705.600000000002"/>
    <n v="4341.1200000000008"/>
  </r>
  <r>
    <n v="1885"/>
    <s v="CA-2018-154718"/>
    <x v="617"/>
    <d v="2018-01-23T00:00:00"/>
    <x v="0"/>
    <s v="DL-12865"/>
    <s v="Dan Lawera"/>
    <s v="Consumer"/>
    <x v="2"/>
    <x v="1"/>
    <n v="6"/>
    <n v="600"/>
    <n v="120"/>
  </r>
  <r>
    <n v="1886"/>
    <s v="CA-2017-147578"/>
    <x v="183"/>
    <d v="2017-04-26T00:00:00"/>
    <x v="0"/>
    <s v="PG-18895"/>
    <s v="Paul Gonzalez"/>
    <s v="Consumer"/>
    <x v="1"/>
    <x v="0"/>
    <n v="31.56"/>
    <n v="3156"/>
    <n v="631.20000000000005"/>
  </r>
  <r>
    <n v="1887"/>
    <s v="CA-2015-140165"/>
    <x v="8"/>
    <d v="2015-05-15T00:00:00"/>
    <x v="2"/>
    <s v="EH-14005"/>
    <s v="Erica Hernandez"/>
    <s v="Home Office"/>
    <x v="0"/>
    <x v="1"/>
    <n v="7.1040000000000001"/>
    <n v="710.4"/>
    <n v="142.08000000000001"/>
  </r>
  <r>
    <n v="1888"/>
    <s v="CA-2015-140165"/>
    <x v="8"/>
    <d v="2015-05-15T00:00:00"/>
    <x v="2"/>
    <s v="EH-14005"/>
    <s v="Erica Hernandez"/>
    <s v="Home Office"/>
    <x v="0"/>
    <x v="1"/>
    <n v="398.35199999999998"/>
    <n v="39835.199999999997"/>
    <n v="7967.04"/>
  </r>
  <r>
    <n v="1889"/>
    <s v="CA-2015-142587"/>
    <x v="618"/>
    <d v="2015-10-22T00:00:00"/>
    <x v="2"/>
    <s v="TB-21520"/>
    <s v="Tracy Blumstein"/>
    <s v="Consumer"/>
    <x v="3"/>
    <x v="1"/>
    <n v="121.792"/>
    <n v="12179.2"/>
    <n v="2435.84"/>
  </r>
  <r>
    <n v="1890"/>
    <s v="CA-2015-142587"/>
    <x v="618"/>
    <d v="2015-10-22T00:00:00"/>
    <x v="2"/>
    <s v="TB-21520"/>
    <s v="Tracy Blumstein"/>
    <s v="Consumer"/>
    <x v="3"/>
    <x v="0"/>
    <n v="409.59"/>
    <n v="40959"/>
    <n v="8191.8"/>
  </r>
  <r>
    <n v="1891"/>
    <s v="CA-2015-157623"/>
    <x v="619"/>
    <d v="2015-03-18T00:00:00"/>
    <x v="1"/>
    <s v="DK-13225"/>
    <s v="Dean Katz"/>
    <s v="Corporate"/>
    <x v="1"/>
    <x v="1"/>
    <n v="10.56"/>
    <n v="1056"/>
    <n v="211.20000000000002"/>
  </r>
  <r>
    <n v="1892"/>
    <s v="CA-2015-157623"/>
    <x v="619"/>
    <d v="2015-03-18T00:00:00"/>
    <x v="1"/>
    <s v="DK-13225"/>
    <s v="Dean Katz"/>
    <s v="Corporate"/>
    <x v="1"/>
    <x v="1"/>
    <n v="3.38"/>
    <n v="338"/>
    <n v="67.600000000000009"/>
  </r>
  <r>
    <n v="1893"/>
    <s v="CA-2018-145310"/>
    <x v="66"/>
    <d v="2018-12-24T00:00:00"/>
    <x v="0"/>
    <s v="JP-15520"/>
    <s v="Jeremy Pistek"/>
    <s v="Consumer"/>
    <x v="0"/>
    <x v="1"/>
    <n v="7.8239999999999998"/>
    <n v="782.4"/>
    <n v="156.48000000000002"/>
  </r>
  <r>
    <n v="1894"/>
    <s v="CA-2017-100083"/>
    <x v="390"/>
    <d v="2017-11-29T00:00:00"/>
    <x v="1"/>
    <s v="CD-11980"/>
    <s v="Carol Darley"/>
    <s v="Consumer"/>
    <x v="1"/>
    <x v="1"/>
    <n v="24.783999999999999"/>
    <n v="2478.4"/>
    <n v="495.68000000000006"/>
  </r>
  <r>
    <n v="1895"/>
    <s v="US-2018-108063"/>
    <x v="574"/>
    <d v="2018-12-05T00:00:00"/>
    <x v="2"/>
    <s v="AS-10090"/>
    <s v="Adam Shillingsburg"/>
    <s v="Consumer"/>
    <x v="0"/>
    <x v="1"/>
    <n v="34.65"/>
    <n v="3465"/>
    <n v="693"/>
  </r>
  <r>
    <n v="1896"/>
    <s v="CA-2016-109197"/>
    <x v="620"/>
    <d v="2017-01-04T00:00:00"/>
    <x v="1"/>
    <s v="JO-15280"/>
    <s v="Jas O'Carroll"/>
    <s v="Consumer"/>
    <x v="1"/>
    <x v="1"/>
    <n v="487.98399999999998"/>
    <n v="48798.400000000001"/>
    <n v="9759.68"/>
  </r>
  <r>
    <n v="1897"/>
    <s v="CA-2018-141789"/>
    <x v="621"/>
    <d v="2018-10-06T00:00:00"/>
    <x v="2"/>
    <s v="AC-10450"/>
    <s v="Amy Cox"/>
    <s v="Consumer"/>
    <x v="2"/>
    <x v="1"/>
    <n v="1793.98"/>
    <n v="179398"/>
    <n v="35879.599999999999"/>
  </r>
  <r>
    <n v="1898"/>
    <s v="CA-2015-169775"/>
    <x v="550"/>
    <d v="2015-09-02T00:00:00"/>
    <x v="0"/>
    <s v="RA-19945"/>
    <s v="Ryan Akin"/>
    <s v="Consumer"/>
    <x v="0"/>
    <x v="1"/>
    <n v="29.808"/>
    <n v="2980.8"/>
    <n v="596.16000000000008"/>
  </r>
  <r>
    <n v="1899"/>
    <s v="CA-2015-169775"/>
    <x v="550"/>
    <d v="2015-09-02T00:00:00"/>
    <x v="0"/>
    <s v="RA-19945"/>
    <s v="Ryan Akin"/>
    <s v="Consumer"/>
    <x v="0"/>
    <x v="1"/>
    <n v="505.17599999999999"/>
    <n v="50517.599999999999"/>
    <n v="10103.52"/>
  </r>
  <r>
    <n v="1900"/>
    <s v="CA-2015-169775"/>
    <x v="550"/>
    <d v="2015-09-02T00:00:00"/>
    <x v="0"/>
    <s v="RA-19945"/>
    <s v="Ryan Akin"/>
    <s v="Consumer"/>
    <x v="0"/>
    <x v="0"/>
    <n v="174.05850000000001"/>
    <n v="17405.850000000002"/>
    <n v="3481.1700000000005"/>
  </r>
  <r>
    <n v="1901"/>
    <s v="CA-2017-140543"/>
    <x v="622"/>
    <d v="2017-07-03T00:00:00"/>
    <x v="0"/>
    <s v="Co-12640"/>
    <s v="Corey-Lock"/>
    <s v="Consumer"/>
    <x v="0"/>
    <x v="1"/>
    <n v="191.88"/>
    <n v="19188"/>
    <n v="3837.6000000000004"/>
  </r>
  <r>
    <n v="1902"/>
    <s v="CA-2017-151141"/>
    <x v="623"/>
    <d v="2017-08-23T00:00:00"/>
    <x v="2"/>
    <s v="DW-13480"/>
    <s v="Dianna Wilson"/>
    <s v="Home Office"/>
    <x v="2"/>
    <x v="2"/>
    <n v="14.78"/>
    <n v="1478"/>
    <n v="295.60000000000002"/>
  </r>
  <r>
    <n v="1903"/>
    <s v="CA-2018-167094"/>
    <x v="208"/>
    <d v="2018-10-22T00:00:00"/>
    <x v="2"/>
    <s v="DK-12835"/>
    <s v="Damala Kotsonis"/>
    <s v="Corporate"/>
    <x v="1"/>
    <x v="1"/>
    <n v="5.1840000000000002"/>
    <n v="518.4"/>
    <n v="103.68"/>
  </r>
  <r>
    <n v="1904"/>
    <s v="CA-2018-167094"/>
    <x v="208"/>
    <d v="2018-10-22T00:00:00"/>
    <x v="2"/>
    <s v="DK-12835"/>
    <s v="Damala Kotsonis"/>
    <s v="Corporate"/>
    <x v="1"/>
    <x v="0"/>
    <n v="478.48"/>
    <n v="47848"/>
    <n v="9569.6"/>
  </r>
  <r>
    <n v="1905"/>
    <s v="CA-2018-167094"/>
    <x v="208"/>
    <d v="2018-10-22T00:00:00"/>
    <x v="2"/>
    <s v="DK-12835"/>
    <s v="Damala Kotsonis"/>
    <s v="Corporate"/>
    <x v="1"/>
    <x v="2"/>
    <n v="28.4"/>
    <n v="2840"/>
    <n v="568"/>
  </r>
  <r>
    <n v="1906"/>
    <s v="CA-2018-154410"/>
    <x v="208"/>
    <d v="2018-10-24T00:00:00"/>
    <x v="2"/>
    <s v="MD-17860"/>
    <s v="Michael Dominguez"/>
    <s v="Corporate"/>
    <x v="2"/>
    <x v="1"/>
    <n v="909.12"/>
    <n v="90912"/>
    <n v="18182.400000000001"/>
  </r>
  <r>
    <n v="1907"/>
    <s v="US-2017-150567"/>
    <x v="624"/>
    <d v="2017-05-21T00:00:00"/>
    <x v="1"/>
    <s v="RP-19855"/>
    <s v="Roy Phan"/>
    <s v="Corporate"/>
    <x v="0"/>
    <x v="1"/>
    <n v="2.952"/>
    <n v="295.2"/>
    <n v="59.04"/>
  </r>
  <r>
    <n v="1908"/>
    <s v="US-2017-150567"/>
    <x v="624"/>
    <d v="2017-05-21T00:00:00"/>
    <x v="1"/>
    <s v="RP-19855"/>
    <s v="Roy Phan"/>
    <s v="Corporate"/>
    <x v="0"/>
    <x v="1"/>
    <n v="27.018000000000001"/>
    <n v="2701.8"/>
    <n v="540.36"/>
  </r>
  <r>
    <n v="1909"/>
    <s v="CA-2016-157959"/>
    <x v="302"/>
    <d v="2016-02-04T00:00:00"/>
    <x v="2"/>
    <s v="RW-19540"/>
    <s v="Rick Wilson"/>
    <s v="Corporate"/>
    <x v="1"/>
    <x v="0"/>
    <n v="136.91999999999999"/>
    <n v="13691.999999999998"/>
    <n v="2738.3999999999996"/>
  </r>
  <r>
    <n v="1910"/>
    <s v="CA-2018-105886"/>
    <x v="404"/>
    <d v="2018-12-23T00:00:00"/>
    <x v="1"/>
    <s v="DB-13660"/>
    <s v="Duane Benoit"/>
    <s v="Consumer"/>
    <x v="3"/>
    <x v="0"/>
    <n v="18.96"/>
    <n v="1896"/>
    <n v="379.20000000000005"/>
  </r>
  <r>
    <n v="1911"/>
    <s v="CA-2017-105963"/>
    <x v="625"/>
    <d v="2017-11-22T00:00:00"/>
    <x v="1"/>
    <s v="SC-20770"/>
    <s v="Stewart Carmichael"/>
    <s v="Corporate"/>
    <x v="1"/>
    <x v="2"/>
    <n v="99.39"/>
    <n v="9939"/>
    <n v="1987.8000000000002"/>
  </r>
  <r>
    <n v="1912"/>
    <s v="CA-2018-121503"/>
    <x v="445"/>
    <d v="2018-07-06T00:00:00"/>
    <x v="0"/>
    <s v="FH-14275"/>
    <s v="Frank Hawley"/>
    <s v="Corporate"/>
    <x v="2"/>
    <x v="1"/>
    <n v="273.89600000000002"/>
    <n v="27389.600000000002"/>
    <n v="5477.920000000001"/>
  </r>
  <r>
    <n v="1913"/>
    <s v="CA-2018-121503"/>
    <x v="445"/>
    <d v="2018-07-06T00:00:00"/>
    <x v="0"/>
    <s v="FH-14275"/>
    <s v="Frank Hawley"/>
    <s v="Corporate"/>
    <x v="2"/>
    <x v="2"/>
    <n v="597.13199999999995"/>
    <n v="59713.2"/>
    <n v="11942.64"/>
  </r>
  <r>
    <n v="1914"/>
    <s v="CA-2015-103366"/>
    <x v="626"/>
    <d v="2015-01-17T00:00:00"/>
    <x v="2"/>
    <s v="EH-13990"/>
    <s v="Erica Hackney"/>
    <s v="Consumer"/>
    <x v="0"/>
    <x v="2"/>
    <n v="149.94999999999999"/>
    <n v="14994.999999999998"/>
    <n v="2999"/>
  </r>
  <r>
    <n v="1915"/>
    <s v="CA-2018-124597"/>
    <x v="504"/>
    <d v="2018-05-05T00:00:00"/>
    <x v="1"/>
    <s v="AS-10630"/>
    <s v="Ann Steele"/>
    <s v="Home Office"/>
    <x v="0"/>
    <x v="1"/>
    <n v="4.6079999999999997"/>
    <n v="460.79999999999995"/>
    <n v="92.16"/>
  </r>
  <r>
    <n v="1916"/>
    <s v="CA-2018-124597"/>
    <x v="504"/>
    <d v="2018-05-05T00:00:00"/>
    <x v="1"/>
    <s v="AS-10630"/>
    <s v="Ann Steele"/>
    <s v="Home Office"/>
    <x v="0"/>
    <x v="1"/>
    <n v="15.528"/>
    <n v="1552.8"/>
    <n v="310.56"/>
  </r>
  <r>
    <n v="1917"/>
    <s v="CA-2018-124597"/>
    <x v="504"/>
    <d v="2018-05-05T00:00:00"/>
    <x v="1"/>
    <s v="AS-10630"/>
    <s v="Ann Steele"/>
    <s v="Home Office"/>
    <x v="0"/>
    <x v="1"/>
    <n v="11.952"/>
    <n v="1195.2"/>
    <n v="239.04000000000002"/>
  </r>
  <r>
    <n v="1918"/>
    <s v="CA-2016-105634"/>
    <x v="627"/>
    <d v="2016-11-14T00:00:00"/>
    <x v="1"/>
    <s v="HA-14905"/>
    <s v="Helen Abelman"/>
    <s v="Consumer"/>
    <x v="3"/>
    <x v="1"/>
    <n v="11.65"/>
    <n v="1165"/>
    <n v="233"/>
  </r>
  <r>
    <n v="1919"/>
    <s v="CA-2016-123673"/>
    <x v="628"/>
    <d v="2016-11-01T00:00:00"/>
    <x v="0"/>
    <s v="CH-12070"/>
    <s v="Cathy Hwang"/>
    <s v="Home Office"/>
    <x v="2"/>
    <x v="2"/>
    <n v="299.89999999999998"/>
    <n v="29989.999999999996"/>
    <n v="5998"/>
  </r>
  <r>
    <n v="1920"/>
    <s v="US-2018-111423"/>
    <x v="629"/>
    <d v="2018-08-19T00:00:00"/>
    <x v="2"/>
    <s v="EH-13765"/>
    <s v="Edward Hooks"/>
    <s v="Corporate"/>
    <x v="3"/>
    <x v="1"/>
    <n v="895.92"/>
    <n v="89592"/>
    <n v="17918.400000000001"/>
  </r>
  <r>
    <n v="1921"/>
    <s v="US-2018-111423"/>
    <x v="629"/>
    <d v="2018-08-19T00:00:00"/>
    <x v="2"/>
    <s v="EH-13765"/>
    <s v="Edward Hooks"/>
    <s v="Corporate"/>
    <x v="3"/>
    <x v="0"/>
    <n v="462.56400000000002"/>
    <n v="46256.4"/>
    <n v="9251.2800000000007"/>
  </r>
  <r>
    <n v="1922"/>
    <s v="CA-2016-125178"/>
    <x v="292"/>
    <d v="2016-10-09T00:00:00"/>
    <x v="1"/>
    <s v="MZ-17515"/>
    <s v="Mary Zewe"/>
    <s v="Corporate"/>
    <x v="3"/>
    <x v="1"/>
    <n v="15.007999999999999"/>
    <n v="1500.8"/>
    <n v="300.16000000000003"/>
  </r>
  <r>
    <n v="1923"/>
    <s v="CA-2017-156685"/>
    <x v="630"/>
    <d v="2017-07-10T00:00:00"/>
    <x v="0"/>
    <s v="SC-20230"/>
    <s v="Scot Coram"/>
    <s v="Corporate"/>
    <x v="2"/>
    <x v="2"/>
    <n v="863.64"/>
    <n v="86364"/>
    <n v="17272.8"/>
  </r>
  <r>
    <n v="1924"/>
    <s v="CA-2017-156685"/>
    <x v="630"/>
    <d v="2017-07-10T00:00:00"/>
    <x v="0"/>
    <s v="SC-20230"/>
    <s v="Scot Coram"/>
    <s v="Corporate"/>
    <x v="2"/>
    <x v="1"/>
    <n v="47.616"/>
    <n v="4761.6000000000004"/>
    <n v="952.32000000000016"/>
  </r>
  <r>
    <n v="1925"/>
    <s v="CA-2018-126865"/>
    <x v="256"/>
    <d v="2018-12-07T00:00:00"/>
    <x v="0"/>
    <s v="NP-18325"/>
    <s v="Naresj Patel"/>
    <s v="Consumer"/>
    <x v="1"/>
    <x v="1"/>
    <n v="92.94"/>
    <n v="9294"/>
    <n v="1858.8000000000002"/>
  </r>
  <r>
    <n v="1926"/>
    <s v="CA-2018-102834"/>
    <x v="631"/>
    <d v="2018-03-13T00:00:00"/>
    <x v="1"/>
    <s v="LW-16990"/>
    <s v="Lindsay Williams"/>
    <s v="Corporate"/>
    <x v="1"/>
    <x v="2"/>
    <n v="199.98"/>
    <n v="19998"/>
    <n v="3999.6000000000004"/>
  </r>
  <r>
    <n v="1927"/>
    <s v="US-2017-139710"/>
    <x v="632"/>
    <d v="2017-06-15T00:00:00"/>
    <x v="1"/>
    <s v="GM-14680"/>
    <s v="Greg Matthias"/>
    <s v="Consumer"/>
    <x v="1"/>
    <x v="2"/>
    <n v="177.48"/>
    <n v="17748"/>
    <n v="3549.6000000000004"/>
  </r>
  <r>
    <n v="1928"/>
    <s v="CA-2018-121538"/>
    <x v="354"/>
    <d v="2018-12-01T00:00:00"/>
    <x v="2"/>
    <s v="RH-19495"/>
    <s v="Rick Hansen"/>
    <s v="Consumer"/>
    <x v="1"/>
    <x v="1"/>
    <n v="88.768000000000001"/>
    <n v="8876.7999999999993"/>
    <n v="1775.36"/>
  </r>
  <r>
    <n v="1929"/>
    <s v="US-2018-101539"/>
    <x v="633"/>
    <d v="2018-03-18T00:00:00"/>
    <x v="0"/>
    <s v="VM-21685"/>
    <s v="Valerie Mitchum"/>
    <s v="Home Office"/>
    <x v="1"/>
    <x v="1"/>
    <n v="6.48"/>
    <n v="648"/>
    <n v="129.6"/>
  </r>
  <r>
    <n v="1930"/>
    <s v="US-2018-101539"/>
    <x v="633"/>
    <d v="2018-03-18T00:00:00"/>
    <x v="0"/>
    <s v="VM-21685"/>
    <s v="Valerie Mitchum"/>
    <s v="Home Office"/>
    <x v="1"/>
    <x v="1"/>
    <n v="46.51"/>
    <n v="4651"/>
    <n v="930.2"/>
  </r>
  <r>
    <n v="1931"/>
    <s v="US-2018-101539"/>
    <x v="633"/>
    <d v="2018-03-18T00:00:00"/>
    <x v="0"/>
    <s v="VM-21685"/>
    <s v="Valerie Mitchum"/>
    <s v="Home Office"/>
    <x v="1"/>
    <x v="2"/>
    <n v="659.976"/>
    <n v="65997.600000000006"/>
    <n v="13199.520000000002"/>
  </r>
  <r>
    <n v="1932"/>
    <s v="CA-2017-152121"/>
    <x v="581"/>
    <d v="2017-11-29T00:00:00"/>
    <x v="0"/>
    <s v="CC-12670"/>
    <s v="Craig Carreira"/>
    <s v="Consumer"/>
    <x v="1"/>
    <x v="2"/>
    <n v="271.99200000000002"/>
    <n v="27199.200000000001"/>
    <n v="5439.84"/>
  </r>
  <r>
    <n v="1933"/>
    <s v="CA-2018-161200"/>
    <x v="634"/>
    <d v="2018-08-10T00:00:00"/>
    <x v="0"/>
    <s v="SV-20365"/>
    <s v="Seth Vernon"/>
    <s v="Consumer"/>
    <x v="0"/>
    <x v="0"/>
    <n v="145.74"/>
    <n v="14574"/>
    <n v="2914.8"/>
  </r>
  <r>
    <n v="1934"/>
    <s v="CA-2018-161200"/>
    <x v="634"/>
    <d v="2018-08-10T00:00:00"/>
    <x v="0"/>
    <s v="SV-20365"/>
    <s v="Seth Vernon"/>
    <s v="Consumer"/>
    <x v="0"/>
    <x v="0"/>
    <n v="15.4"/>
    <n v="1540"/>
    <n v="308"/>
  </r>
  <r>
    <n v="1935"/>
    <s v="CA-2018-101245"/>
    <x v="344"/>
    <d v="2018-12-03T00:00:00"/>
    <x v="1"/>
    <s v="LW-16990"/>
    <s v="Lindsay Williams"/>
    <s v="Corporate"/>
    <x v="1"/>
    <x v="1"/>
    <n v="244.55"/>
    <n v="24455"/>
    <n v="4891"/>
  </r>
  <r>
    <n v="1936"/>
    <s v="CA-2018-101245"/>
    <x v="344"/>
    <d v="2018-12-03T00:00:00"/>
    <x v="1"/>
    <s v="LW-16990"/>
    <s v="Lindsay Williams"/>
    <s v="Corporate"/>
    <x v="1"/>
    <x v="2"/>
    <n v="166.16"/>
    <n v="16616"/>
    <n v="3323.2000000000003"/>
  </r>
  <r>
    <n v="1937"/>
    <s v="CA-2016-141768"/>
    <x v="442"/>
    <d v="2016-05-27T00:00:00"/>
    <x v="0"/>
    <s v="NP-18685"/>
    <s v="Nora Pelletier"/>
    <s v="Home Office"/>
    <x v="1"/>
    <x v="0"/>
    <n v="14.73"/>
    <n v="1473"/>
    <n v="294.60000000000002"/>
  </r>
  <r>
    <n v="1938"/>
    <s v="CA-2017-112109"/>
    <x v="630"/>
    <d v="2017-07-12T00:00:00"/>
    <x v="1"/>
    <s v="JE-15715"/>
    <s v="Joe Elijah"/>
    <s v="Consumer"/>
    <x v="1"/>
    <x v="1"/>
    <n v="19.968"/>
    <n v="1996.8"/>
    <n v="399.36"/>
  </r>
  <r>
    <n v="1939"/>
    <s v="CA-2017-112109"/>
    <x v="630"/>
    <d v="2017-07-12T00:00:00"/>
    <x v="1"/>
    <s v="JE-15715"/>
    <s v="Joe Elijah"/>
    <s v="Consumer"/>
    <x v="1"/>
    <x v="1"/>
    <n v="33.488"/>
    <n v="3348.8"/>
    <n v="669.7600000000001"/>
  </r>
  <r>
    <n v="1940"/>
    <s v="CA-2017-112109"/>
    <x v="630"/>
    <d v="2017-07-12T00:00:00"/>
    <x v="1"/>
    <s v="JE-15715"/>
    <s v="Joe Elijah"/>
    <s v="Consumer"/>
    <x v="1"/>
    <x v="1"/>
    <n v="8.7360000000000007"/>
    <n v="873.6"/>
    <n v="174.72000000000003"/>
  </r>
  <r>
    <n v="1941"/>
    <s v="CA-2017-112109"/>
    <x v="630"/>
    <d v="2017-07-12T00:00:00"/>
    <x v="1"/>
    <s v="JE-15715"/>
    <s v="Joe Elijah"/>
    <s v="Consumer"/>
    <x v="1"/>
    <x v="0"/>
    <n v="662.88"/>
    <n v="66288"/>
    <n v="13257.6"/>
  </r>
  <r>
    <n v="1942"/>
    <s v="CA-2018-144064"/>
    <x v="635"/>
    <d v="2018-09-01T00:00:00"/>
    <x v="2"/>
    <s v="CP-12085"/>
    <s v="Cathy Prescott"/>
    <s v="Corporate"/>
    <x v="2"/>
    <x v="1"/>
    <n v="47.36"/>
    <n v="4736"/>
    <n v="947.2"/>
  </r>
  <r>
    <n v="1943"/>
    <s v="CA-2018-144064"/>
    <x v="635"/>
    <d v="2018-09-01T00:00:00"/>
    <x v="2"/>
    <s v="CP-12085"/>
    <s v="Cathy Prescott"/>
    <s v="Corporate"/>
    <x v="2"/>
    <x v="1"/>
    <n v="27.44"/>
    <n v="2744"/>
    <n v="548.80000000000007"/>
  </r>
  <r>
    <n v="1944"/>
    <s v="CA-2018-144064"/>
    <x v="635"/>
    <d v="2018-09-01T00:00:00"/>
    <x v="2"/>
    <s v="CP-12085"/>
    <s v="Cathy Prescott"/>
    <s v="Corporate"/>
    <x v="2"/>
    <x v="1"/>
    <n v="3.24"/>
    <n v="324"/>
    <n v="64.8"/>
  </r>
  <r>
    <n v="1945"/>
    <s v="CA-2017-108581"/>
    <x v="23"/>
    <d v="2017-06-26T00:00:00"/>
    <x v="1"/>
    <s v="EA-14035"/>
    <s v="Erin Ashbrook"/>
    <s v="Corporate"/>
    <x v="2"/>
    <x v="2"/>
    <n v="95.968000000000004"/>
    <n v="9596.8000000000011"/>
    <n v="1919.3600000000004"/>
  </r>
  <r>
    <n v="1946"/>
    <s v="CA-2017-108581"/>
    <x v="23"/>
    <d v="2017-06-26T00:00:00"/>
    <x v="1"/>
    <s v="EA-14035"/>
    <s v="Erin Ashbrook"/>
    <s v="Corporate"/>
    <x v="2"/>
    <x v="1"/>
    <n v="10.368"/>
    <n v="1036.8"/>
    <n v="207.36"/>
  </r>
  <r>
    <n v="1947"/>
    <s v="CA-2018-157987"/>
    <x v="264"/>
    <d v="2018-09-06T00:00:00"/>
    <x v="1"/>
    <s v="AC-10615"/>
    <s v="Ann Chong"/>
    <s v="Corporate"/>
    <x v="3"/>
    <x v="1"/>
    <n v="23.1"/>
    <n v="2310"/>
    <n v="462"/>
  </r>
  <r>
    <n v="1948"/>
    <s v="CA-2018-157987"/>
    <x v="264"/>
    <d v="2018-09-06T00:00:00"/>
    <x v="1"/>
    <s v="AC-10615"/>
    <s v="Ann Chong"/>
    <s v="Corporate"/>
    <x v="3"/>
    <x v="0"/>
    <n v="11.54"/>
    <n v="1154"/>
    <n v="230.8"/>
  </r>
  <r>
    <n v="1949"/>
    <s v="CA-2018-157987"/>
    <x v="264"/>
    <d v="2018-09-06T00:00:00"/>
    <x v="1"/>
    <s v="AC-10615"/>
    <s v="Ann Chong"/>
    <s v="Corporate"/>
    <x v="3"/>
    <x v="0"/>
    <n v="254.52600000000001"/>
    <n v="25452.600000000002"/>
    <n v="5090.5200000000004"/>
  </r>
  <r>
    <n v="1950"/>
    <s v="CA-2018-157987"/>
    <x v="264"/>
    <d v="2018-09-06T00:00:00"/>
    <x v="1"/>
    <s v="AC-10615"/>
    <s v="Ann Chong"/>
    <s v="Corporate"/>
    <x v="3"/>
    <x v="1"/>
    <n v="12.98"/>
    <n v="1298"/>
    <n v="259.60000000000002"/>
  </r>
  <r>
    <n v="1951"/>
    <s v="CA-2018-157987"/>
    <x v="264"/>
    <d v="2018-09-06T00:00:00"/>
    <x v="1"/>
    <s v="AC-10615"/>
    <s v="Ann Chong"/>
    <s v="Corporate"/>
    <x v="3"/>
    <x v="1"/>
    <n v="26.431999999999999"/>
    <n v="2643.2"/>
    <n v="528.64"/>
  </r>
  <r>
    <n v="1952"/>
    <s v="CA-2018-157987"/>
    <x v="264"/>
    <d v="2018-09-06T00:00:00"/>
    <x v="1"/>
    <s v="AC-10615"/>
    <s v="Ann Chong"/>
    <s v="Corporate"/>
    <x v="3"/>
    <x v="2"/>
    <n v="197.97"/>
    <n v="19797"/>
    <n v="3959.4"/>
  </r>
  <r>
    <n v="1953"/>
    <s v="CA-2018-157987"/>
    <x v="264"/>
    <d v="2018-09-06T00:00:00"/>
    <x v="1"/>
    <s v="AC-10615"/>
    <s v="Ann Chong"/>
    <s v="Corporate"/>
    <x v="3"/>
    <x v="1"/>
    <n v="18.899999999999999"/>
    <n v="1889.9999999999998"/>
    <n v="378"/>
  </r>
  <r>
    <n v="1954"/>
    <s v="CA-2018-157987"/>
    <x v="264"/>
    <d v="2018-09-06T00:00:00"/>
    <x v="1"/>
    <s v="AC-10615"/>
    <s v="Ann Chong"/>
    <s v="Corporate"/>
    <x v="3"/>
    <x v="0"/>
    <n v="1282.4100000000001"/>
    <n v="128241.00000000001"/>
    <n v="25648.200000000004"/>
  </r>
  <r>
    <n v="1955"/>
    <s v="CA-2018-157987"/>
    <x v="264"/>
    <d v="2018-09-06T00:00:00"/>
    <x v="1"/>
    <s v="AC-10615"/>
    <s v="Ann Chong"/>
    <s v="Corporate"/>
    <x v="3"/>
    <x v="1"/>
    <n v="4.92"/>
    <n v="492"/>
    <n v="98.4"/>
  </r>
  <r>
    <n v="1956"/>
    <s v="CA-2018-157987"/>
    <x v="264"/>
    <d v="2018-09-06T00:00:00"/>
    <x v="1"/>
    <s v="AC-10615"/>
    <s v="Ann Chong"/>
    <s v="Corporate"/>
    <x v="3"/>
    <x v="2"/>
    <n v="238"/>
    <n v="23800"/>
    <n v="4760"/>
  </r>
  <r>
    <n v="1957"/>
    <s v="CA-2018-157987"/>
    <x v="264"/>
    <d v="2018-09-06T00:00:00"/>
    <x v="1"/>
    <s v="AC-10615"/>
    <s v="Ann Chong"/>
    <s v="Corporate"/>
    <x v="3"/>
    <x v="2"/>
    <n v="167.97"/>
    <n v="16797"/>
    <n v="3359.4"/>
  </r>
  <r>
    <n v="1958"/>
    <s v="CA-2018-157987"/>
    <x v="264"/>
    <d v="2018-09-06T00:00:00"/>
    <x v="1"/>
    <s v="AC-10615"/>
    <s v="Ann Chong"/>
    <s v="Corporate"/>
    <x v="3"/>
    <x v="1"/>
    <n v="17.12"/>
    <n v="1712"/>
    <n v="342.40000000000003"/>
  </r>
  <r>
    <n v="1959"/>
    <s v="CA-2018-110905"/>
    <x v="18"/>
    <d v="2018-09-15T00:00:00"/>
    <x v="0"/>
    <s v="RW-19690"/>
    <s v="Robert Waldorf"/>
    <s v="Consumer"/>
    <x v="2"/>
    <x v="1"/>
    <n v="16.2"/>
    <n v="1620"/>
    <n v="324"/>
  </r>
  <r>
    <n v="1960"/>
    <s v="CA-2018-110905"/>
    <x v="18"/>
    <d v="2018-09-15T00:00:00"/>
    <x v="0"/>
    <s v="RW-19690"/>
    <s v="Robert Waldorf"/>
    <s v="Consumer"/>
    <x v="2"/>
    <x v="1"/>
    <n v="33.99"/>
    <n v="3399"/>
    <n v="679.80000000000007"/>
  </r>
  <r>
    <n v="1961"/>
    <s v="CA-2018-110905"/>
    <x v="18"/>
    <d v="2018-09-15T00:00:00"/>
    <x v="0"/>
    <s v="RW-19690"/>
    <s v="Robert Waldorf"/>
    <s v="Consumer"/>
    <x v="2"/>
    <x v="2"/>
    <n v="296.85000000000002"/>
    <n v="29685.000000000004"/>
    <n v="5937.0000000000009"/>
  </r>
  <r>
    <n v="1962"/>
    <s v="CA-2018-110905"/>
    <x v="18"/>
    <d v="2018-09-15T00:00:00"/>
    <x v="0"/>
    <s v="RW-19690"/>
    <s v="Robert Waldorf"/>
    <s v="Consumer"/>
    <x v="2"/>
    <x v="2"/>
    <n v="112.8"/>
    <n v="11280"/>
    <n v="2256"/>
  </r>
  <r>
    <n v="1963"/>
    <s v="CA-2018-110905"/>
    <x v="18"/>
    <d v="2018-09-15T00:00:00"/>
    <x v="0"/>
    <s v="RW-19690"/>
    <s v="Robert Waldorf"/>
    <s v="Consumer"/>
    <x v="2"/>
    <x v="1"/>
    <n v="13.71"/>
    <n v="1371"/>
    <n v="274.2"/>
  </r>
  <r>
    <n v="1964"/>
    <s v="CA-2018-110905"/>
    <x v="18"/>
    <d v="2018-09-15T00:00:00"/>
    <x v="0"/>
    <s v="RW-19690"/>
    <s v="Robert Waldorf"/>
    <s v="Consumer"/>
    <x v="2"/>
    <x v="1"/>
    <n v="24.9"/>
    <n v="2490"/>
    <n v="498"/>
  </r>
  <r>
    <n v="1965"/>
    <s v="CA-2018-110905"/>
    <x v="18"/>
    <d v="2018-09-15T00:00:00"/>
    <x v="0"/>
    <s v="RW-19690"/>
    <s v="Robert Waldorf"/>
    <s v="Consumer"/>
    <x v="2"/>
    <x v="1"/>
    <n v="286.29000000000002"/>
    <n v="28629.000000000004"/>
    <n v="5725.8000000000011"/>
  </r>
  <r>
    <n v="1966"/>
    <s v="CA-2018-110905"/>
    <x v="18"/>
    <d v="2018-09-15T00:00:00"/>
    <x v="0"/>
    <s v="RW-19690"/>
    <s v="Robert Waldorf"/>
    <s v="Consumer"/>
    <x v="2"/>
    <x v="1"/>
    <n v="24.18"/>
    <n v="2418"/>
    <n v="483.6"/>
  </r>
  <r>
    <n v="1967"/>
    <s v="CA-2018-165841"/>
    <x v="202"/>
    <d v="2018-12-28T00:00:00"/>
    <x v="1"/>
    <s v="DB-13210"/>
    <s v="Dean Braden"/>
    <s v="Consumer"/>
    <x v="3"/>
    <x v="2"/>
    <n v="281.97000000000003"/>
    <n v="28197.000000000004"/>
    <n v="5639.4000000000015"/>
  </r>
  <r>
    <n v="1968"/>
    <s v="CA-2018-165841"/>
    <x v="202"/>
    <d v="2018-12-28T00:00:00"/>
    <x v="1"/>
    <s v="DB-13210"/>
    <s v="Dean Braden"/>
    <s v="Consumer"/>
    <x v="3"/>
    <x v="1"/>
    <n v="69.5"/>
    <n v="6950"/>
    <n v="1390"/>
  </r>
  <r>
    <n v="1969"/>
    <s v="CA-2018-165841"/>
    <x v="202"/>
    <d v="2018-12-28T00:00:00"/>
    <x v="1"/>
    <s v="DB-13210"/>
    <s v="Dean Braden"/>
    <s v="Consumer"/>
    <x v="3"/>
    <x v="1"/>
    <n v="166.44"/>
    <n v="16644"/>
    <n v="3328.8"/>
  </r>
  <r>
    <n v="1970"/>
    <s v="CA-2018-117485"/>
    <x v="397"/>
    <d v="2018-09-29T00:00:00"/>
    <x v="1"/>
    <s v="BD-11320"/>
    <s v="Bill Donatelli"/>
    <s v="Consumer"/>
    <x v="2"/>
    <x v="2"/>
    <n v="291.95999999999998"/>
    <n v="29195.999999999996"/>
    <n v="5839.2"/>
  </r>
  <r>
    <n v="1971"/>
    <s v="CA-2018-140242"/>
    <x v="636"/>
    <d v="2018-05-11T00:00:00"/>
    <x v="1"/>
    <s v="ML-17755"/>
    <s v="Max Ludwig"/>
    <s v="Home Office"/>
    <x v="2"/>
    <x v="1"/>
    <n v="6.4080000000000004"/>
    <n v="640.80000000000007"/>
    <n v="128.16000000000003"/>
  </r>
  <r>
    <n v="1972"/>
    <s v="CA-2018-140242"/>
    <x v="636"/>
    <d v="2018-05-11T00:00:00"/>
    <x v="1"/>
    <s v="ML-17755"/>
    <s v="Max Ludwig"/>
    <s v="Home Office"/>
    <x v="2"/>
    <x v="2"/>
    <n v="408.74400000000003"/>
    <n v="40874.400000000001"/>
    <n v="8174.880000000001"/>
  </r>
  <r>
    <n v="1973"/>
    <s v="CA-2015-148950"/>
    <x v="637"/>
    <d v="2015-12-19T00:00:00"/>
    <x v="1"/>
    <s v="JD-16015"/>
    <s v="Joy Daniels"/>
    <s v="Consumer"/>
    <x v="2"/>
    <x v="1"/>
    <n v="5.1040000000000001"/>
    <n v="510.40000000000003"/>
    <n v="102.08000000000001"/>
  </r>
  <r>
    <n v="1974"/>
    <s v="CA-2015-148950"/>
    <x v="637"/>
    <d v="2015-12-19T00:00:00"/>
    <x v="1"/>
    <s v="JD-16015"/>
    <s v="Joy Daniels"/>
    <s v="Consumer"/>
    <x v="2"/>
    <x v="1"/>
    <n v="2.8959999999999999"/>
    <n v="289.59999999999997"/>
    <n v="57.919999999999995"/>
  </r>
  <r>
    <n v="1975"/>
    <s v="CA-2015-148950"/>
    <x v="637"/>
    <d v="2015-12-19T00:00:00"/>
    <x v="1"/>
    <s v="JD-16015"/>
    <s v="Joy Daniels"/>
    <s v="Consumer"/>
    <x v="2"/>
    <x v="2"/>
    <n v="35.015999999999998"/>
    <n v="3501.6"/>
    <n v="700.32"/>
  </r>
  <r>
    <n v="1976"/>
    <s v="CA-2015-110408"/>
    <x v="638"/>
    <d v="2015-10-20T00:00:00"/>
    <x v="0"/>
    <s v="AS-10225"/>
    <s v="Alan Schoenberger"/>
    <s v="Corporate"/>
    <x v="0"/>
    <x v="1"/>
    <n v="275.97000000000003"/>
    <n v="27597.000000000004"/>
    <n v="5519.4000000000015"/>
  </r>
  <r>
    <n v="1977"/>
    <s v="CA-2015-110408"/>
    <x v="638"/>
    <d v="2015-10-20T00:00:00"/>
    <x v="0"/>
    <s v="AS-10225"/>
    <s v="Alan Schoenberger"/>
    <s v="Corporate"/>
    <x v="0"/>
    <x v="2"/>
    <n v="1394.95"/>
    <n v="139495"/>
    <n v="27899"/>
  </r>
  <r>
    <n v="1978"/>
    <s v="CA-2015-110408"/>
    <x v="638"/>
    <d v="2015-10-20T00:00:00"/>
    <x v="0"/>
    <s v="AS-10225"/>
    <s v="Alan Schoenberger"/>
    <s v="Corporate"/>
    <x v="0"/>
    <x v="0"/>
    <n v="545.88"/>
    <n v="54588"/>
    <n v="10917.6"/>
  </r>
  <r>
    <n v="1979"/>
    <s v="CA-2016-109939"/>
    <x v="412"/>
    <d v="2016-05-12T00:00:00"/>
    <x v="1"/>
    <s v="AA-10375"/>
    <s v="Allen Armold"/>
    <s v="Consumer"/>
    <x v="1"/>
    <x v="1"/>
    <n v="5.2480000000000002"/>
    <n v="524.80000000000007"/>
    <n v="104.96000000000002"/>
  </r>
  <r>
    <n v="1980"/>
    <s v="CA-2017-112669"/>
    <x v="167"/>
    <d v="2017-04-14T00:00:00"/>
    <x v="3"/>
    <s v="KT-16465"/>
    <s v="Kean Takahito"/>
    <s v="Consumer"/>
    <x v="1"/>
    <x v="0"/>
    <n v="933.53599999999994"/>
    <n v="93353.599999999991"/>
    <n v="18670.719999999998"/>
  </r>
  <r>
    <n v="1981"/>
    <s v="CA-2017-112669"/>
    <x v="167"/>
    <d v="2017-04-14T00:00:00"/>
    <x v="3"/>
    <s v="KT-16465"/>
    <s v="Kean Takahito"/>
    <s v="Consumer"/>
    <x v="1"/>
    <x v="1"/>
    <n v="42.975999999999999"/>
    <n v="4297.6000000000004"/>
    <n v="859.5200000000001"/>
  </r>
  <r>
    <n v="1982"/>
    <s v="CA-2016-119592"/>
    <x v="639"/>
    <d v="2016-12-16T00:00:00"/>
    <x v="0"/>
    <s v="MM-18280"/>
    <s v="Muhammed MacIntyre"/>
    <s v="Corporate"/>
    <x v="0"/>
    <x v="1"/>
    <n v="3.76"/>
    <n v="376"/>
    <n v="75.2"/>
  </r>
  <r>
    <n v="1983"/>
    <s v="CA-2015-122749"/>
    <x v="640"/>
    <d v="2015-12-09T00:00:00"/>
    <x v="1"/>
    <s v="NG-18430"/>
    <s v="Nathan Gelder"/>
    <s v="Consumer"/>
    <x v="2"/>
    <x v="2"/>
    <n v="479.96"/>
    <n v="47996"/>
    <n v="9599.2000000000007"/>
  </r>
  <r>
    <n v="1984"/>
    <s v="CA-2015-164721"/>
    <x v="641"/>
    <d v="2015-11-27T00:00:00"/>
    <x v="0"/>
    <s v="LW-16825"/>
    <s v="Laurel Workman"/>
    <s v="Corporate"/>
    <x v="1"/>
    <x v="1"/>
    <n v="320.88"/>
    <n v="32088"/>
    <n v="6417.6"/>
  </r>
  <r>
    <n v="1985"/>
    <s v="CA-2015-164721"/>
    <x v="641"/>
    <d v="2015-11-27T00:00:00"/>
    <x v="0"/>
    <s v="LW-16825"/>
    <s v="Laurel Workman"/>
    <s v="Corporate"/>
    <x v="1"/>
    <x v="0"/>
    <n v="23.88"/>
    <n v="2388"/>
    <n v="477.6"/>
  </r>
  <r>
    <n v="1986"/>
    <s v="CA-2015-164721"/>
    <x v="641"/>
    <d v="2015-11-27T00:00:00"/>
    <x v="0"/>
    <s v="LW-16825"/>
    <s v="Laurel Workman"/>
    <s v="Corporate"/>
    <x v="1"/>
    <x v="1"/>
    <n v="26.76"/>
    <n v="2676"/>
    <n v="535.20000000000005"/>
  </r>
  <r>
    <n v="1987"/>
    <s v="CA-2017-147417"/>
    <x v="197"/>
    <d v="2017-07-27T00:00:00"/>
    <x v="2"/>
    <s v="CB-12415"/>
    <s v="Christy Brittain"/>
    <s v="Consumer"/>
    <x v="3"/>
    <x v="2"/>
    <n v="1439.9760000000001"/>
    <n v="143997.6"/>
    <n v="28799.520000000004"/>
  </r>
  <r>
    <n v="1988"/>
    <s v="CA-2016-127509"/>
    <x v="529"/>
    <d v="2016-11-13T00:00:00"/>
    <x v="1"/>
    <s v="AS-10090"/>
    <s v="Adam Shillingsburg"/>
    <s v="Consumer"/>
    <x v="2"/>
    <x v="1"/>
    <n v="17.22"/>
    <n v="1722"/>
    <n v="344.40000000000003"/>
  </r>
  <r>
    <n v="1989"/>
    <s v="CA-2016-127509"/>
    <x v="529"/>
    <d v="2016-11-13T00:00:00"/>
    <x v="1"/>
    <s v="AS-10090"/>
    <s v="Adam Shillingsburg"/>
    <s v="Consumer"/>
    <x v="2"/>
    <x v="0"/>
    <n v="1024.3800000000001"/>
    <n v="102438.00000000001"/>
    <n v="20487.600000000006"/>
  </r>
  <r>
    <n v="1990"/>
    <s v="CA-2016-127509"/>
    <x v="529"/>
    <d v="2016-11-13T00:00:00"/>
    <x v="1"/>
    <s v="AS-10090"/>
    <s v="Adam Shillingsburg"/>
    <s v="Consumer"/>
    <x v="2"/>
    <x v="1"/>
    <n v="26.22"/>
    <n v="2622"/>
    <n v="524.4"/>
  </r>
  <r>
    <n v="1991"/>
    <s v="CA-2016-127509"/>
    <x v="529"/>
    <d v="2016-11-13T00:00:00"/>
    <x v="1"/>
    <s v="AS-10090"/>
    <s v="Adam Shillingsburg"/>
    <s v="Consumer"/>
    <x v="2"/>
    <x v="1"/>
    <n v="17.34"/>
    <n v="1734"/>
    <n v="346.8"/>
  </r>
  <r>
    <n v="1992"/>
    <s v="CA-2018-111374"/>
    <x v="642"/>
    <d v="2018-02-28T00:00:00"/>
    <x v="1"/>
    <s v="CB-12415"/>
    <s v="Christy Brittain"/>
    <s v="Consumer"/>
    <x v="3"/>
    <x v="1"/>
    <n v="4.9560000000000004"/>
    <n v="495.6"/>
    <n v="99.12"/>
  </r>
  <r>
    <n v="1993"/>
    <s v="CA-2018-133648"/>
    <x v="643"/>
    <d v="2018-07-02T00:00:00"/>
    <x v="1"/>
    <s v="ML-17755"/>
    <s v="Max Ludwig"/>
    <s v="Home Office"/>
    <x v="1"/>
    <x v="1"/>
    <n v="71.040000000000006"/>
    <n v="7104.0000000000009"/>
    <n v="1420.8000000000002"/>
  </r>
  <r>
    <n v="1994"/>
    <s v="CA-2018-133648"/>
    <x v="643"/>
    <d v="2018-07-02T00:00:00"/>
    <x v="1"/>
    <s v="ML-17755"/>
    <s v="Max Ludwig"/>
    <s v="Home Office"/>
    <x v="1"/>
    <x v="1"/>
    <n v="5.3440000000000003"/>
    <n v="534.4"/>
    <n v="106.88"/>
  </r>
  <r>
    <n v="1995"/>
    <s v="CA-2018-133648"/>
    <x v="643"/>
    <d v="2018-07-02T00:00:00"/>
    <x v="1"/>
    <s v="ML-17755"/>
    <s v="Max Ludwig"/>
    <s v="Home Office"/>
    <x v="1"/>
    <x v="1"/>
    <n v="11.304"/>
    <n v="1130.4000000000001"/>
    <n v="226.08000000000004"/>
  </r>
  <r>
    <n v="1996"/>
    <s v="US-2018-147221"/>
    <x v="574"/>
    <d v="2018-12-04T00:00:00"/>
    <x v="0"/>
    <s v="JS-16030"/>
    <s v="Joy Smith"/>
    <s v="Consumer"/>
    <x v="2"/>
    <x v="1"/>
    <n v="294.62"/>
    <n v="29462"/>
    <n v="5892.4000000000005"/>
  </r>
  <r>
    <n v="1997"/>
    <s v="US-2018-147221"/>
    <x v="574"/>
    <d v="2018-12-04T00:00:00"/>
    <x v="0"/>
    <s v="JS-16030"/>
    <s v="Joy Smith"/>
    <s v="Consumer"/>
    <x v="2"/>
    <x v="0"/>
    <n v="8.7520000000000007"/>
    <n v="875.2"/>
    <n v="175.04000000000002"/>
  </r>
  <r>
    <n v="1998"/>
    <s v="CA-2015-131905"/>
    <x v="644"/>
    <d v="2015-02-09T00:00:00"/>
    <x v="2"/>
    <s v="ND-18460"/>
    <s v="Neil Ducich"/>
    <s v="Corporate"/>
    <x v="0"/>
    <x v="1"/>
    <n v="15"/>
    <n v="1500"/>
    <n v="300"/>
  </r>
  <r>
    <n v="1999"/>
    <s v="CA-2015-131905"/>
    <x v="644"/>
    <d v="2015-02-09T00:00:00"/>
    <x v="2"/>
    <s v="ND-18460"/>
    <s v="Neil Ducich"/>
    <s v="Corporate"/>
    <x v="0"/>
    <x v="2"/>
    <n v="161.61000000000001"/>
    <n v="16161.000000000002"/>
    <n v="3232.2000000000007"/>
  </r>
  <r>
    <n v="2000"/>
    <s v="CA-2015-131905"/>
    <x v="644"/>
    <d v="2015-02-09T00:00:00"/>
    <x v="2"/>
    <s v="ND-18460"/>
    <s v="Neil Ducich"/>
    <s v="Corporate"/>
    <x v="0"/>
    <x v="2"/>
    <n v="144.94999999999999"/>
    <n v="14494.999999999998"/>
    <n v="28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44709-58A7-40EA-BA3E-ABFB084A3D7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7" firstHeaderRow="1" firstDataRow="1" firstDataCol="1"/>
  <pivotFields count="16">
    <pivotField showAll="0"/>
    <pivotField showAll="0"/>
    <pivotField numFmtId="14" showAll="0">
      <items count="646">
        <item x="277"/>
        <item x="576"/>
        <item x="232"/>
        <item x="320"/>
        <item x="269"/>
        <item x="286"/>
        <item x="626"/>
        <item x="360"/>
        <item x="407"/>
        <item x="215"/>
        <item x="563"/>
        <item x="511"/>
        <item x="519"/>
        <item x="644"/>
        <item x="315"/>
        <item x="181"/>
        <item x="456"/>
        <item x="72"/>
        <item x="223"/>
        <item x="530"/>
        <item x="418"/>
        <item x="518"/>
        <item x="619"/>
        <item x="234"/>
        <item x="461"/>
        <item x="90"/>
        <item x="579"/>
        <item x="470"/>
        <item x="527"/>
        <item x="267"/>
        <item x="322"/>
        <item x="138"/>
        <item x="164"/>
        <item x="419"/>
        <item x="488"/>
        <item x="573"/>
        <item x="582"/>
        <item x="333"/>
        <item x="523"/>
        <item x="417"/>
        <item x="457"/>
        <item x="309"/>
        <item x="218"/>
        <item x="552"/>
        <item x="8"/>
        <item x="287"/>
        <item x="598"/>
        <item x="371"/>
        <item x="235"/>
        <item x="594"/>
        <item x="542"/>
        <item x="279"/>
        <item x="106"/>
        <item x="270"/>
        <item x="561"/>
        <item x="611"/>
        <item x="571"/>
        <item x="159"/>
        <item x="3"/>
        <item x="604"/>
        <item x="345"/>
        <item x="261"/>
        <item x="169"/>
        <item x="402"/>
        <item x="307"/>
        <item x="290"/>
        <item x="479"/>
        <item x="268"/>
        <item x="260"/>
        <item x="522"/>
        <item x="384"/>
        <item x="136"/>
        <item x="609"/>
        <item x="192"/>
        <item x="149"/>
        <item x="601"/>
        <item x="93"/>
        <item x="472"/>
        <item x="79"/>
        <item x="233"/>
        <item x="128"/>
        <item x="430"/>
        <item x="559"/>
        <item x="55"/>
        <item x="86"/>
        <item x="9"/>
        <item x="550"/>
        <item x="416"/>
        <item x="557"/>
        <item x="78"/>
        <item x="340"/>
        <item x="171"/>
        <item x="103"/>
        <item x="80"/>
        <item x="328"/>
        <item x="111"/>
        <item x="59"/>
        <item x="158"/>
        <item x="358"/>
        <item x="146"/>
        <item x="467"/>
        <item x="127"/>
        <item x="450"/>
        <item x="411"/>
        <item x="587"/>
        <item x="462"/>
        <item x="191"/>
        <item x="273"/>
        <item x="36"/>
        <item x="303"/>
        <item x="638"/>
        <item x="538"/>
        <item x="22"/>
        <item x="618"/>
        <item x="68"/>
        <item x="194"/>
        <item x="301"/>
        <item x="130"/>
        <item x="187"/>
        <item x="7"/>
        <item x="607"/>
        <item x="84"/>
        <item x="533"/>
        <item x="156"/>
        <item x="641"/>
        <item x="35"/>
        <item x="501"/>
        <item x="503"/>
        <item x="588"/>
        <item x="266"/>
        <item x="640"/>
        <item x="29"/>
        <item x="589"/>
        <item x="337"/>
        <item x="325"/>
        <item x="432"/>
        <item x="637"/>
        <item x="534"/>
        <item x="506"/>
        <item x="174"/>
        <item x="414"/>
        <item x="163"/>
        <item x="58"/>
        <item x="422"/>
        <item x="129"/>
        <item x="282"/>
        <item x="125"/>
        <item x="520"/>
        <item x="98"/>
        <item x="553"/>
        <item x="184"/>
        <item x="564"/>
        <item x="43"/>
        <item x="302"/>
        <item x="525"/>
        <item x="285"/>
        <item x="97"/>
        <item x="586"/>
        <item x="102"/>
        <item x="56"/>
        <item x="616"/>
        <item x="366"/>
        <item x="199"/>
        <item x="531"/>
        <item x="305"/>
        <item x="204"/>
        <item x="391"/>
        <item x="539"/>
        <item x="514"/>
        <item x="262"/>
        <item x="368"/>
        <item x="388"/>
        <item x="57"/>
        <item x="265"/>
        <item x="347"/>
        <item x="392"/>
        <item x="24"/>
        <item x="334"/>
        <item x="33"/>
        <item x="381"/>
        <item x="152"/>
        <item x="28"/>
        <item x="489"/>
        <item x="124"/>
        <item x="412"/>
        <item x="263"/>
        <item x="495"/>
        <item x="293"/>
        <item x="442"/>
        <item x="71"/>
        <item x="352"/>
        <item x="70"/>
        <item x="593"/>
        <item x="385"/>
        <item x="451"/>
        <item x="382"/>
        <item x="137"/>
        <item x="537"/>
        <item x="608"/>
        <item x="153"/>
        <item x="230"/>
        <item x="433"/>
        <item x="380"/>
        <item x="584"/>
        <item x="562"/>
        <item x="490"/>
        <item x="603"/>
        <item x="395"/>
        <item x="353"/>
        <item x="117"/>
        <item x="374"/>
        <item x="509"/>
        <item x="101"/>
        <item x="544"/>
        <item x="493"/>
        <item x="291"/>
        <item x="421"/>
        <item x="252"/>
        <item x="375"/>
        <item x="284"/>
        <item x="135"/>
        <item x="37"/>
        <item x="406"/>
        <item x="577"/>
        <item x="67"/>
        <item x="229"/>
        <item x="471"/>
        <item x="426"/>
        <item x="14"/>
        <item x="227"/>
        <item x="444"/>
        <item x="481"/>
        <item x="357"/>
        <item x="496"/>
        <item x="12"/>
        <item x="120"/>
        <item x="486"/>
        <item x="292"/>
        <item x="242"/>
        <item x="348"/>
        <item x="330"/>
        <item x="2"/>
        <item x="88"/>
        <item x="313"/>
        <item x="52"/>
        <item x="324"/>
        <item x="420"/>
        <item x="372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50"/>
        <item x="219"/>
        <item x="547"/>
        <item x="312"/>
        <item x="82"/>
        <item x="6"/>
        <item x="521"/>
        <item x="27"/>
        <item x="154"/>
        <item x="109"/>
        <item x="239"/>
        <item x="494"/>
        <item x="155"/>
        <item x="401"/>
        <item x="214"/>
        <item x="575"/>
        <item x="364"/>
        <item x="555"/>
        <item x="295"/>
        <item x="350"/>
        <item x="639"/>
        <item x="83"/>
        <item x="217"/>
        <item x="546"/>
        <item x="139"/>
        <item x="379"/>
        <item x="100"/>
        <item x="207"/>
        <item x="17"/>
        <item x="75"/>
        <item x="620"/>
        <item x="319"/>
        <item x="383"/>
        <item x="13"/>
        <item x="327"/>
        <item x="115"/>
        <item x="473"/>
        <item x="569"/>
        <item x="597"/>
        <item x="592"/>
        <item x="271"/>
        <item x="431"/>
        <item x="595"/>
        <item x="317"/>
        <item x="535"/>
        <item x="398"/>
        <item x="346"/>
        <item x="311"/>
        <item x="387"/>
        <item x="612"/>
        <item x="21"/>
        <item x="299"/>
        <item x="69"/>
        <item x="560"/>
        <item x="543"/>
        <item x="196"/>
        <item x="231"/>
        <item x="554"/>
        <item x="253"/>
        <item x="463"/>
        <item x="452"/>
        <item x="178"/>
        <item x="41"/>
        <item x="281"/>
        <item x="143"/>
        <item x="526"/>
        <item x="342"/>
        <item x="408"/>
        <item x="167"/>
        <item x="173"/>
        <item x="475"/>
        <item x="438"/>
        <item x="183"/>
        <item x="131"/>
        <item x="423"/>
        <item x="134"/>
        <item x="236"/>
        <item x="567"/>
        <item x="440"/>
        <item x="465"/>
        <item x="541"/>
        <item x="195"/>
        <item x="74"/>
        <item x="536"/>
        <item x="458"/>
        <item x="624"/>
        <item x="556"/>
        <item x="288"/>
        <item x="244"/>
        <item x="206"/>
        <item x="454"/>
        <item x="439"/>
        <item x="316"/>
        <item x="211"/>
        <item x="198"/>
        <item x="30"/>
        <item x="410"/>
        <item x="112"/>
        <item x="632"/>
        <item x="224"/>
        <item x="1"/>
        <item x="403"/>
        <item x="26"/>
        <item x="351"/>
        <item x="23"/>
        <item x="190"/>
        <item x="622"/>
        <item x="415"/>
        <item x="274"/>
        <item x="630"/>
        <item x="478"/>
        <item x="212"/>
        <item x="188"/>
        <item x="216"/>
        <item x="87"/>
        <item x="19"/>
        <item x="427"/>
        <item x="405"/>
        <item x="310"/>
        <item x="197"/>
        <item x="578"/>
        <item x="590"/>
        <item x="399"/>
        <item x="572"/>
        <item x="243"/>
        <item x="298"/>
        <item x="623"/>
        <item x="250"/>
        <item x="370"/>
        <item x="278"/>
        <item x="48"/>
        <item x="133"/>
        <item x="142"/>
        <item x="476"/>
        <item x="323"/>
        <item x="64"/>
        <item x="47"/>
        <item x="162"/>
        <item x="369"/>
        <item x="545"/>
        <item x="108"/>
        <item x="126"/>
        <item x="306"/>
        <item x="42"/>
        <item x="31"/>
        <item x="251"/>
        <item x="446"/>
        <item x="477"/>
        <item x="182"/>
        <item x="150"/>
        <item x="321"/>
        <item x="393"/>
        <item x="339"/>
        <item x="63"/>
        <item x="500"/>
        <item x="508"/>
        <item x="201"/>
        <item x="147"/>
        <item x="332"/>
        <item x="248"/>
        <item x="189"/>
        <item x="99"/>
        <item x="517"/>
        <item x="474"/>
        <item x="54"/>
        <item x="254"/>
        <item x="61"/>
        <item x="77"/>
        <item x="0"/>
        <item x="338"/>
        <item x="583"/>
        <item x="396"/>
        <item x="373"/>
        <item x="625"/>
        <item x="76"/>
        <item x="258"/>
        <item x="73"/>
        <item x="441"/>
        <item x="390"/>
        <item x="491"/>
        <item x="581"/>
        <item x="85"/>
        <item x="49"/>
        <item x="499"/>
        <item x="275"/>
        <item x="429"/>
        <item x="5"/>
        <item x="409"/>
        <item x="16"/>
        <item x="10"/>
        <item x="107"/>
        <item x="25"/>
        <item x="180"/>
        <item x="272"/>
        <item x="186"/>
        <item x="122"/>
        <item x="596"/>
        <item x="443"/>
        <item x="435"/>
        <item x="591"/>
        <item x="482"/>
        <item x="413"/>
        <item x="314"/>
        <item x="460"/>
        <item x="363"/>
        <item x="602"/>
        <item x="424"/>
        <item x="617"/>
        <item x="176"/>
        <item x="276"/>
        <item x="203"/>
        <item x="205"/>
        <item x="480"/>
        <item x="289"/>
        <item x="62"/>
        <item x="447"/>
        <item x="516"/>
        <item x="512"/>
        <item x="600"/>
        <item x="297"/>
        <item x="642"/>
        <item x="425"/>
        <item x="580"/>
        <item x="448"/>
        <item x="168"/>
        <item x="469"/>
        <item x="144"/>
        <item x="631"/>
        <item x="434"/>
        <item x="633"/>
        <item x="294"/>
        <item x="257"/>
        <item x="498"/>
        <item x="177"/>
        <item x="613"/>
        <item x="606"/>
        <item x="615"/>
        <item x="185"/>
        <item x="459"/>
        <item x="355"/>
        <item x="104"/>
        <item x="359"/>
        <item x="318"/>
        <item x="483"/>
        <item x="349"/>
        <item x="4"/>
        <item x="513"/>
        <item x="81"/>
        <item x="300"/>
        <item x="558"/>
        <item x="466"/>
        <item x="568"/>
        <item x="504"/>
        <item x="464"/>
        <item x="636"/>
        <item x="540"/>
        <item x="605"/>
        <item x="304"/>
        <item x="356"/>
        <item x="240"/>
        <item x="367"/>
        <item x="39"/>
        <item x="148"/>
        <item x="455"/>
        <item x="95"/>
        <item x="400"/>
        <item x="110"/>
        <item x="255"/>
        <item x="193"/>
        <item x="532"/>
        <item x="492"/>
        <item x="487"/>
        <item x="140"/>
        <item x="114"/>
        <item x="46"/>
        <item x="249"/>
        <item x="308"/>
        <item x="548"/>
        <item x="92"/>
        <item x="643"/>
        <item x="335"/>
        <item x="222"/>
        <item x="160"/>
        <item x="445"/>
        <item x="91"/>
        <item x="437"/>
        <item x="141"/>
        <item x="362"/>
        <item x="497"/>
        <item x="11"/>
        <item x="228"/>
        <item x="246"/>
        <item x="283"/>
        <item x="570"/>
        <item x="245"/>
        <item x="378"/>
        <item x="485"/>
        <item x="634"/>
        <item x="629"/>
        <item x="238"/>
        <item x="170"/>
        <item x="326"/>
        <item x="151"/>
        <item x="635"/>
        <item x="515"/>
        <item x="264"/>
        <item x="213"/>
        <item x="507"/>
        <item x="528"/>
        <item x="210"/>
        <item x="565"/>
        <item x="428"/>
        <item x="18"/>
        <item x="220"/>
        <item x="510"/>
        <item x="32"/>
        <item x="175"/>
        <item x="118"/>
        <item x="65"/>
        <item x="20"/>
        <item x="296"/>
        <item x="585"/>
        <item x="397"/>
        <item x="241"/>
        <item x="145"/>
        <item x="394"/>
        <item x="365"/>
        <item x="172"/>
        <item x="280"/>
        <item x="621"/>
        <item x="361"/>
        <item x="566"/>
        <item x="449"/>
        <item x="386"/>
        <item x="119"/>
        <item x="336"/>
        <item x="453"/>
        <item x="524"/>
        <item x="161"/>
        <item x="15"/>
        <item x="179"/>
        <item x="208"/>
        <item x="436"/>
        <item x="40"/>
        <item x="341"/>
        <item x="505"/>
        <item x="132"/>
        <item x="259"/>
        <item x="60"/>
        <item x="44"/>
        <item x="45"/>
        <item x="468"/>
        <item x="343"/>
        <item x="105"/>
        <item x="38"/>
        <item x="237"/>
        <item x="551"/>
        <item x="123"/>
        <item x="225"/>
        <item x="610"/>
        <item x="51"/>
        <item x="221"/>
        <item x="200"/>
        <item x="344"/>
        <item x="354"/>
        <item x="329"/>
        <item x="96"/>
        <item x="574"/>
        <item x="256"/>
        <item x="226"/>
        <item x="166"/>
        <item x="34"/>
        <item x="389"/>
        <item x="157"/>
        <item x="94"/>
        <item x="404"/>
        <item x="484"/>
        <item x="202"/>
        <item x="66"/>
        <item x="331"/>
        <item x="165"/>
        <item x="53"/>
        <item x="377"/>
        <item x="116"/>
        <item x="614"/>
        <item x="247"/>
        <item t="default"/>
      </items>
    </pivotField>
    <pivotField numFmtId="14" showAll="0"/>
    <pivotField axis="axisRow" showAll="0">
      <items count="5">
        <item x="1"/>
        <item x="2"/>
        <item h="1"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Sum of Final Revenue" fld="11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11743-D45A-458F-B7C5-D24536188C9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estination">
  <location ref="A3:B8" firstHeaderRow="1" firstDataRow="1" firstDataCol="1"/>
  <pivotFields count="16">
    <pivotField showAll="0"/>
    <pivotField showAll="0"/>
    <pivotField numFmtId="14" showAll="0">
      <items count="646">
        <item x="277"/>
        <item x="576"/>
        <item x="232"/>
        <item x="320"/>
        <item x="269"/>
        <item x="286"/>
        <item x="626"/>
        <item x="360"/>
        <item x="407"/>
        <item x="215"/>
        <item x="563"/>
        <item x="511"/>
        <item x="519"/>
        <item x="644"/>
        <item x="315"/>
        <item x="181"/>
        <item x="456"/>
        <item x="72"/>
        <item x="223"/>
        <item x="530"/>
        <item x="418"/>
        <item x="518"/>
        <item x="619"/>
        <item x="234"/>
        <item x="461"/>
        <item x="90"/>
        <item x="579"/>
        <item x="470"/>
        <item x="527"/>
        <item x="267"/>
        <item x="322"/>
        <item x="138"/>
        <item x="164"/>
        <item x="419"/>
        <item x="488"/>
        <item x="573"/>
        <item x="582"/>
        <item x="333"/>
        <item x="523"/>
        <item x="417"/>
        <item x="457"/>
        <item x="309"/>
        <item x="218"/>
        <item x="552"/>
        <item x="8"/>
        <item x="287"/>
        <item x="598"/>
        <item x="371"/>
        <item x="235"/>
        <item x="594"/>
        <item x="542"/>
        <item x="279"/>
        <item x="106"/>
        <item x="270"/>
        <item x="561"/>
        <item x="611"/>
        <item x="571"/>
        <item x="159"/>
        <item x="3"/>
        <item x="604"/>
        <item x="345"/>
        <item x="261"/>
        <item x="169"/>
        <item x="402"/>
        <item x="307"/>
        <item x="290"/>
        <item x="479"/>
        <item x="268"/>
        <item x="260"/>
        <item x="522"/>
        <item x="384"/>
        <item x="136"/>
        <item x="609"/>
        <item x="192"/>
        <item x="149"/>
        <item x="601"/>
        <item x="93"/>
        <item x="472"/>
        <item x="79"/>
        <item x="233"/>
        <item x="128"/>
        <item x="430"/>
        <item x="559"/>
        <item x="55"/>
        <item x="86"/>
        <item x="9"/>
        <item x="550"/>
        <item x="416"/>
        <item x="557"/>
        <item x="78"/>
        <item x="340"/>
        <item x="171"/>
        <item x="103"/>
        <item x="80"/>
        <item x="328"/>
        <item x="111"/>
        <item x="59"/>
        <item x="158"/>
        <item x="358"/>
        <item x="146"/>
        <item x="467"/>
        <item x="127"/>
        <item x="450"/>
        <item x="411"/>
        <item x="587"/>
        <item x="462"/>
        <item x="191"/>
        <item x="273"/>
        <item x="36"/>
        <item x="303"/>
        <item x="638"/>
        <item x="538"/>
        <item x="22"/>
        <item x="618"/>
        <item x="68"/>
        <item x="194"/>
        <item x="301"/>
        <item x="130"/>
        <item x="187"/>
        <item x="7"/>
        <item x="607"/>
        <item x="84"/>
        <item x="533"/>
        <item x="156"/>
        <item x="641"/>
        <item x="35"/>
        <item x="501"/>
        <item x="503"/>
        <item x="588"/>
        <item x="266"/>
        <item x="640"/>
        <item x="29"/>
        <item x="589"/>
        <item x="337"/>
        <item x="325"/>
        <item x="432"/>
        <item x="637"/>
        <item x="534"/>
        <item x="506"/>
        <item x="174"/>
        <item x="414"/>
        <item x="163"/>
        <item x="58"/>
        <item x="422"/>
        <item x="129"/>
        <item x="282"/>
        <item x="125"/>
        <item x="520"/>
        <item x="98"/>
        <item x="553"/>
        <item x="184"/>
        <item x="564"/>
        <item x="43"/>
        <item x="302"/>
        <item x="525"/>
        <item x="285"/>
        <item x="97"/>
        <item x="586"/>
        <item x="102"/>
        <item x="56"/>
        <item x="616"/>
        <item x="366"/>
        <item x="199"/>
        <item x="531"/>
        <item x="305"/>
        <item x="204"/>
        <item x="391"/>
        <item x="539"/>
        <item x="514"/>
        <item x="262"/>
        <item x="368"/>
        <item x="388"/>
        <item x="57"/>
        <item x="265"/>
        <item x="347"/>
        <item x="392"/>
        <item x="24"/>
        <item x="334"/>
        <item x="33"/>
        <item x="381"/>
        <item x="152"/>
        <item x="28"/>
        <item x="489"/>
        <item x="124"/>
        <item x="412"/>
        <item x="263"/>
        <item x="495"/>
        <item x="293"/>
        <item x="442"/>
        <item x="71"/>
        <item x="352"/>
        <item x="70"/>
        <item x="593"/>
        <item x="385"/>
        <item x="451"/>
        <item x="382"/>
        <item x="137"/>
        <item x="537"/>
        <item x="608"/>
        <item x="153"/>
        <item x="230"/>
        <item x="433"/>
        <item x="380"/>
        <item x="584"/>
        <item x="562"/>
        <item x="490"/>
        <item x="603"/>
        <item x="395"/>
        <item x="353"/>
        <item x="117"/>
        <item x="374"/>
        <item x="509"/>
        <item x="101"/>
        <item x="544"/>
        <item x="493"/>
        <item x="291"/>
        <item x="421"/>
        <item x="252"/>
        <item x="375"/>
        <item x="284"/>
        <item x="135"/>
        <item x="37"/>
        <item x="406"/>
        <item x="577"/>
        <item x="67"/>
        <item x="229"/>
        <item x="471"/>
        <item x="426"/>
        <item x="14"/>
        <item x="227"/>
        <item x="444"/>
        <item x="481"/>
        <item x="357"/>
        <item x="496"/>
        <item x="12"/>
        <item x="120"/>
        <item x="486"/>
        <item x="292"/>
        <item x="242"/>
        <item x="348"/>
        <item x="330"/>
        <item x="2"/>
        <item x="88"/>
        <item x="313"/>
        <item x="52"/>
        <item x="324"/>
        <item x="420"/>
        <item x="372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50"/>
        <item x="219"/>
        <item x="547"/>
        <item x="312"/>
        <item x="82"/>
        <item x="6"/>
        <item x="521"/>
        <item x="27"/>
        <item x="154"/>
        <item x="109"/>
        <item x="239"/>
        <item x="494"/>
        <item x="155"/>
        <item x="401"/>
        <item x="214"/>
        <item x="575"/>
        <item x="364"/>
        <item x="555"/>
        <item x="295"/>
        <item x="350"/>
        <item x="639"/>
        <item x="83"/>
        <item x="217"/>
        <item x="546"/>
        <item x="139"/>
        <item x="379"/>
        <item x="100"/>
        <item x="207"/>
        <item x="17"/>
        <item x="75"/>
        <item x="620"/>
        <item x="319"/>
        <item x="383"/>
        <item x="13"/>
        <item x="327"/>
        <item x="115"/>
        <item x="473"/>
        <item x="569"/>
        <item x="597"/>
        <item x="592"/>
        <item x="271"/>
        <item x="431"/>
        <item x="595"/>
        <item x="317"/>
        <item x="535"/>
        <item x="398"/>
        <item x="346"/>
        <item x="311"/>
        <item x="387"/>
        <item x="612"/>
        <item x="21"/>
        <item x="299"/>
        <item x="69"/>
        <item x="560"/>
        <item x="543"/>
        <item x="196"/>
        <item x="231"/>
        <item x="554"/>
        <item x="253"/>
        <item x="463"/>
        <item x="452"/>
        <item x="178"/>
        <item x="41"/>
        <item x="281"/>
        <item x="143"/>
        <item x="526"/>
        <item x="342"/>
        <item x="408"/>
        <item x="167"/>
        <item x="173"/>
        <item x="475"/>
        <item x="438"/>
        <item x="183"/>
        <item x="131"/>
        <item x="423"/>
        <item x="134"/>
        <item x="236"/>
        <item x="567"/>
        <item x="440"/>
        <item x="465"/>
        <item x="541"/>
        <item x="195"/>
        <item x="74"/>
        <item x="536"/>
        <item x="458"/>
        <item x="624"/>
        <item x="556"/>
        <item x="288"/>
        <item x="244"/>
        <item x="206"/>
        <item x="454"/>
        <item x="439"/>
        <item x="316"/>
        <item x="211"/>
        <item x="198"/>
        <item x="30"/>
        <item x="410"/>
        <item x="112"/>
        <item x="632"/>
        <item x="224"/>
        <item x="1"/>
        <item x="403"/>
        <item x="26"/>
        <item x="351"/>
        <item x="23"/>
        <item x="190"/>
        <item x="622"/>
        <item x="415"/>
        <item x="274"/>
        <item x="630"/>
        <item x="478"/>
        <item x="212"/>
        <item x="188"/>
        <item x="216"/>
        <item x="87"/>
        <item x="19"/>
        <item x="427"/>
        <item x="405"/>
        <item x="310"/>
        <item x="197"/>
        <item x="578"/>
        <item x="590"/>
        <item x="399"/>
        <item x="572"/>
        <item x="243"/>
        <item x="298"/>
        <item x="623"/>
        <item x="250"/>
        <item x="370"/>
        <item x="278"/>
        <item x="48"/>
        <item x="133"/>
        <item x="142"/>
        <item x="476"/>
        <item x="323"/>
        <item x="64"/>
        <item x="47"/>
        <item x="162"/>
        <item x="369"/>
        <item x="545"/>
        <item x="108"/>
        <item x="126"/>
        <item x="306"/>
        <item x="42"/>
        <item x="31"/>
        <item x="251"/>
        <item x="446"/>
        <item x="477"/>
        <item x="182"/>
        <item x="150"/>
        <item x="321"/>
        <item x="393"/>
        <item x="339"/>
        <item x="63"/>
        <item x="500"/>
        <item x="508"/>
        <item x="201"/>
        <item x="147"/>
        <item x="332"/>
        <item x="248"/>
        <item x="189"/>
        <item x="99"/>
        <item x="517"/>
        <item x="474"/>
        <item x="54"/>
        <item x="254"/>
        <item x="61"/>
        <item x="77"/>
        <item x="0"/>
        <item x="338"/>
        <item x="583"/>
        <item x="396"/>
        <item x="373"/>
        <item x="625"/>
        <item x="76"/>
        <item x="258"/>
        <item x="73"/>
        <item x="441"/>
        <item x="390"/>
        <item x="491"/>
        <item x="581"/>
        <item x="85"/>
        <item x="49"/>
        <item x="499"/>
        <item x="275"/>
        <item x="429"/>
        <item x="5"/>
        <item x="409"/>
        <item x="16"/>
        <item x="10"/>
        <item x="107"/>
        <item x="25"/>
        <item x="180"/>
        <item x="272"/>
        <item x="186"/>
        <item x="122"/>
        <item x="596"/>
        <item x="443"/>
        <item x="435"/>
        <item x="591"/>
        <item x="482"/>
        <item x="413"/>
        <item x="314"/>
        <item x="460"/>
        <item x="363"/>
        <item x="602"/>
        <item x="424"/>
        <item x="617"/>
        <item x="176"/>
        <item x="276"/>
        <item x="203"/>
        <item x="205"/>
        <item x="480"/>
        <item x="289"/>
        <item x="62"/>
        <item x="447"/>
        <item x="516"/>
        <item x="512"/>
        <item x="600"/>
        <item x="297"/>
        <item x="642"/>
        <item x="425"/>
        <item x="580"/>
        <item x="448"/>
        <item x="168"/>
        <item x="469"/>
        <item x="144"/>
        <item x="631"/>
        <item x="434"/>
        <item x="633"/>
        <item x="294"/>
        <item x="257"/>
        <item x="498"/>
        <item x="177"/>
        <item x="613"/>
        <item x="606"/>
        <item x="615"/>
        <item x="185"/>
        <item x="459"/>
        <item x="355"/>
        <item x="104"/>
        <item x="359"/>
        <item x="318"/>
        <item x="483"/>
        <item x="349"/>
        <item x="4"/>
        <item x="513"/>
        <item x="81"/>
        <item x="300"/>
        <item x="558"/>
        <item x="466"/>
        <item x="568"/>
        <item x="504"/>
        <item x="464"/>
        <item x="636"/>
        <item x="540"/>
        <item x="605"/>
        <item x="304"/>
        <item x="356"/>
        <item x="240"/>
        <item x="367"/>
        <item x="39"/>
        <item x="148"/>
        <item x="455"/>
        <item x="95"/>
        <item x="400"/>
        <item x="110"/>
        <item x="255"/>
        <item x="193"/>
        <item x="532"/>
        <item x="492"/>
        <item x="487"/>
        <item x="140"/>
        <item x="114"/>
        <item x="46"/>
        <item x="249"/>
        <item x="308"/>
        <item x="548"/>
        <item x="92"/>
        <item x="643"/>
        <item x="335"/>
        <item x="222"/>
        <item x="160"/>
        <item x="445"/>
        <item x="91"/>
        <item x="437"/>
        <item x="141"/>
        <item x="362"/>
        <item x="497"/>
        <item x="11"/>
        <item x="228"/>
        <item x="246"/>
        <item x="283"/>
        <item x="570"/>
        <item x="245"/>
        <item x="378"/>
        <item x="485"/>
        <item x="634"/>
        <item x="629"/>
        <item x="238"/>
        <item x="170"/>
        <item x="326"/>
        <item x="151"/>
        <item x="635"/>
        <item x="515"/>
        <item x="264"/>
        <item x="213"/>
        <item x="507"/>
        <item x="528"/>
        <item x="210"/>
        <item x="565"/>
        <item x="428"/>
        <item x="18"/>
        <item x="220"/>
        <item x="510"/>
        <item x="32"/>
        <item x="175"/>
        <item x="118"/>
        <item x="65"/>
        <item x="20"/>
        <item x="296"/>
        <item x="585"/>
        <item x="397"/>
        <item x="241"/>
        <item x="145"/>
        <item x="394"/>
        <item x="365"/>
        <item x="172"/>
        <item x="280"/>
        <item x="621"/>
        <item x="361"/>
        <item x="566"/>
        <item x="449"/>
        <item x="386"/>
        <item x="119"/>
        <item x="336"/>
        <item x="453"/>
        <item x="524"/>
        <item x="161"/>
        <item x="15"/>
        <item x="179"/>
        <item x="208"/>
        <item x="436"/>
        <item x="40"/>
        <item x="341"/>
        <item x="505"/>
        <item x="132"/>
        <item x="259"/>
        <item x="60"/>
        <item x="44"/>
        <item x="45"/>
        <item x="468"/>
        <item x="343"/>
        <item x="105"/>
        <item x="38"/>
        <item x="237"/>
        <item x="551"/>
        <item x="123"/>
        <item x="225"/>
        <item x="610"/>
        <item x="51"/>
        <item x="221"/>
        <item x="200"/>
        <item x="344"/>
        <item x="354"/>
        <item x="329"/>
        <item x="96"/>
        <item x="574"/>
        <item x="256"/>
        <item x="226"/>
        <item x="166"/>
        <item x="34"/>
        <item x="389"/>
        <item x="157"/>
        <item x="94"/>
        <item x="404"/>
        <item x="484"/>
        <item x="202"/>
        <item x="66"/>
        <item x="331"/>
        <item x="165"/>
        <item x="53"/>
        <item x="377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 Revenue" fld="11" baseField="0" baseItem="0" numFmtId="164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DA974-C76B-4994-9666-744EAAB0193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3:H8" firstHeaderRow="1" firstDataRow="1" firstDataCol="1"/>
  <pivotFields count="16">
    <pivotField showAll="0"/>
    <pivotField dataField="1" showAll="0"/>
    <pivotField numFmtId="14" showAll="0">
      <items count="646">
        <item x="277"/>
        <item x="576"/>
        <item x="232"/>
        <item x="320"/>
        <item x="269"/>
        <item x="286"/>
        <item x="626"/>
        <item x="360"/>
        <item x="407"/>
        <item x="215"/>
        <item x="563"/>
        <item x="511"/>
        <item x="519"/>
        <item x="644"/>
        <item x="315"/>
        <item x="181"/>
        <item x="456"/>
        <item x="72"/>
        <item x="223"/>
        <item x="530"/>
        <item x="418"/>
        <item x="518"/>
        <item x="619"/>
        <item x="234"/>
        <item x="461"/>
        <item x="90"/>
        <item x="579"/>
        <item x="470"/>
        <item x="527"/>
        <item x="267"/>
        <item x="322"/>
        <item x="138"/>
        <item x="164"/>
        <item x="419"/>
        <item x="488"/>
        <item x="573"/>
        <item x="582"/>
        <item x="333"/>
        <item x="523"/>
        <item x="417"/>
        <item x="457"/>
        <item x="309"/>
        <item x="218"/>
        <item x="552"/>
        <item x="8"/>
        <item x="287"/>
        <item x="598"/>
        <item x="371"/>
        <item x="235"/>
        <item x="594"/>
        <item x="542"/>
        <item x="279"/>
        <item x="106"/>
        <item x="270"/>
        <item x="561"/>
        <item x="611"/>
        <item x="571"/>
        <item x="159"/>
        <item x="3"/>
        <item x="604"/>
        <item x="345"/>
        <item x="261"/>
        <item x="169"/>
        <item x="402"/>
        <item x="307"/>
        <item x="290"/>
        <item x="479"/>
        <item x="268"/>
        <item x="260"/>
        <item x="522"/>
        <item x="384"/>
        <item x="136"/>
        <item x="609"/>
        <item x="192"/>
        <item x="149"/>
        <item x="601"/>
        <item x="93"/>
        <item x="472"/>
        <item x="79"/>
        <item x="233"/>
        <item x="128"/>
        <item x="430"/>
        <item x="559"/>
        <item x="55"/>
        <item x="86"/>
        <item x="9"/>
        <item x="550"/>
        <item x="416"/>
        <item x="557"/>
        <item x="78"/>
        <item x="340"/>
        <item x="171"/>
        <item x="103"/>
        <item x="80"/>
        <item x="328"/>
        <item x="111"/>
        <item x="59"/>
        <item x="158"/>
        <item x="358"/>
        <item x="146"/>
        <item x="467"/>
        <item x="127"/>
        <item x="450"/>
        <item x="411"/>
        <item x="587"/>
        <item x="462"/>
        <item x="191"/>
        <item x="273"/>
        <item x="36"/>
        <item x="303"/>
        <item x="638"/>
        <item x="538"/>
        <item x="22"/>
        <item x="618"/>
        <item x="68"/>
        <item x="194"/>
        <item x="301"/>
        <item x="130"/>
        <item x="187"/>
        <item x="7"/>
        <item x="607"/>
        <item x="84"/>
        <item x="533"/>
        <item x="156"/>
        <item x="641"/>
        <item x="35"/>
        <item x="501"/>
        <item x="503"/>
        <item x="588"/>
        <item x="266"/>
        <item x="640"/>
        <item x="29"/>
        <item x="589"/>
        <item x="337"/>
        <item x="325"/>
        <item x="432"/>
        <item x="637"/>
        <item x="534"/>
        <item x="506"/>
        <item x="174"/>
        <item x="414"/>
        <item x="163"/>
        <item x="58"/>
        <item x="422"/>
        <item x="129"/>
        <item x="282"/>
        <item x="125"/>
        <item x="520"/>
        <item x="98"/>
        <item x="553"/>
        <item x="184"/>
        <item x="564"/>
        <item x="43"/>
        <item x="302"/>
        <item x="525"/>
        <item x="285"/>
        <item x="97"/>
        <item x="586"/>
        <item x="102"/>
        <item x="56"/>
        <item x="616"/>
        <item x="366"/>
        <item x="199"/>
        <item x="531"/>
        <item x="305"/>
        <item x="204"/>
        <item x="391"/>
        <item x="539"/>
        <item x="514"/>
        <item x="262"/>
        <item x="368"/>
        <item x="388"/>
        <item x="57"/>
        <item x="265"/>
        <item x="347"/>
        <item x="392"/>
        <item x="24"/>
        <item x="334"/>
        <item x="33"/>
        <item x="381"/>
        <item x="152"/>
        <item x="28"/>
        <item x="489"/>
        <item x="124"/>
        <item x="412"/>
        <item x="263"/>
        <item x="495"/>
        <item x="293"/>
        <item x="442"/>
        <item x="71"/>
        <item x="352"/>
        <item x="70"/>
        <item x="593"/>
        <item x="385"/>
        <item x="451"/>
        <item x="382"/>
        <item x="137"/>
        <item x="537"/>
        <item x="608"/>
        <item x="153"/>
        <item x="230"/>
        <item x="433"/>
        <item x="380"/>
        <item x="584"/>
        <item x="562"/>
        <item x="490"/>
        <item x="603"/>
        <item x="395"/>
        <item x="353"/>
        <item x="117"/>
        <item x="374"/>
        <item x="509"/>
        <item x="101"/>
        <item x="544"/>
        <item x="493"/>
        <item x="291"/>
        <item x="421"/>
        <item x="252"/>
        <item x="375"/>
        <item x="284"/>
        <item x="135"/>
        <item x="37"/>
        <item x="406"/>
        <item x="577"/>
        <item x="67"/>
        <item x="229"/>
        <item x="471"/>
        <item x="426"/>
        <item x="14"/>
        <item x="227"/>
        <item x="444"/>
        <item x="481"/>
        <item x="357"/>
        <item x="496"/>
        <item x="12"/>
        <item x="120"/>
        <item x="486"/>
        <item x="292"/>
        <item x="242"/>
        <item x="348"/>
        <item x="330"/>
        <item x="2"/>
        <item x="88"/>
        <item x="313"/>
        <item x="52"/>
        <item x="324"/>
        <item x="420"/>
        <item x="372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50"/>
        <item x="219"/>
        <item x="547"/>
        <item x="312"/>
        <item x="82"/>
        <item x="6"/>
        <item x="521"/>
        <item x="27"/>
        <item x="154"/>
        <item x="109"/>
        <item x="239"/>
        <item x="494"/>
        <item x="155"/>
        <item x="401"/>
        <item x="214"/>
        <item x="575"/>
        <item x="364"/>
        <item x="555"/>
        <item x="295"/>
        <item x="350"/>
        <item x="639"/>
        <item x="83"/>
        <item x="217"/>
        <item x="546"/>
        <item x="139"/>
        <item x="379"/>
        <item x="100"/>
        <item x="207"/>
        <item x="17"/>
        <item x="75"/>
        <item x="620"/>
        <item x="319"/>
        <item x="383"/>
        <item x="13"/>
        <item x="327"/>
        <item x="115"/>
        <item x="473"/>
        <item x="569"/>
        <item x="597"/>
        <item x="592"/>
        <item x="271"/>
        <item x="431"/>
        <item x="595"/>
        <item x="317"/>
        <item x="535"/>
        <item x="398"/>
        <item x="346"/>
        <item x="311"/>
        <item x="387"/>
        <item x="612"/>
        <item x="21"/>
        <item x="299"/>
        <item x="69"/>
        <item x="560"/>
        <item x="543"/>
        <item x="196"/>
        <item x="231"/>
        <item x="554"/>
        <item x="253"/>
        <item x="463"/>
        <item x="452"/>
        <item x="178"/>
        <item x="41"/>
        <item x="281"/>
        <item x="143"/>
        <item x="526"/>
        <item x="342"/>
        <item x="408"/>
        <item x="167"/>
        <item x="173"/>
        <item x="475"/>
        <item x="438"/>
        <item x="183"/>
        <item x="131"/>
        <item x="423"/>
        <item x="134"/>
        <item x="236"/>
        <item x="567"/>
        <item x="440"/>
        <item x="465"/>
        <item x="541"/>
        <item x="195"/>
        <item x="74"/>
        <item x="536"/>
        <item x="458"/>
        <item x="624"/>
        <item x="556"/>
        <item x="288"/>
        <item x="244"/>
        <item x="206"/>
        <item x="454"/>
        <item x="439"/>
        <item x="316"/>
        <item x="211"/>
        <item x="198"/>
        <item x="30"/>
        <item x="410"/>
        <item x="112"/>
        <item x="632"/>
        <item x="224"/>
        <item x="1"/>
        <item x="403"/>
        <item x="26"/>
        <item x="351"/>
        <item x="23"/>
        <item x="190"/>
        <item x="622"/>
        <item x="415"/>
        <item x="274"/>
        <item x="630"/>
        <item x="478"/>
        <item x="212"/>
        <item x="188"/>
        <item x="216"/>
        <item x="87"/>
        <item x="19"/>
        <item x="427"/>
        <item x="405"/>
        <item x="310"/>
        <item x="197"/>
        <item x="578"/>
        <item x="590"/>
        <item x="399"/>
        <item x="572"/>
        <item x="243"/>
        <item x="298"/>
        <item x="623"/>
        <item x="250"/>
        <item x="370"/>
        <item x="278"/>
        <item x="48"/>
        <item x="133"/>
        <item x="142"/>
        <item x="476"/>
        <item x="323"/>
        <item x="64"/>
        <item x="47"/>
        <item x="162"/>
        <item x="369"/>
        <item x="545"/>
        <item x="108"/>
        <item x="126"/>
        <item x="306"/>
        <item x="42"/>
        <item x="31"/>
        <item x="251"/>
        <item x="446"/>
        <item x="477"/>
        <item x="182"/>
        <item x="150"/>
        <item x="321"/>
        <item x="393"/>
        <item x="339"/>
        <item x="63"/>
        <item x="500"/>
        <item x="508"/>
        <item x="201"/>
        <item x="147"/>
        <item x="332"/>
        <item x="248"/>
        <item x="189"/>
        <item x="99"/>
        <item x="517"/>
        <item x="474"/>
        <item x="54"/>
        <item x="254"/>
        <item x="61"/>
        <item x="77"/>
        <item x="0"/>
        <item x="338"/>
        <item x="583"/>
        <item x="396"/>
        <item x="373"/>
        <item x="625"/>
        <item x="76"/>
        <item x="258"/>
        <item x="73"/>
        <item x="441"/>
        <item x="390"/>
        <item x="491"/>
        <item x="581"/>
        <item x="85"/>
        <item x="49"/>
        <item x="499"/>
        <item x="275"/>
        <item x="429"/>
        <item x="5"/>
        <item x="409"/>
        <item x="16"/>
        <item x="10"/>
        <item x="107"/>
        <item x="25"/>
        <item x="180"/>
        <item x="272"/>
        <item x="186"/>
        <item x="122"/>
        <item x="596"/>
        <item x="443"/>
        <item x="435"/>
        <item x="591"/>
        <item x="482"/>
        <item x="413"/>
        <item x="314"/>
        <item x="460"/>
        <item x="363"/>
        <item x="602"/>
        <item x="424"/>
        <item x="617"/>
        <item x="176"/>
        <item x="276"/>
        <item x="203"/>
        <item x="205"/>
        <item x="480"/>
        <item x="289"/>
        <item x="62"/>
        <item x="447"/>
        <item x="516"/>
        <item x="512"/>
        <item x="600"/>
        <item x="297"/>
        <item x="642"/>
        <item x="425"/>
        <item x="580"/>
        <item x="448"/>
        <item x="168"/>
        <item x="469"/>
        <item x="144"/>
        <item x="631"/>
        <item x="434"/>
        <item x="633"/>
        <item x="294"/>
        <item x="257"/>
        <item x="498"/>
        <item x="177"/>
        <item x="613"/>
        <item x="606"/>
        <item x="615"/>
        <item x="185"/>
        <item x="459"/>
        <item x="355"/>
        <item x="104"/>
        <item x="359"/>
        <item x="318"/>
        <item x="483"/>
        <item x="349"/>
        <item x="4"/>
        <item x="513"/>
        <item x="81"/>
        <item x="300"/>
        <item x="558"/>
        <item x="466"/>
        <item x="568"/>
        <item x="504"/>
        <item x="464"/>
        <item x="636"/>
        <item x="540"/>
        <item x="605"/>
        <item x="304"/>
        <item x="356"/>
        <item x="240"/>
        <item x="367"/>
        <item x="39"/>
        <item x="148"/>
        <item x="455"/>
        <item x="95"/>
        <item x="400"/>
        <item x="110"/>
        <item x="255"/>
        <item x="193"/>
        <item x="532"/>
        <item x="492"/>
        <item x="487"/>
        <item x="140"/>
        <item x="114"/>
        <item x="46"/>
        <item x="249"/>
        <item x="308"/>
        <item x="548"/>
        <item x="92"/>
        <item x="643"/>
        <item x="335"/>
        <item x="222"/>
        <item x="160"/>
        <item x="445"/>
        <item x="91"/>
        <item x="437"/>
        <item x="141"/>
        <item x="362"/>
        <item x="497"/>
        <item x="11"/>
        <item x="228"/>
        <item x="246"/>
        <item x="283"/>
        <item x="570"/>
        <item x="245"/>
        <item x="378"/>
        <item x="485"/>
        <item x="634"/>
        <item x="629"/>
        <item x="238"/>
        <item x="170"/>
        <item x="326"/>
        <item x="151"/>
        <item x="635"/>
        <item x="515"/>
        <item x="264"/>
        <item x="213"/>
        <item x="507"/>
        <item x="528"/>
        <item x="210"/>
        <item x="565"/>
        <item x="428"/>
        <item x="18"/>
        <item x="220"/>
        <item x="510"/>
        <item x="32"/>
        <item x="175"/>
        <item x="118"/>
        <item x="65"/>
        <item x="20"/>
        <item x="296"/>
        <item x="585"/>
        <item x="397"/>
        <item x="241"/>
        <item x="145"/>
        <item x="394"/>
        <item x="365"/>
        <item x="172"/>
        <item x="280"/>
        <item x="621"/>
        <item x="361"/>
        <item x="566"/>
        <item x="449"/>
        <item x="386"/>
        <item x="119"/>
        <item x="336"/>
        <item x="453"/>
        <item x="524"/>
        <item x="161"/>
        <item x="15"/>
        <item x="179"/>
        <item x="208"/>
        <item x="436"/>
        <item x="40"/>
        <item x="341"/>
        <item x="505"/>
        <item x="132"/>
        <item x="259"/>
        <item x="60"/>
        <item x="44"/>
        <item x="45"/>
        <item x="468"/>
        <item x="343"/>
        <item x="105"/>
        <item x="38"/>
        <item x="237"/>
        <item x="551"/>
        <item x="123"/>
        <item x="225"/>
        <item x="610"/>
        <item x="51"/>
        <item x="221"/>
        <item x="200"/>
        <item x="344"/>
        <item x="354"/>
        <item x="329"/>
        <item x="96"/>
        <item x="574"/>
        <item x="256"/>
        <item x="226"/>
        <item x="166"/>
        <item x="34"/>
        <item x="389"/>
        <item x="157"/>
        <item x="94"/>
        <item x="404"/>
        <item x="484"/>
        <item x="202"/>
        <item x="66"/>
        <item x="331"/>
        <item x="165"/>
        <item x="53"/>
        <item x="377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15"/>
    <field x="1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ooking ID" fld="1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2669C0-82CA-4CB6-B5E0-7D42D58BD57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3:E7" firstHeaderRow="1" firstDataRow="1" firstDataCol="1"/>
  <pivotFields count="16">
    <pivotField showAll="0"/>
    <pivotField showAll="0"/>
    <pivotField numFmtId="14" showAll="0">
      <items count="646">
        <item x="277"/>
        <item x="576"/>
        <item x="232"/>
        <item x="320"/>
        <item x="269"/>
        <item x="286"/>
        <item x="626"/>
        <item x="360"/>
        <item x="407"/>
        <item x="215"/>
        <item x="563"/>
        <item x="511"/>
        <item x="519"/>
        <item x="644"/>
        <item x="315"/>
        <item x="181"/>
        <item x="456"/>
        <item x="72"/>
        <item x="223"/>
        <item x="530"/>
        <item x="418"/>
        <item x="518"/>
        <item x="619"/>
        <item x="234"/>
        <item x="461"/>
        <item x="90"/>
        <item x="579"/>
        <item x="470"/>
        <item x="527"/>
        <item x="267"/>
        <item x="322"/>
        <item x="138"/>
        <item x="164"/>
        <item x="419"/>
        <item x="488"/>
        <item x="573"/>
        <item x="582"/>
        <item x="333"/>
        <item x="523"/>
        <item x="417"/>
        <item x="457"/>
        <item x="309"/>
        <item x="218"/>
        <item x="552"/>
        <item x="8"/>
        <item x="287"/>
        <item x="598"/>
        <item x="371"/>
        <item x="235"/>
        <item x="594"/>
        <item x="542"/>
        <item x="279"/>
        <item x="106"/>
        <item x="270"/>
        <item x="561"/>
        <item x="611"/>
        <item x="571"/>
        <item x="159"/>
        <item x="3"/>
        <item x="604"/>
        <item x="345"/>
        <item x="261"/>
        <item x="169"/>
        <item x="402"/>
        <item x="307"/>
        <item x="290"/>
        <item x="479"/>
        <item x="268"/>
        <item x="260"/>
        <item x="522"/>
        <item x="384"/>
        <item x="136"/>
        <item x="609"/>
        <item x="192"/>
        <item x="149"/>
        <item x="601"/>
        <item x="93"/>
        <item x="472"/>
        <item x="79"/>
        <item x="233"/>
        <item x="128"/>
        <item x="430"/>
        <item x="559"/>
        <item x="55"/>
        <item x="86"/>
        <item x="9"/>
        <item x="550"/>
        <item x="416"/>
        <item x="557"/>
        <item x="78"/>
        <item x="340"/>
        <item x="171"/>
        <item x="103"/>
        <item x="80"/>
        <item x="328"/>
        <item x="111"/>
        <item x="59"/>
        <item x="158"/>
        <item x="358"/>
        <item x="146"/>
        <item x="467"/>
        <item x="127"/>
        <item x="450"/>
        <item x="411"/>
        <item x="587"/>
        <item x="462"/>
        <item x="191"/>
        <item x="273"/>
        <item x="36"/>
        <item x="303"/>
        <item x="638"/>
        <item x="538"/>
        <item x="22"/>
        <item x="618"/>
        <item x="68"/>
        <item x="194"/>
        <item x="301"/>
        <item x="130"/>
        <item x="187"/>
        <item x="7"/>
        <item x="607"/>
        <item x="84"/>
        <item x="533"/>
        <item x="156"/>
        <item x="641"/>
        <item x="35"/>
        <item x="501"/>
        <item x="503"/>
        <item x="588"/>
        <item x="266"/>
        <item x="640"/>
        <item x="29"/>
        <item x="589"/>
        <item x="337"/>
        <item x="325"/>
        <item x="432"/>
        <item x="637"/>
        <item x="534"/>
        <item x="506"/>
        <item x="174"/>
        <item x="414"/>
        <item x="163"/>
        <item x="58"/>
        <item x="422"/>
        <item x="129"/>
        <item x="282"/>
        <item x="125"/>
        <item x="520"/>
        <item x="98"/>
        <item x="553"/>
        <item x="184"/>
        <item x="564"/>
        <item x="43"/>
        <item x="302"/>
        <item x="525"/>
        <item x="285"/>
        <item x="97"/>
        <item x="586"/>
        <item x="102"/>
        <item x="56"/>
        <item x="616"/>
        <item x="366"/>
        <item x="199"/>
        <item x="531"/>
        <item x="305"/>
        <item x="204"/>
        <item x="391"/>
        <item x="539"/>
        <item x="514"/>
        <item x="262"/>
        <item x="368"/>
        <item x="388"/>
        <item x="57"/>
        <item x="265"/>
        <item x="347"/>
        <item x="392"/>
        <item x="24"/>
        <item x="334"/>
        <item x="33"/>
        <item x="381"/>
        <item x="152"/>
        <item x="28"/>
        <item x="489"/>
        <item x="124"/>
        <item x="412"/>
        <item x="263"/>
        <item x="495"/>
        <item x="293"/>
        <item x="442"/>
        <item x="71"/>
        <item x="352"/>
        <item x="70"/>
        <item x="593"/>
        <item x="385"/>
        <item x="451"/>
        <item x="382"/>
        <item x="137"/>
        <item x="537"/>
        <item x="608"/>
        <item x="153"/>
        <item x="230"/>
        <item x="433"/>
        <item x="380"/>
        <item x="584"/>
        <item x="562"/>
        <item x="490"/>
        <item x="603"/>
        <item x="395"/>
        <item x="353"/>
        <item x="117"/>
        <item x="374"/>
        <item x="509"/>
        <item x="101"/>
        <item x="544"/>
        <item x="493"/>
        <item x="291"/>
        <item x="421"/>
        <item x="252"/>
        <item x="375"/>
        <item x="284"/>
        <item x="135"/>
        <item x="37"/>
        <item x="406"/>
        <item x="577"/>
        <item x="67"/>
        <item x="229"/>
        <item x="471"/>
        <item x="426"/>
        <item x="14"/>
        <item x="227"/>
        <item x="444"/>
        <item x="481"/>
        <item x="357"/>
        <item x="496"/>
        <item x="12"/>
        <item x="120"/>
        <item x="486"/>
        <item x="292"/>
        <item x="242"/>
        <item x="348"/>
        <item x="330"/>
        <item x="2"/>
        <item x="88"/>
        <item x="313"/>
        <item x="52"/>
        <item x="324"/>
        <item x="420"/>
        <item x="372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50"/>
        <item x="219"/>
        <item x="547"/>
        <item x="312"/>
        <item x="82"/>
        <item x="6"/>
        <item x="521"/>
        <item x="27"/>
        <item x="154"/>
        <item x="109"/>
        <item x="239"/>
        <item x="494"/>
        <item x="155"/>
        <item x="401"/>
        <item x="214"/>
        <item x="575"/>
        <item x="364"/>
        <item x="555"/>
        <item x="295"/>
        <item x="350"/>
        <item x="639"/>
        <item x="83"/>
        <item x="217"/>
        <item x="546"/>
        <item x="139"/>
        <item x="379"/>
        <item x="100"/>
        <item x="207"/>
        <item x="17"/>
        <item x="75"/>
        <item x="620"/>
        <item x="319"/>
        <item x="383"/>
        <item x="13"/>
        <item x="327"/>
        <item x="115"/>
        <item x="473"/>
        <item x="569"/>
        <item x="597"/>
        <item x="592"/>
        <item x="271"/>
        <item x="431"/>
        <item x="595"/>
        <item x="317"/>
        <item x="535"/>
        <item x="398"/>
        <item x="346"/>
        <item x="311"/>
        <item x="387"/>
        <item x="612"/>
        <item x="21"/>
        <item x="299"/>
        <item x="69"/>
        <item x="560"/>
        <item x="543"/>
        <item x="196"/>
        <item x="231"/>
        <item x="554"/>
        <item x="253"/>
        <item x="463"/>
        <item x="452"/>
        <item x="178"/>
        <item x="41"/>
        <item x="281"/>
        <item x="143"/>
        <item x="526"/>
        <item x="342"/>
        <item x="408"/>
        <item x="167"/>
        <item x="173"/>
        <item x="475"/>
        <item x="438"/>
        <item x="183"/>
        <item x="131"/>
        <item x="423"/>
        <item x="134"/>
        <item x="236"/>
        <item x="567"/>
        <item x="440"/>
        <item x="465"/>
        <item x="541"/>
        <item x="195"/>
        <item x="74"/>
        <item x="536"/>
        <item x="458"/>
        <item x="624"/>
        <item x="556"/>
        <item x="288"/>
        <item x="244"/>
        <item x="206"/>
        <item x="454"/>
        <item x="439"/>
        <item x="316"/>
        <item x="211"/>
        <item x="198"/>
        <item x="30"/>
        <item x="410"/>
        <item x="112"/>
        <item x="632"/>
        <item x="224"/>
        <item x="1"/>
        <item x="403"/>
        <item x="26"/>
        <item x="351"/>
        <item x="23"/>
        <item x="190"/>
        <item x="622"/>
        <item x="415"/>
        <item x="274"/>
        <item x="630"/>
        <item x="478"/>
        <item x="212"/>
        <item x="188"/>
        <item x="216"/>
        <item x="87"/>
        <item x="19"/>
        <item x="427"/>
        <item x="405"/>
        <item x="310"/>
        <item x="197"/>
        <item x="578"/>
        <item x="590"/>
        <item x="399"/>
        <item x="572"/>
        <item x="243"/>
        <item x="298"/>
        <item x="623"/>
        <item x="250"/>
        <item x="370"/>
        <item x="278"/>
        <item x="48"/>
        <item x="133"/>
        <item x="142"/>
        <item x="476"/>
        <item x="323"/>
        <item x="64"/>
        <item x="47"/>
        <item x="162"/>
        <item x="369"/>
        <item x="545"/>
        <item x="108"/>
        <item x="126"/>
        <item x="306"/>
        <item x="42"/>
        <item x="31"/>
        <item x="251"/>
        <item x="446"/>
        <item x="477"/>
        <item x="182"/>
        <item x="150"/>
        <item x="321"/>
        <item x="393"/>
        <item x="339"/>
        <item x="63"/>
        <item x="500"/>
        <item x="508"/>
        <item x="201"/>
        <item x="147"/>
        <item x="332"/>
        <item x="248"/>
        <item x="189"/>
        <item x="99"/>
        <item x="517"/>
        <item x="474"/>
        <item x="54"/>
        <item x="254"/>
        <item x="61"/>
        <item x="77"/>
        <item x="0"/>
        <item x="338"/>
        <item x="583"/>
        <item x="396"/>
        <item x="373"/>
        <item x="625"/>
        <item x="76"/>
        <item x="258"/>
        <item x="73"/>
        <item x="441"/>
        <item x="390"/>
        <item x="491"/>
        <item x="581"/>
        <item x="85"/>
        <item x="49"/>
        <item x="499"/>
        <item x="275"/>
        <item x="429"/>
        <item x="5"/>
        <item x="409"/>
        <item x="16"/>
        <item x="10"/>
        <item x="107"/>
        <item x="25"/>
        <item x="180"/>
        <item x="272"/>
        <item x="186"/>
        <item x="122"/>
        <item x="596"/>
        <item x="443"/>
        <item x="435"/>
        <item x="591"/>
        <item x="482"/>
        <item x="413"/>
        <item x="314"/>
        <item x="460"/>
        <item x="363"/>
        <item x="602"/>
        <item x="424"/>
        <item x="617"/>
        <item x="176"/>
        <item x="276"/>
        <item x="203"/>
        <item x="205"/>
        <item x="480"/>
        <item x="289"/>
        <item x="62"/>
        <item x="447"/>
        <item x="516"/>
        <item x="512"/>
        <item x="600"/>
        <item x="297"/>
        <item x="642"/>
        <item x="425"/>
        <item x="580"/>
        <item x="448"/>
        <item x="168"/>
        <item x="469"/>
        <item x="144"/>
        <item x="631"/>
        <item x="434"/>
        <item x="633"/>
        <item x="294"/>
        <item x="257"/>
        <item x="498"/>
        <item x="177"/>
        <item x="613"/>
        <item x="606"/>
        <item x="615"/>
        <item x="185"/>
        <item x="459"/>
        <item x="355"/>
        <item x="104"/>
        <item x="359"/>
        <item x="318"/>
        <item x="483"/>
        <item x="349"/>
        <item x="4"/>
        <item x="513"/>
        <item x="81"/>
        <item x="300"/>
        <item x="558"/>
        <item x="466"/>
        <item x="568"/>
        <item x="504"/>
        <item x="464"/>
        <item x="636"/>
        <item x="540"/>
        <item x="605"/>
        <item x="304"/>
        <item x="356"/>
        <item x="240"/>
        <item x="367"/>
        <item x="39"/>
        <item x="148"/>
        <item x="455"/>
        <item x="95"/>
        <item x="400"/>
        <item x="110"/>
        <item x="255"/>
        <item x="193"/>
        <item x="532"/>
        <item x="492"/>
        <item x="487"/>
        <item x="140"/>
        <item x="114"/>
        <item x="46"/>
        <item x="249"/>
        <item x="308"/>
        <item x="548"/>
        <item x="92"/>
        <item x="643"/>
        <item x="335"/>
        <item x="222"/>
        <item x="160"/>
        <item x="445"/>
        <item x="91"/>
        <item x="437"/>
        <item x="141"/>
        <item x="362"/>
        <item x="497"/>
        <item x="11"/>
        <item x="228"/>
        <item x="246"/>
        <item x="283"/>
        <item x="570"/>
        <item x="245"/>
        <item x="378"/>
        <item x="485"/>
        <item x="634"/>
        <item x="629"/>
        <item x="238"/>
        <item x="170"/>
        <item x="326"/>
        <item x="151"/>
        <item x="635"/>
        <item x="515"/>
        <item x="264"/>
        <item x="213"/>
        <item x="507"/>
        <item x="528"/>
        <item x="210"/>
        <item x="565"/>
        <item x="428"/>
        <item x="18"/>
        <item x="220"/>
        <item x="510"/>
        <item x="32"/>
        <item x="175"/>
        <item x="118"/>
        <item x="65"/>
        <item x="20"/>
        <item x="296"/>
        <item x="585"/>
        <item x="397"/>
        <item x="241"/>
        <item x="145"/>
        <item x="394"/>
        <item x="365"/>
        <item x="172"/>
        <item x="280"/>
        <item x="621"/>
        <item x="361"/>
        <item x="566"/>
        <item x="449"/>
        <item x="386"/>
        <item x="119"/>
        <item x="336"/>
        <item x="453"/>
        <item x="524"/>
        <item x="161"/>
        <item x="15"/>
        <item x="179"/>
        <item x="208"/>
        <item x="436"/>
        <item x="40"/>
        <item x="341"/>
        <item x="505"/>
        <item x="132"/>
        <item x="259"/>
        <item x="60"/>
        <item x="44"/>
        <item x="45"/>
        <item x="468"/>
        <item x="343"/>
        <item x="105"/>
        <item x="38"/>
        <item x="237"/>
        <item x="551"/>
        <item x="123"/>
        <item x="225"/>
        <item x="610"/>
        <item x="51"/>
        <item x="221"/>
        <item x="200"/>
        <item x="344"/>
        <item x="354"/>
        <item x="329"/>
        <item x="96"/>
        <item x="574"/>
        <item x="256"/>
        <item x="226"/>
        <item x="166"/>
        <item x="34"/>
        <item x="389"/>
        <item x="157"/>
        <item x="94"/>
        <item x="404"/>
        <item x="484"/>
        <item x="202"/>
        <item x="66"/>
        <item x="331"/>
        <item x="165"/>
        <item x="53"/>
        <item x="377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 numFmtId="164"/>
  </dataFields>
  <formats count="1">
    <format dxfId="2">
      <pivotArea outline="0" collapsedLevelsAreSubtotals="1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3C58-B7E9-42E9-B1EE-06E67CD5A89B}">
  <dimension ref="A1:M2001"/>
  <sheetViews>
    <sheetView workbookViewId="0">
      <selection activeCell="C12" sqref="A1:M2001"/>
    </sheetView>
  </sheetViews>
  <sheetFormatPr defaultRowHeight="14.4" x14ac:dyDescent="0.3"/>
  <cols>
    <col min="3" max="4" width="10.33203125" style="1" bestFit="1" customWidth="1"/>
  </cols>
  <sheetData>
    <row r="1" spans="1:13" x14ac:dyDescent="0.3">
      <c r="A1" t="s">
        <v>0</v>
      </c>
      <c r="B1" t="s">
        <v>2102</v>
      </c>
      <c r="C1" t="s">
        <v>2101</v>
      </c>
      <c r="D1" t="s">
        <v>2103</v>
      </c>
      <c r="E1" t="s">
        <v>2104</v>
      </c>
      <c r="F1" t="s">
        <v>1</v>
      </c>
      <c r="G1" t="s">
        <v>2</v>
      </c>
      <c r="H1" t="s">
        <v>2105</v>
      </c>
      <c r="I1" t="s">
        <v>2106</v>
      </c>
      <c r="J1" t="s">
        <v>2107</v>
      </c>
      <c r="K1" t="s">
        <v>2108</v>
      </c>
      <c r="L1" t="s">
        <v>2121</v>
      </c>
      <c r="M1" t="s">
        <v>2122</v>
      </c>
    </row>
    <row r="2" spans="1:13" x14ac:dyDescent="0.3">
      <c r="A2">
        <v>1</v>
      </c>
      <c r="B2" t="s">
        <v>3</v>
      </c>
      <c r="C2" s="1">
        <v>43047</v>
      </c>
      <c r="D2" s="1">
        <v>43050</v>
      </c>
      <c r="E2" t="s">
        <v>2119</v>
      </c>
      <c r="F2" t="s">
        <v>4</v>
      </c>
      <c r="G2" t="s">
        <v>5</v>
      </c>
      <c r="H2" t="s">
        <v>6</v>
      </c>
      <c r="I2" t="s">
        <v>2115</v>
      </c>
      <c r="J2" t="s">
        <v>2109</v>
      </c>
      <c r="K2">
        <v>261.95999999999998</v>
      </c>
      <c r="L2">
        <f t="shared" ref="L2:L65" si="0">K2*100</f>
        <v>26195.999999999996</v>
      </c>
      <c r="M2">
        <f>L2*0.2</f>
        <v>5239.2</v>
      </c>
    </row>
    <row r="3" spans="1:13" x14ac:dyDescent="0.3">
      <c r="A3">
        <v>2</v>
      </c>
      <c r="B3" t="s">
        <v>3</v>
      </c>
      <c r="C3" s="1">
        <v>43047</v>
      </c>
      <c r="D3" s="1">
        <v>43050</v>
      </c>
      <c r="E3" t="s">
        <v>2119</v>
      </c>
      <c r="F3" t="s">
        <v>4</v>
      </c>
      <c r="G3" t="s">
        <v>5</v>
      </c>
      <c r="H3" t="s">
        <v>6</v>
      </c>
      <c r="I3" t="s">
        <v>2115</v>
      </c>
      <c r="J3" t="s">
        <v>2109</v>
      </c>
      <c r="K3">
        <v>731.94</v>
      </c>
      <c r="L3">
        <f t="shared" si="0"/>
        <v>73194</v>
      </c>
      <c r="M3">
        <f t="shared" ref="M3:M66" si="1">L3*0.2</f>
        <v>14638.800000000001</v>
      </c>
    </row>
    <row r="4" spans="1:13" x14ac:dyDescent="0.3">
      <c r="A4">
        <v>3</v>
      </c>
      <c r="B4" t="s">
        <v>7</v>
      </c>
      <c r="C4" s="1">
        <v>42898</v>
      </c>
      <c r="D4" s="1">
        <v>42902</v>
      </c>
      <c r="E4" t="s">
        <v>2119</v>
      </c>
      <c r="F4" t="s">
        <v>8</v>
      </c>
      <c r="G4" t="s">
        <v>9</v>
      </c>
      <c r="H4" t="s">
        <v>10</v>
      </c>
      <c r="I4" t="s">
        <v>2112</v>
      </c>
      <c r="J4" t="s">
        <v>2110</v>
      </c>
      <c r="K4">
        <v>14.62</v>
      </c>
      <c r="L4">
        <f t="shared" si="0"/>
        <v>1462</v>
      </c>
      <c r="M4">
        <f t="shared" si="1"/>
        <v>292.40000000000003</v>
      </c>
    </row>
    <row r="5" spans="1:13" x14ac:dyDescent="0.3">
      <c r="A5">
        <v>4</v>
      </c>
      <c r="B5" t="s">
        <v>11</v>
      </c>
      <c r="C5" s="1">
        <v>42654</v>
      </c>
      <c r="D5" s="1">
        <v>42661</v>
      </c>
      <c r="E5" t="s">
        <v>2118</v>
      </c>
      <c r="F5" t="s">
        <v>12</v>
      </c>
      <c r="G5" t="s">
        <v>13</v>
      </c>
      <c r="H5" t="s">
        <v>6</v>
      </c>
      <c r="I5" t="s">
        <v>2115</v>
      </c>
      <c r="J5" t="s">
        <v>2109</v>
      </c>
      <c r="K5">
        <v>957.57749999999999</v>
      </c>
      <c r="L5">
        <f t="shared" si="0"/>
        <v>95757.75</v>
      </c>
      <c r="M5">
        <f t="shared" si="1"/>
        <v>19151.55</v>
      </c>
    </row>
    <row r="6" spans="1:13" x14ac:dyDescent="0.3">
      <c r="A6">
        <v>5</v>
      </c>
      <c r="B6" t="s">
        <v>11</v>
      </c>
      <c r="C6" s="1">
        <v>42654</v>
      </c>
      <c r="D6" s="1">
        <v>42661</v>
      </c>
      <c r="E6" t="s">
        <v>2118</v>
      </c>
      <c r="F6" t="s">
        <v>12</v>
      </c>
      <c r="G6" t="s">
        <v>13</v>
      </c>
      <c r="H6" t="s">
        <v>6</v>
      </c>
      <c r="I6" t="s">
        <v>2115</v>
      </c>
      <c r="J6" t="s">
        <v>2110</v>
      </c>
      <c r="K6">
        <v>22.367999999999999</v>
      </c>
      <c r="L6">
        <f t="shared" si="0"/>
        <v>2236.7999999999997</v>
      </c>
      <c r="M6">
        <f t="shared" si="1"/>
        <v>447.35999999999996</v>
      </c>
    </row>
    <row r="7" spans="1:13" x14ac:dyDescent="0.3">
      <c r="A7">
        <v>6</v>
      </c>
      <c r="B7" t="s">
        <v>14</v>
      </c>
      <c r="C7" s="1">
        <v>42164</v>
      </c>
      <c r="D7" s="1">
        <v>42169</v>
      </c>
      <c r="E7" t="s">
        <v>2118</v>
      </c>
      <c r="F7" t="s">
        <v>15</v>
      </c>
      <c r="G7" t="s">
        <v>16</v>
      </c>
      <c r="H7" t="s">
        <v>6</v>
      </c>
      <c r="I7" t="s">
        <v>2112</v>
      </c>
      <c r="J7" t="s">
        <v>2109</v>
      </c>
      <c r="K7">
        <v>48.86</v>
      </c>
      <c r="L7">
        <f t="shared" si="0"/>
        <v>4886</v>
      </c>
      <c r="M7">
        <f t="shared" si="1"/>
        <v>977.2</v>
      </c>
    </row>
    <row r="8" spans="1:13" x14ac:dyDescent="0.3">
      <c r="A8">
        <v>7</v>
      </c>
      <c r="B8" t="s">
        <v>14</v>
      </c>
      <c r="C8" s="1">
        <v>42164</v>
      </c>
      <c r="D8" s="1">
        <v>42169</v>
      </c>
      <c r="E8" t="s">
        <v>2118</v>
      </c>
      <c r="F8" t="s">
        <v>15</v>
      </c>
      <c r="G8" t="s">
        <v>16</v>
      </c>
      <c r="H8" t="s">
        <v>6</v>
      </c>
      <c r="I8" t="s">
        <v>2112</v>
      </c>
      <c r="J8" t="s">
        <v>2110</v>
      </c>
      <c r="K8">
        <v>7.28</v>
      </c>
      <c r="L8">
        <f t="shared" si="0"/>
        <v>728</v>
      </c>
      <c r="M8">
        <f t="shared" si="1"/>
        <v>145.6</v>
      </c>
    </row>
    <row r="9" spans="1:13" x14ac:dyDescent="0.3">
      <c r="A9">
        <v>8</v>
      </c>
      <c r="B9" t="s">
        <v>14</v>
      </c>
      <c r="C9" s="1">
        <v>42164</v>
      </c>
      <c r="D9" s="1">
        <v>42169</v>
      </c>
      <c r="E9" t="s">
        <v>2118</v>
      </c>
      <c r="F9" t="s">
        <v>15</v>
      </c>
      <c r="G9" t="s">
        <v>16</v>
      </c>
      <c r="H9" t="s">
        <v>6</v>
      </c>
      <c r="I9" t="s">
        <v>2112</v>
      </c>
      <c r="J9" t="s">
        <v>2111</v>
      </c>
      <c r="K9">
        <v>907.15200000000004</v>
      </c>
      <c r="L9">
        <f t="shared" si="0"/>
        <v>90715.200000000012</v>
      </c>
      <c r="M9">
        <f t="shared" si="1"/>
        <v>18143.040000000005</v>
      </c>
    </row>
    <row r="10" spans="1:13" x14ac:dyDescent="0.3">
      <c r="A10">
        <v>9</v>
      </c>
      <c r="B10" t="s">
        <v>14</v>
      </c>
      <c r="C10" s="1">
        <v>42164</v>
      </c>
      <c r="D10" s="1">
        <v>42169</v>
      </c>
      <c r="E10" t="s">
        <v>2118</v>
      </c>
      <c r="F10" t="s">
        <v>15</v>
      </c>
      <c r="G10" t="s">
        <v>16</v>
      </c>
      <c r="H10" t="s">
        <v>6</v>
      </c>
      <c r="I10" t="s">
        <v>2112</v>
      </c>
      <c r="J10" t="s">
        <v>2110</v>
      </c>
      <c r="K10">
        <v>18.504000000000001</v>
      </c>
      <c r="L10">
        <f t="shared" si="0"/>
        <v>1850.4</v>
      </c>
      <c r="M10">
        <f t="shared" si="1"/>
        <v>370.08000000000004</v>
      </c>
    </row>
    <row r="11" spans="1:13" x14ac:dyDescent="0.3">
      <c r="A11">
        <v>10</v>
      </c>
      <c r="B11" t="s">
        <v>14</v>
      </c>
      <c r="C11" s="1">
        <v>42164</v>
      </c>
      <c r="D11" s="1">
        <v>42169</v>
      </c>
      <c r="E11" t="s">
        <v>2118</v>
      </c>
      <c r="F11" t="s">
        <v>15</v>
      </c>
      <c r="G11" t="s">
        <v>16</v>
      </c>
      <c r="H11" t="s">
        <v>6</v>
      </c>
      <c r="I11" t="s">
        <v>2112</v>
      </c>
      <c r="J11" t="s">
        <v>2110</v>
      </c>
      <c r="K11">
        <v>114.9</v>
      </c>
      <c r="L11">
        <f t="shared" si="0"/>
        <v>11490</v>
      </c>
      <c r="M11">
        <f t="shared" si="1"/>
        <v>2298</v>
      </c>
    </row>
    <row r="12" spans="1:13" x14ac:dyDescent="0.3">
      <c r="A12">
        <v>11</v>
      </c>
      <c r="B12" t="s">
        <v>14</v>
      </c>
      <c r="C12" s="1">
        <v>42164</v>
      </c>
      <c r="D12" s="1">
        <v>42169</v>
      </c>
      <c r="E12" t="s">
        <v>2118</v>
      </c>
      <c r="F12" t="s">
        <v>15</v>
      </c>
      <c r="G12" t="s">
        <v>16</v>
      </c>
      <c r="H12" t="s">
        <v>6</v>
      </c>
      <c r="I12" t="s">
        <v>2112</v>
      </c>
      <c r="J12" t="s">
        <v>2109</v>
      </c>
      <c r="K12">
        <v>1706.184</v>
      </c>
      <c r="L12">
        <f t="shared" si="0"/>
        <v>170618.4</v>
      </c>
      <c r="M12">
        <f t="shared" si="1"/>
        <v>34123.68</v>
      </c>
    </row>
    <row r="13" spans="1:13" x14ac:dyDescent="0.3">
      <c r="A13">
        <v>12</v>
      </c>
      <c r="B13" t="s">
        <v>14</v>
      </c>
      <c r="C13" s="1">
        <v>42164</v>
      </c>
      <c r="D13" s="1">
        <v>42169</v>
      </c>
      <c r="E13" t="s">
        <v>2118</v>
      </c>
      <c r="F13" t="s">
        <v>15</v>
      </c>
      <c r="G13" t="s">
        <v>16</v>
      </c>
      <c r="H13" t="s">
        <v>6</v>
      </c>
      <c r="I13" t="s">
        <v>2112</v>
      </c>
      <c r="J13" t="s">
        <v>2109</v>
      </c>
      <c r="K13">
        <v>911.42399999999998</v>
      </c>
      <c r="L13">
        <f t="shared" si="0"/>
        <v>91142.399999999994</v>
      </c>
      <c r="M13">
        <f t="shared" si="1"/>
        <v>18228.48</v>
      </c>
    </row>
    <row r="14" spans="1:13" x14ac:dyDescent="0.3">
      <c r="A14">
        <v>13</v>
      </c>
      <c r="B14" t="s">
        <v>17</v>
      </c>
      <c r="C14" s="1">
        <v>43205</v>
      </c>
      <c r="D14" s="1">
        <v>43210</v>
      </c>
      <c r="E14" t="s">
        <v>2118</v>
      </c>
      <c r="F14" t="s">
        <v>18</v>
      </c>
      <c r="G14" t="s">
        <v>19</v>
      </c>
      <c r="H14" t="s">
        <v>6</v>
      </c>
      <c r="I14" t="s">
        <v>2115</v>
      </c>
      <c r="J14" t="s">
        <v>2110</v>
      </c>
      <c r="K14">
        <v>15.552</v>
      </c>
      <c r="L14">
        <f t="shared" si="0"/>
        <v>1555.2</v>
      </c>
      <c r="M14">
        <f t="shared" si="1"/>
        <v>311.04000000000002</v>
      </c>
    </row>
    <row r="15" spans="1:13" x14ac:dyDescent="0.3">
      <c r="A15">
        <v>14</v>
      </c>
      <c r="B15" t="s">
        <v>20</v>
      </c>
      <c r="C15" s="1">
        <v>43074</v>
      </c>
      <c r="D15" s="1">
        <v>43079</v>
      </c>
      <c r="E15" t="s">
        <v>2118</v>
      </c>
      <c r="F15" t="s">
        <v>21</v>
      </c>
      <c r="G15" t="s">
        <v>22</v>
      </c>
      <c r="H15" t="s">
        <v>6</v>
      </c>
      <c r="I15" t="s">
        <v>2112</v>
      </c>
      <c r="J15" t="s">
        <v>2110</v>
      </c>
      <c r="K15">
        <v>407.976</v>
      </c>
      <c r="L15">
        <f t="shared" si="0"/>
        <v>40797.599999999999</v>
      </c>
      <c r="M15">
        <f t="shared" si="1"/>
        <v>8159.52</v>
      </c>
    </row>
    <row r="16" spans="1:13" x14ac:dyDescent="0.3">
      <c r="A16">
        <v>15</v>
      </c>
      <c r="B16" t="s">
        <v>23</v>
      </c>
      <c r="C16" s="1">
        <v>42696</v>
      </c>
      <c r="D16" s="1">
        <v>42700</v>
      </c>
      <c r="E16" t="s">
        <v>2118</v>
      </c>
      <c r="F16" t="s">
        <v>24</v>
      </c>
      <c r="G16" t="s">
        <v>25</v>
      </c>
      <c r="H16" t="s">
        <v>26</v>
      </c>
      <c r="I16" t="s">
        <v>2117</v>
      </c>
      <c r="J16" t="s">
        <v>2110</v>
      </c>
      <c r="K16">
        <v>68.81</v>
      </c>
      <c r="L16">
        <f t="shared" si="0"/>
        <v>6881</v>
      </c>
      <c r="M16">
        <f t="shared" si="1"/>
        <v>1376.2</v>
      </c>
    </row>
    <row r="17" spans="1:13" x14ac:dyDescent="0.3">
      <c r="A17">
        <v>16</v>
      </c>
      <c r="B17" t="s">
        <v>23</v>
      </c>
      <c r="C17" s="1">
        <v>42696</v>
      </c>
      <c r="D17" s="1">
        <v>42700</v>
      </c>
      <c r="E17" t="s">
        <v>2118</v>
      </c>
      <c r="F17" t="s">
        <v>24</v>
      </c>
      <c r="G17" t="s">
        <v>25</v>
      </c>
      <c r="H17" t="s">
        <v>26</v>
      </c>
      <c r="I17" t="s">
        <v>2117</v>
      </c>
      <c r="J17" t="s">
        <v>2110</v>
      </c>
      <c r="K17">
        <v>2.544</v>
      </c>
      <c r="L17">
        <f t="shared" si="0"/>
        <v>254.4</v>
      </c>
      <c r="M17">
        <f t="shared" si="1"/>
        <v>50.88</v>
      </c>
    </row>
    <row r="18" spans="1:13" x14ac:dyDescent="0.3">
      <c r="A18">
        <v>17</v>
      </c>
      <c r="B18" t="s">
        <v>27</v>
      </c>
      <c r="C18" s="1">
        <v>42319</v>
      </c>
      <c r="D18" s="1">
        <v>42326</v>
      </c>
      <c r="E18" t="s">
        <v>2118</v>
      </c>
      <c r="F18" t="s">
        <v>28</v>
      </c>
      <c r="G18" t="s">
        <v>29</v>
      </c>
      <c r="H18" t="s">
        <v>6</v>
      </c>
      <c r="I18" t="s">
        <v>2117</v>
      </c>
      <c r="J18" t="s">
        <v>2110</v>
      </c>
      <c r="K18">
        <v>665.88</v>
      </c>
      <c r="L18">
        <f t="shared" si="0"/>
        <v>66588</v>
      </c>
      <c r="M18">
        <f t="shared" si="1"/>
        <v>13317.6</v>
      </c>
    </row>
    <row r="19" spans="1:13" x14ac:dyDescent="0.3">
      <c r="A19">
        <v>18</v>
      </c>
      <c r="B19" t="s">
        <v>30</v>
      </c>
      <c r="C19" s="1">
        <v>42137</v>
      </c>
      <c r="D19" s="1">
        <v>42139</v>
      </c>
      <c r="E19" t="s">
        <v>2119</v>
      </c>
      <c r="F19" t="s">
        <v>31</v>
      </c>
      <c r="G19" t="s">
        <v>32</v>
      </c>
      <c r="H19" t="s">
        <v>6</v>
      </c>
      <c r="I19" t="s">
        <v>2112</v>
      </c>
      <c r="J19" t="s">
        <v>2110</v>
      </c>
      <c r="K19">
        <v>55.5</v>
      </c>
      <c r="L19">
        <f t="shared" si="0"/>
        <v>5550</v>
      </c>
      <c r="M19">
        <f t="shared" si="1"/>
        <v>1110</v>
      </c>
    </row>
    <row r="20" spans="1:13" x14ac:dyDescent="0.3">
      <c r="A20">
        <v>19</v>
      </c>
      <c r="B20" t="s">
        <v>33</v>
      </c>
      <c r="C20" s="1">
        <v>42243</v>
      </c>
      <c r="D20" s="1">
        <v>42248</v>
      </c>
      <c r="E20" t="s">
        <v>2119</v>
      </c>
      <c r="F20" t="s">
        <v>34</v>
      </c>
      <c r="G20" t="s">
        <v>35</v>
      </c>
      <c r="H20" t="s">
        <v>6</v>
      </c>
      <c r="I20" t="s">
        <v>2112</v>
      </c>
      <c r="J20" t="s">
        <v>2110</v>
      </c>
      <c r="K20">
        <v>8.56</v>
      </c>
      <c r="L20">
        <f t="shared" si="0"/>
        <v>856</v>
      </c>
      <c r="M20">
        <f t="shared" si="1"/>
        <v>171.20000000000002</v>
      </c>
    </row>
    <row r="21" spans="1:13" x14ac:dyDescent="0.3">
      <c r="A21">
        <v>20</v>
      </c>
      <c r="B21" t="s">
        <v>33</v>
      </c>
      <c r="C21" s="1">
        <v>42243</v>
      </c>
      <c r="D21" s="1">
        <v>42248</v>
      </c>
      <c r="E21" t="s">
        <v>2119</v>
      </c>
      <c r="F21" t="s">
        <v>34</v>
      </c>
      <c r="G21" t="s">
        <v>35</v>
      </c>
      <c r="H21" t="s">
        <v>6</v>
      </c>
      <c r="I21" t="s">
        <v>2112</v>
      </c>
      <c r="J21" t="s">
        <v>2111</v>
      </c>
      <c r="K21">
        <v>213.48</v>
      </c>
      <c r="L21">
        <f t="shared" si="0"/>
        <v>21348</v>
      </c>
      <c r="M21">
        <f t="shared" si="1"/>
        <v>4269.6000000000004</v>
      </c>
    </row>
    <row r="22" spans="1:13" x14ac:dyDescent="0.3">
      <c r="A22">
        <v>21</v>
      </c>
      <c r="B22" t="s">
        <v>33</v>
      </c>
      <c r="C22" s="1">
        <v>42243</v>
      </c>
      <c r="D22" s="1">
        <v>42248</v>
      </c>
      <c r="E22" t="s">
        <v>2119</v>
      </c>
      <c r="F22" t="s">
        <v>34</v>
      </c>
      <c r="G22" t="s">
        <v>35</v>
      </c>
      <c r="H22" t="s">
        <v>6</v>
      </c>
      <c r="I22" t="s">
        <v>2112</v>
      </c>
      <c r="J22" t="s">
        <v>2110</v>
      </c>
      <c r="K22">
        <v>22.72</v>
      </c>
      <c r="L22">
        <f t="shared" si="0"/>
        <v>2272</v>
      </c>
      <c r="M22">
        <f t="shared" si="1"/>
        <v>454.40000000000003</v>
      </c>
    </row>
    <row r="23" spans="1:13" x14ac:dyDescent="0.3">
      <c r="A23">
        <v>22</v>
      </c>
      <c r="B23" t="s">
        <v>36</v>
      </c>
      <c r="C23" s="1">
        <v>43078</v>
      </c>
      <c r="D23" s="1">
        <v>43082</v>
      </c>
      <c r="E23" t="s">
        <v>2118</v>
      </c>
      <c r="F23" t="s">
        <v>37</v>
      </c>
      <c r="G23" t="s">
        <v>38</v>
      </c>
      <c r="H23" t="s">
        <v>10</v>
      </c>
      <c r="I23" t="s">
        <v>2117</v>
      </c>
      <c r="J23" t="s">
        <v>2110</v>
      </c>
      <c r="K23">
        <v>19.46</v>
      </c>
      <c r="L23">
        <f t="shared" si="0"/>
        <v>1946</v>
      </c>
      <c r="M23">
        <f t="shared" si="1"/>
        <v>389.20000000000005</v>
      </c>
    </row>
    <row r="24" spans="1:13" x14ac:dyDescent="0.3">
      <c r="A24">
        <v>23</v>
      </c>
      <c r="B24" t="s">
        <v>36</v>
      </c>
      <c r="C24" s="1">
        <v>43078</v>
      </c>
      <c r="D24" s="1">
        <v>43082</v>
      </c>
      <c r="E24" t="s">
        <v>2118</v>
      </c>
      <c r="F24" t="s">
        <v>37</v>
      </c>
      <c r="G24" t="s">
        <v>38</v>
      </c>
      <c r="H24" t="s">
        <v>10</v>
      </c>
      <c r="I24" t="s">
        <v>2117</v>
      </c>
      <c r="J24" t="s">
        <v>2110</v>
      </c>
      <c r="K24">
        <v>60.34</v>
      </c>
      <c r="L24">
        <f t="shared" si="0"/>
        <v>6034</v>
      </c>
      <c r="M24">
        <f t="shared" si="1"/>
        <v>1206.8</v>
      </c>
    </row>
    <row r="25" spans="1:13" x14ac:dyDescent="0.3">
      <c r="A25">
        <v>24</v>
      </c>
      <c r="B25" t="s">
        <v>39</v>
      </c>
      <c r="C25" s="1">
        <v>43297</v>
      </c>
      <c r="D25" s="1">
        <v>43299</v>
      </c>
      <c r="E25" t="s">
        <v>2119</v>
      </c>
      <c r="F25" t="s">
        <v>40</v>
      </c>
      <c r="G25" t="s">
        <v>41</v>
      </c>
      <c r="H25" t="s">
        <v>6</v>
      </c>
      <c r="I25" t="s">
        <v>2114</v>
      </c>
      <c r="J25" t="s">
        <v>2109</v>
      </c>
      <c r="K25">
        <v>71.372</v>
      </c>
      <c r="L25">
        <f t="shared" si="0"/>
        <v>7137.2</v>
      </c>
      <c r="M25">
        <f t="shared" si="1"/>
        <v>1427.44</v>
      </c>
    </row>
    <row r="26" spans="1:13" x14ac:dyDescent="0.3">
      <c r="A26">
        <v>25</v>
      </c>
      <c r="B26" t="s">
        <v>42</v>
      </c>
      <c r="C26" s="1">
        <v>42638</v>
      </c>
      <c r="D26" s="1">
        <v>42643</v>
      </c>
      <c r="E26" t="s">
        <v>2118</v>
      </c>
      <c r="F26" t="s">
        <v>43</v>
      </c>
      <c r="G26" t="s">
        <v>44</v>
      </c>
      <c r="H26" t="s">
        <v>6</v>
      </c>
      <c r="I26" t="s">
        <v>2112</v>
      </c>
      <c r="J26" t="s">
        <v>2109</v>
      </c>
      <c r="K26">
        <v>1044.6300000000001</v>
      </c>
      <c r="L26">
        <f t="shared" si="0"/>
        <v>104463.00000000001</v>
      </c>
      <c r="M26">
        <f t="shared" si="1"/>
        <v>20892.600000000006</v>
      </c>
    </row>
    <row r="27" spans="1:13" x14ac:dyDescent="0.3">
      <c r="A27">
        <v>26</v>
      </c>
      <c r="B27" t="s">
        <v>45</v>
      </c>
      <c r="C27" s="1">
        <v>42751</v>
      </c>
      <c r="D27" s="1">
        <v>42755</v>
      </c>
      <c r="E27" t="s">
        <v>2119</v>
      </c>
      <c r="F27" t="s">
        <v>46</v>
      </c>
      <c r="G27" t="s">
        <v>47</v>
      </c>
      <c r="H27" t="s">
        <v>6</v>
      </c>
      <c r="I27" t="s">
        <v>2112</v>
      </c>
      <c r="J27" t="s">
        <v>2110</v>
      </c>
      <c r="K27">
        <v>11.648</v>
      </c>
      <c r="L27">
        <f t="shared" si="0"/>
        <v>1164.8</v>
      </c>
      <c r="M27">
        <f t="shared" si="1"/>
        <v>232.96</v>
      </c>
    </row>
    <row r="28" spans="1:13" x14ac:dyDescent="0.3">
      <c r="A28">
        <v>27</v>
      </c>
      <c r="B28" t="s">
        <v>45</v>
      </c>
      <c r="C28" s="1">
        <v>42751</v>
      </c>
      <c r="D28" s="1">
        <v>42755</v>
      </c>
      <c r="E28" t="s">
        <v>2119</v>
      </c>
      <c r="F28" t="s">
        <v>46</v>
      </c>
      <c r="G28" t="s">
        <v>47</v>
      </c>
      <c r="H28" t="s">
        <v>6</v>
      </c>
      <c r="I28" t="s">
        <v>2112</v>
      </c>
      <c r="J28" t="s">
        <v>2111</v>
      </c>
      <c r="K28">
        <v>90.57</v>
      </c>
      <c r="L28">
        <f t="shared" si="0"/>
        <v>9057</v>
      </c>
      <c r="M28">
        <f t="shared" si="1"/>
        <v>1811.4</v>
      </c>
    </row>
    <row r="29" spans="1:13" x14ac:dyDescent="0.3">
      <c r="A29">
        <v>28</v>
      </c>
      <c r="B29" t="s">
        <v>48</v>
      </c>
      <c r="C29" s="1">
        <v>42630</v>
      </c>
      <c r="D29" s="1">
        <v>42634</v>
      </c>
      <c r="E29" t="s">
        <v>2118</v>
      </c>
      <c r="F29" t="s">
        <v>49</v>
      </c>
      <c r="G29" t="s">
        <v>50</v>
      </c>
      <c r="H29" t="s">
        <v>6</v>
      </c>
      <c r="I29" t="s">
        <v>2114</v>
      </c>
      <c r="J29" t="s">
        <v>2109</v>
      </c>
      <c r="K29">
        <v>3083.43</v>
      </c>
      <c r="L29">
        <f t="shared" si="0"/>
        <v>308343</v>
      </c>
      <c r="M29">
        <f t="shared" si="1"/>
        <v>61668.600000000006</v>
      </c>
    </row>
    <row r="30" spans="1:13" x14ac:dyDescent="0.3">
      <c r="A30">
        <v>29</v>
      </c>
      <c r="B30" t="s">
        <v>48</v>
      </c>
      <c r="C30" s="1">
        <v>42630</v>
      </c>
      <c r="D30" s="1">
        <v>42634</v>
      </c>
      <c r="E30" t="s">
        <v>2118</v>
      </c>
      <c r="F30" t="s">
        <v>49</v>
      </c>
      <c r="G30" t="s">
        <v>50</v>
      </c>
      <c r="H30" t="s">
        <v>6</v>
      </c>
      <c r="I30" t="s">
        <v>2114</v>
      </c>
      <c r="J30" t="s">
        <v>2110</v>
      </c>
      <c r="K30">
        <v>9.6180000000000003</v>
      </c>
      <c r="L30">
        <f t="shared" si="0"/>
        <v>961.80000000000007</v>
      </c>
      <c r="M30">
        <f t="shared" si="1"/>
        <v>192.36</v>
      </c>
    </row>
    <row r="31" spans="1:13" x14ac:dyDescent="0.3">
      <c r="A31">
        <v>30</v>
      </c>
      <c r="B31" t="s">
        <v>48</v>
      </c>
      <c r="C31" s="1">
        <v>42630</v>
      </c>
      <c r="D31" s="1">
        <v>42634</v>
      </c>
      <c r="E31" t="s">
        <v>2118</v>
      </c>
      <c r="F31" t="s">
        <v>49</v>
      </c>
      <c r="G31" t="s">
        <v>50</v>
      </c>
      <c r="H31" t="s">
        <v>6</v>
      </c>
      <c r="I31" t="s">
        <v>2114</v>
      </c>
      <c r="J31" t="s">
        <v>2109</v>
      </c>
      <c r="K31">
        <v>124.2</v>
      </c>
      <c r="L31">
        <f t="shared" si="0"/>
        <v>12420</v>
      </c>
      <c r="M31">
        <f t="shared" si="1"/>
        <v>2484</v>
      </c>
    </row>
    <row r="32" spans="1:13" x14ac:dyDescent="0.3">
      <c r="A32">
        <v>31</v>
      </c>
      <c r="B32" t="s">
        <v>48</v>
      </c>
      <c r="C32" s="1">
        <v>42630</v>
      </c>
      <c r="D32" s="1">
        <v>42634</v>
      </c>
      <c r="E32" t="s">
        <v>2118</v>
      </c>
      <c r="F32" t="s">
        <v>49</v>
      </c>
      <c r="G32" t="s">
        <v>50</v>
      </c>
      <c r="H32" t="s">
        <v>6</v>
      </c>
      <c r="I32" t="s">
        <v>2114</v>
      </c>
      <c r="J32" t="s">
        <v>2110</v>
      </c>
      <c r="K32">
        <v>3.2639999999999998</v>
      </c>
      <c r="L32">
        <f t="shared" si="0"/>
        <v>326.39999999999998</v>
      </c>
      <c r="M32">
        <f t="shared" si="1"/>
        <v>65.28</v>
      </c>
    </row>
    <row r="33" spans="1:13" x14ac:dyDescent="0.3">
      <c r="A33">
        <v>32</v>
      </c>
      <c r="B33" t="s">
        <v>48</v>
      </c>
      <c r="C33" s="1">
        <v>42630</v>
      </c>
      <c r="D33" s="1">
        <v>42634</v>
      </c>
      <c r="E33" t="s">
        <v>2118</v>
      </c>
      <c r="F33" t="s">
        <v>49</v>
      </c>
      <c r="G33" t="s">
        <v>50</v>
      </c>
      <c r="H33" t="s">
        <v>6</v>
      </c>
      <c r="I33" t="s">
        <v>2114</v>
      </c>
      <c r="J33" t="s">
        <v>2110</v>
      </c>
      <c r="K33">
        <v>86.304000000000002</v>
      </c>
      <c r="L33">
        <f t="shared" si="0"/>
        <v>8630.4</v>
      </c>
      <c r="M33">
        <f t="shared" si="1"/>
        <v>1726.08</v>
      </c>
    </row>
    <row r="34" spans="1:13" x14ac:dyDescent="0.3">
      <c r="A34">
        <v>33</v>
      </c>
      <c r="B34" t="s">
        <v>48</v>
      </c>
      <c r="C34" s="1">
        <v>42630</v>
      </c>
      <c r="D34" s="1">
        <v>42634</v>
      </c>
      <c r="E34" t="s">
        <v>2118</v>
      </c>
      <c r="F34" t="s">
        <v>49</v>
      </c>
      <c r="G34" t="s">
        <v>50</v>
      </c>
      <c r="H34" t="s">
        <v>6</v>
      </c>
      <c r="I34" t="s">
        <v>2114</v>
      </c>
      <c r="J34" t="s">
        <v>2110</v>
      </c>
      <c r="K34">
        <v>6.8579999999999997</v>
      </c>
      <c r="L34">
        <f t="shared" si="0"/>
        <v>685.8</v>
      </c>
      <c r="M34">
        <f t="shared" si="1"/>
        <v>137.16</v>
      </c>
    </row>
    <row r="35" spans="1:13" x14ac:dyDescent="0.3">
      <c r="A35">
        <v>34</v>
      </c>
      <c r="B35" t="s">
        <v>48</v>
      </c>
      <c r="C35" s="1">
        <v>42630</v>
      </c>
      <c r="D35" s="1">
        <v>42634</v>
      </c>
      <c r="E35" t="s">
        <v>2118</v>
      </c>
      <c r="F35" t="s">
        <v>49</v>
      </c>
      <c r="G35" t="s">
        <v>50</v>
      </c>
      <c r="H35" t="s">
        <v>6</v>
      </c>
      <c r="I35" t="s">
        <v>2114</v>
      </c>
      <c r="J35" t="s">
        <v>2110</v>
      </c>
      <c r="K35">
        <v>15.76</v>
      </c>
      <c r="L35">
        <f t="shared" si="0"/>
        <v>1576</v>
      </c>
      <c r="M35">
        <f t="shared" si="1"/>
        <v>315.20000000000005</v>
      </c>
    </row>
    <row r="36" spans="1:13" x14ac:dyDescent="0.3">
      <c r="A36">
        <v>35</v>
      </c>
      <c r="B36" t="s">
        <v>51</v>
      </c>
      <c r="C36" s="1">
        <v>43392</v>
      </c>
      <c r="D36" s="1">
        <v>43396</v>
      </c>
      <c r="E36" t="s">
        <v>2119</v>
      </c>
      <c r="F36" t="s">
        <v>52</v>
      </c>
      <c r="G36" t="s">
        <v>53</v>
      </c>
      <c r="H36" t="s">
        <v>26</v>
      </c>
      <c r="I36" t="s">
        <v>2117</v>
      </c>
      <c r="J36" t="s">
        <v>2110</v>
      </c>
      <c r="K36">
        <v>29.472000000000001</v>
      </c>
      <c r="L36">
        <f t="shared" si="0"/>
        <v>2947.2000000000003</v>
      </c>
      <c r="M36">
        <f t="shared" si="1"/>
        <v>589.44000000000005</v>
      </c>
    </row>
    <row r="37" spans="1:13" x14ac:dyDescent="0.3">
      <c r="A37">
        <v>36</v>
      </c>
      <c r="B37" t="s">
        <v>54</v>
      </c>
      <c r="C37" s="1">
        <v>43077</v>
      </c>
      <c r="D37" s="1">
        <v>43079</v>
      </c>
      <c r="E37" t="s">
        <v>2120</v>
      </c>
      <c r="F37" t="s">
        <v>55</v>
      </c>
      <c r="G37" t="s">
        <v>56</v>
      </c>
      <c r="H37" t="s">
        <v>10</v>
      </c>
      <c r="I37" t="s">
        <v>2117</v>
      </c>
      <c r="J37" t="s">
        <v>2111</v>
      </c>
      <c r="K37">
        <v>1097.5440000000001</v>
      </c>
      <c r="L37">
        <f t="shared" si="0"/>
        <v>109754.40000000001</v>
      </c>
      <c r="M37">
        <f t="shared" si="1"/>
        <v>21950.880000000005</v>
      </c>
    </row>
    <row r="38" spans="1:13" x14ac:dyDescent="0.3">
      <c r="A38">
        <v>37</v>
      </c>
      <c r="B38" t="s">
        <v>54</v>
      </c>
      <c r="C38" s="1">
        <v>43077</v>
      </c>
      <c r="D38" s="1">
        <v>43079</v>
      </c>
      <c r="E38" t="s">
        <v>2120</v>
      </c>
      <c r="F38" t="s">
        <v>55</v>
      </c>
      <c r="G38" t="s">
        <v>56</v>
      </c>
      <c r="H38" t="s">
        <v>10</v>
      </c>
      <c r="I38" t="s">
        <v>2117</v>
      </c>
      <c r="J38" t="s">
        <v>2109</v>
      </c>
      <c r="K38">
        <v>190.92</v>
      </c>
      <c r="L38">
        <f t="shared" si="0"/>
        <v>19092</v>
      </c>
      <c r="M38">
        <f t="shared" si="1"/>
        <v>3818.4</v>
      </c>
    </row>
    <row r="39" spans="1:13" x14ac:dyDescent="0.3">
      <c r="A39">
        <v>38</v>
      </c>
      <c r="B39" t="s">
        <v>57</v>
      </c>
      <c r="C39" s="1">
        <v>42731</v>
      </c>
      <c r="D39" s="1">
        <v>42735</v>
      </c>
      <c r="E39" t="s">
        <v>2118</v>
      </c>
      <c r="F39" t="s">
        <v>58</v>
      </c>
      <c r="G39" t="s">
        <v>59</v>
      </c>
      <c r="H39" t="s">
        <v>26</v>
      </c>
      <c r="I39" t="s">
        <v>2117</v>
      </c>
      <c r="J39" t="s">
        <v>2110</v>
      </c>
      <c r="K39">
        <v>113.328</v>
      </c>
      <c r="L39">
        <f t="shared" si="0"/>
        <v>11332.800000000001</v>
      </c>
      <c r="M39">
        <f t="shared" si="1"/>
        <v>2266.5600000000004</v>
      </c>
    </row>
    <row r="40" spans="1:13" x14ac:dyDescent="0.3">
      <c r="A40">
        <v>39</v>
      </c>
      <c r="B40" t="s">
        <v>57</v>
      </c>
      <c r="C40" s="1">
        <v>42731</v>
      </c>
      <c r="D40" s="1">
        <v>42735</v>
      </c>
      <c r="E40" t="s">
        <v>2118</v>
      </c>
      <c r="F40" t="s">
        <v>58</v>
      </c>
      <c r="G40" t="s">
        <v>59</v>
      </c>
      <c r="H40" t="s">
        <v>26</v>
      </c>
      <c r="I40" t="s">
        <v>2117</v>
      </c>
      <c r="J40" t="s">
        <v>2109</v>
      </c>
      <c r="K40">
        <v>532.39919999999995</v>
      </c>
      <c r="L40">
        <f t="shared" si="0"/>
        <v>53239.92</v>
      </c>
      <c r="M40">
        <f t="shared" si="1"/>
        <v>10647.984</v>
      </c>
    </row>
    <row r="41" spans="1:13" x14ac:dyDescent="0.3">
      <c r="A41">
        <v>40</v>
      </c>
      <c r="B41" t="s">
        <v>57</v>
      </c>
      <c r="C41" s="1">
        <v>42731</v>
      </c>
      <c r="D41" s="1">
        <v>42735</v>
      </c>
      <c r="E41" t="s">
        <v>2118</v>
      </c>
      <c r="F41" t="s">
        <v>58</v>
      </c>
      <c r="G41" t="s">
        <v>59</v>
      </c>
      <c r="H41" t="s">
        <v>26</v>
      </c>
      <c r="I41" t="s">
        <v>2117</v>
      </c>
      <c r="J41" t="s">
        <v>2109</v>
      </c>
      <c r="K41">
        <v>212.05799999999999</v>
      </c>
      <c r="L41">
        <f t="shared" si="0"/>
        <v>21205.8</v>
      </c>
      <c r="M41">
        <f t="shared" si="1"/>
        <v>4241.16</v>
      </c>
    </row>
    <row r="42" spans="1:13" x14ac:dyDescent="0.3">
      <c r="A42">
        <v>41</v>
      </c>
      <c r="B42" t="s">
        <v>57</v>
      </c>
      <c r="C42" s="1">
        <v>42731</v>
      </c>
      <c r="D42" s="1">
        <v>42735</v>
      </c>
      <c r="E42" t="s">
        <v>2118</v>
      </c>
      <c r="F42" t="s">
        <v>58</v>
      </c>
      <c r="G42" t="s">
        <v>59</v>
      </c>
      <c r="H42" t="s">
        <v>26</v>
      </c>
      <c r="I42" t="s">
        <v>2117</v>
      </c>
      <c r="J42" t="s">
        <v>2111</v>
      </c>
      <c r="K42">
        <v>371.16800000000001</v>
      </c>
      <c r="L42">
        <f t="shared" si="0"/>
        <v>37116.800000000003</v>
      </c>
      <c r="M42">
        <f t="shared" si="1"/>
        <v>7423.3600000000006</v>
      </c>
    </row>
    <row r="43" spans="1:13" x14ac:dyDescent="0.3">
      <c r="A43">
        <v>42</v>
      </c>
      <c r="B43" t="s">
        <v>60</v>
      </c>
      <c r="C43" s="1">
        <v>43353</v>
      </c>
      <c r="D43" s="1">
        <v>43358</v>
      </c>
      <c r="E43" t="s">
        <v>2118</v>
      </c>
      <c r="F43" t="s">
        <v>61</v>
      </c>
      <c r="G43" t="s">
        <v>62</v>
      </c>
      <c r="H43" t="s">
        <v>10</v>
      </c>
      <c r="I43" t="s">
        <v>2117</v>
      </c>
      <c r="J43" t="s">
        <v>2111</v>
      </c>
      <c r="K43">
        <v>147.16800000000001</v>
      </c>
      <c r="L43">
        <f t="shared" si="0"/>
        <v>14716.800000000001</v>
      </c>
      <c r="M43">
        <f t="shared" si="1"/>
        <v>2943.3600000000006</v>
      </c>
    </row>
    <row r="44" spans="1:13" x14ac:dyDescent="0.3">
      <c r="A44">
        <v>43</v>
      </c>
      <c r="B44" t="s">
        <v>63</v>
      </c>
      <c r="C44" s="1">
        <v>42933</v>
      </c>
      <c r="D44" s="1">
        <v>42938</v>
      </c>
      <c r="E44" t="s">
        <v>2118</v>
      </c>
      <c r="F44" t="s">
        <v>64</v>
      </c>
      <c r="G44" t="s">
        <v>65</v>
      </c>
      <c r="H44" t="s">
        <v>10</v>
      </c>
      <c r="I44" t="s">
        <v>2112</v>
      </c>
      <c r="J44" t="s">
        <v>2110</v>
      </c>
      <c r="K44">
        <v>77.88</v>
      </c>
      <c r="L44">
        <f t="shared" si="0"/>
        <v>7788</v>
      </c>
      <c r="M44">
        <f t="shared" si="1"/>
        <v>1557.6000000000001</v>
      </c>
    </row>
    <row r="45" spans="1:13" x14ac:dyDescent="0.3">
      <c r="A45">
        <v>44</v>
      </c>
      <c r="B45" t="s">
        <v>66</v>
      </c>
      <c r="C45" s="1">
        <v>43362</v>
      </c>
      <c r="D45" s="1">
        <v>43366</v>
      </c>
      <c r="E45" t="s">
        <v>2118</v>
      </c>
      <c r="F45" t="s">
        <v>67</v>
      </c>
      <c r="G45" t="s">
        <v>68</v>
      </c>
      <c r="H45" t="s">
        <v>10</v>
      </c>
      <c r="I45" t="s">
        <v>2115</v>
      </c>
      <c r="J45" t="s">
        <v>2110</v>
      </c>
      <c r="K45">
        <v>95.616</v>
      </c>
      <c r="L45">
        <f t="shared" si="0"/>
        <v>9561.6</v>
      </c>
      <c r="M45">
        <f t="shared" si="1"/>
        <v>1912.3200000000002</v>
      </c>
    </row>
    <row r="46" spans="1:13" x14ac:dyDescent="0.3">
      <c r="A46">
        <v>45</v>
      </c>
      <c r="B46" t="s">
        <v>69</v>
      </c>
      <c r="C46" s="1">
        <v>42805</v>
      </c>
      <c r="D46" s="1">
        <v>42807</v>
      </c>
      <c r="E46" t="s">
        <v>2120</v>
      </c>
      <c r="F46" t="s">
        <v>70</v>
      </c>
      <c r="G46" t="s">
        <v>71</v>
      </c>
      <c r="H46" t="s">
        <v>10</v>
      </c>
      <c r="I46" t="s">
        <v>2117</v>
      </c>
      <c r="J46" t="s">
        <v>2111</v>
      </c>
      <c r="K46">
        <v>45.98</v>
      </c>
      <c r="L46">
        <f t="shared" si="0"/>
        <v>4598</v>
      </c>
      <c r="M46">
        <f t="shared" si="1"/>
        <v>919.6</v>
      </c>
    </row>
    <row r="47" spans="1:13" x14ac:dyDescent="0.3">
      <c r="A47">
        <v>46</v>
      </c>
      <c r="B47" t="s">
        <v>69</v>
      </c>
      <c r="C47" s="1">
        <v>42805</v>
      </c>
      <c r="D47" s="1">
        <v>42807</v>
      </c>
      <c r="E47" t="s">
        <v>2120</v>
      </c>
      <c r="F47" t="s">
        <v>70</v>
      </c>
      <c r="G47" t="s">
        <v>71</v>
      </c>
      <c r="H47" t="s">
        <v>10</v>
      </c>
      <c r="I47" t="s">
        <v>2117</v>
      </c>
      <c r="J47" t="s">
        <v>2110</v>
      </c>
      <c r="K47">
        <v>17.46</v>
      </c>
      <c r="L47">
        <f t="shared" si="0"/>
        <v>1746</v>
      </c>
      <c r="M47">
        <f t="shared" si="1"/>
        <v>349.20000000000005</v>
      </c>
    </row>
    <row r="48" spans="1:13" x14ac:dyDescent="0.3">
      <c r="A48">
        <v>47</v>
      </c>
      <c r="B48" t="s">
        <v>72</v>
      </c>
      <c r="C48" s="1">
        <v>42297</v>
      </c>
      <c r="D48" s="1">
        <v>42302</v>
      </c>
      <c r="E48" t="s">
        <v>2119</v>
      </c>
      <c r="F48" t="s">
        <v>73</v>
      </c>
      <c r="G48" t="s">
        <v>74</v>
      </c>
      <c r="H48" t="s">
        <v>6</v>
      </c>
      <c r="I48" t="s">
        <v>2117</v>
      </c>
      <c r="J48" t="s">
        <v>2110</v>
      </c>
      <c r="K48">
        <v>211.96</v>
      </c>
      <c r="L48">
        <f t="shared" si="0"/>
        <v>21196</v>
      </c>
      <c r="M48">
        <f t="shared" si="1"/>
        <v>4239.2</v>
      </c>
    </row>
    <row r="49" spans="1:13" x14ac:dyDescent="0.3">
      <c r="A49">
        <v>48</v>
      </c>
      <c r="B49" t="s">
        <v>75</v>
      </c>
      <c r="C49" s="1">
        <v>42906</v>
      </c>
      <c r="D49" s="1">
        <v>42911</v>
      </c>
      <c r="E49" t="s">
        <v>2118</v>
      </c>
      <c r="F49" t="s">
        <v>76</v>
      </c>
      <c r="G49" t="s">
        <v>77</v>
      </c>
      <c r="H49" t="s">
        <v>6</v>
      </c>
      <c r="I49" t="s">
        <v>2114</v>
      </c>
      <c r="J49" t="s">
        <v>2111</v>
      </c>
      <c r="K49">
        <v>45</v>
      </c>
      <c r="L49">
        <f t="shared" si="0"/>
        <v>4500</v>
      </c>
      <c r="M49">
        <f t="shared" si="1"/>
        <v>900</v>
      </c>
    </row>
    <row r="50" spans="1:13" x14ac:dyDescent="0.3">
      <c r="A50">
        <v>49</v>
      </c>
      <c r="B50" t="s">
        <v>75</v>
      </c>
      <c r="C50" s="1">
        <v>42906</v>
      </c>
      <c r="D50" s="1">
        <v>42911</v>
      </c>
      <c r="E50" t="s">
        <v>2118</v>
      </c>
      <c r="F50" t="s">
        <v>76</v>
      </c>
      <c r="G50" t="s">
        <v>77</v>
      </c>
      <c r="H50" t="s">
        <v>6</v>
      </c>
      <c r="I50" t="s">
        <v>2114</v>
      </c>
      <c r="J50" t="s">
        <v>2111</v>
      </c>
      <c r="K50">
        <v>21.8</v>
      </c>
      <c r="L50">
        <f t="shared" si="0"/>
        <v>2180</v>
      </c>
      <c r="M50">
        <f t="shared" si="1"/>
        <v>436</v>
      </c>
    </row>
    <row r="51" spans="1:13" x14ac:dyDescent="0.3">
      <c r="A51">
        <v>50</v>
      </c>
      <c r="B51" t="s">
        <v>78</v>
      </c>
      <c r="C51" s="1">
        <v>42478</v>
      </c>
      <c r="D51" s="1">
        <v>42482</v>
      </c>
      <c r="E51" t="s">
        <v>2118</v>
      </c>
      <c r="F51" t="s">
        <v>79</v>
      </c>
      <c r="G51" t="s">
        <v>80</v>
      </c>
      <c r="H51" t="s">
        <v>6</v>
      </c>
      <c r="I51" t="s">
        <v>2117</v>
      </c>
      <c r="J51" t="s">
        <v>2110</v>
      </c>
      <c r="K51">
        <v>38.22</v>
      </c>
      <c r="L51">
        <f t="shared" si="0"/>
        <v>3822</v>
      </c>
      <c r="M51">
        <f t="shared" si="1"/>
        <v>764.40000000000009</v>
      </c>
    </row>
    <row r="52" spans="1:13" x14ac:dyDescent="0.3">
      <c r="A52">
        <v>51</v>
      </c>
      <c r="B52" t="s">
        <v>78</v>
      </c>
      <c r="C52" s="1">
        <v>42478</v>
      </c>
      <c r="D52" s="1">
        <v>42482</v>
      </c>
      <c r="E52" t="s">
        <v>2118</v>
      </c>
      <c r="F52" t="s">
        <v>79</v>
      </c>
      <c r="G52" t="s">
        <v>80</v>
      </c>
      <c r="H52" t="s">
        <v>6</v>
      </c>
      <c r="I52" t="s">
        <v>2117</v>
      </c>
      <c r="J52" t="s">
        <v>2110</v>
      </c>
      <c r="K52">
        <v>75.180000000000007</v>
      </c>
      <c r="L52">
        <f t="shared" si="0"/>
        <v>7518.0000000000009</v>
      </c>
      <c r="M52">
        <f t="shared" si="1"/>
        <v>1503.6000000000004</v>
      </c>
    </row>
    <row r="53" spans="1:13" x14ac:dyDescent="0.3">
      <c r="A53">
        <v>52</v>
      </c>
      <c r="B53" t="s">
        <v>78</v>
      </c>
      <c r="C53" s="1">
        <v>42478</v>
      </c>
      <c r="D53" s="1">
        <v>42482</v>
      </c>
      <c r="E53" t="s">
        <v>2118</v>
      </c>
      <c r="F53" t="s">
        <v>79</v>
      </c>
      <c r="G53" t="s">
        <v>80</v>
      </c>
      <c r="H53" t="s">
        <v>6</v>
      </c>
      <c r="I53" t="s">
        <v>2117</v>
      </c>
      <c r="J53" t="s">
        <v>2109</v>
      </c>
      <c r="K53">
        <v>6.16</v>
      </c>
      <c r="L53">
        <f t="shared" si="0"/>
        <v>616</v>
      </c>
      <c r="M53">
        <f t="shared" si="1"/>
        <v>123.2</v>
      </c>
    </row>
    <row r="54" spans="1:13" x14ac:dyDescent="0.3">
      <c r="A54">
        <v>53</v>
      </c>
      <c r="B54" t="s">
        <v>78</v>
      </c>
      <c r="C54" s="1">
        <v>42478</v>
      </c>
      <c r="D54" s="1">
        <v>42482</v>
      </c>
      <c r="E54" t="s">
        <v>2118</v>
      </c>
      <c r="F54" t="s">
        <v>79</v>
      </c>
      <c r="G54" t="s">
        <v>80</v>
      </c>
      <c r="H54" t="s">
        <v>6</v>
      </c>
      <c r="I54" t="s">
        <v>2117</v>
      </c>
      <c r="J54" t="s">
        <v>2109</v>
      </c>
      <c r="K54">
        <v>89.99</v>
      </c>
      <c r="L54">
        <f t="shared" si="0"/>
        <v>8999</v>
      </c>
      <c r="M54">
        <f t="shared" si="1"/>
        <v>1799.8000000000002</v>
      </c>
    </row>
    <row r="55" spans="1:13" x14ac:dyDescent="0.3">
      <c r="A55">
        <v>54</v>
      </c>
      <c r="B55" t="s">
        <v>81</v>
      </c>
      <c r="C55" s="1">
        <v>43080</v>
      </c>
      <c r="D55" s="1">
        <v>43086</v>
      </c>
      <c r="E55" t="s">
        <v>2118</v>
      </c>
      <c r="F55" t="s">
        <v>82</v>
      </c>
      <c r="G55" t="s">
        <v>83</v>
      </c>
      <c r="H55" t="s">
        <v>10</v>
      </c>
      <c r="I55" t="s">
        <v>2114</v>
      </c>
      <c r="J55" t="s">
        <v>2110</v>
      </c>
      <c r="K55">
        <v>15.26</v>
      </c>
      <c r="L55">
        <f t="shared" si="0"/>
        <v>1526</v>
      </c>
      <c r="M55">
        <f t="shared" si="1"/>
        <v>305.2</v>
      </c>
    </row>
    <row r="56" spans="1:13" x14ac:dyDescent="0.3">
      <c r="A56">
        <v>55</v>
      </c>
      <c r="B56" t="s">
        <v>81</v>
      </c>
      <c r="C56" s="1">
        <v>43080</v>
      </c>
      <c r="D56" s="1">
        <v>43086</v>
      </c>
      <c r="E56" t="s">
        <v>2118</v>
      </c>
      <c r="F56" t="s">
        <v>82</v>
      </c>
      <c r="G56" t="s">
        <v>83</v>
      </c>
      <c r="H56" t="s">
        <v>10</v>
      </c>
      <c r="I56" t="s">
        <v>2114</v>
      </c>
      <c r="J56" t="s">
        <v>2111</v>
      </c>
      <c r="K56">
        <v>1029.95</v>
      </c>
      <c r="L56">
        <f t="shared" si="0"/>
        <v>102995</v>
      </c>
      <c r="M56">
        <f t="shared" si="1"/>
        <v>20599</v>
      </c>
    </row>
    <row r="57" spans="1:13" x14ac:dyDescent="0.3">
      <c r="A57">
        <v>56</v>
      </c>
      <c r="B57" t="s">
        <v>84</v>
      </c>
      <c r="C57" s="1">
        <v>42903</v>
      </c>
      <c r="D57" s="1">
        <v>42904</v>
      </c>
      <c r="E57" t="s">
        <v>2120</v>
      </c>
      <c r="F57" t="s">
        <v>85</v>
      </c>
      <c r="G57" t="s">
        <v>86</v>
      </c>
      <c r="H57" t="s">
        <v>6</v>
      </c>
      <c r="I57" t="s">
        <v>2114</v>
      </c>
      <c r="J57" t="s">
        <v>2110</v>
      </c>
      <c r="K57">
        <v>208.56</v>
      </c>
      <c r="L57">
        <f t="shared" si="0"/>
        <v>20856</v>
      </c>
      <c r="M57">
        <f t="shared" si="1"/>
        <v>4171.2</v>
      </c>
    </row>
    <row r="58" spans="1:13" x14ac:dyDescent="0.3">
      <c r="A58">
        <v>57</v>
      </c>
      <c r="B58" t="s">
        <v>84</v>
      </c>
      <c r="C58" s="1">
        <v>42903</v>
      </c>
      <c r="D58" s="1">
        <v>42904</v>
      </c>
      <c r="E58" t="s">
        <v>2120</v>
      </c>
      <c r="F58" t="s">
        <v>85</v>
      </c>
      <c r="G58" t="s">
        <v>86</v>
      </c>
      <c r="H58" t="s">
        <v>6</v>
      </c>
      <c r="I58" t="s">
        <v>2114</v>
      </c>
      <c r="J58" t="s">
        <v>2110</v>
      </c>
      <c r="K58">
        <v>32.4</v>
      </c>
      <c r="L58">
        <f t="shared" si="0"/>
        <v>3240</v>
      </c>
      <c r="M58">
        <f t="shared" si="1"/>
        <v>648</v>
      </c>
    </row>
    <row r="59" spans="1:13" x14ac:dyDescent="0.3">
      <c r="A59">
        <v>58</v>
      </c>
      <c r="B59" t="s">
        <v>84</v>
      </c>
      <c r="C59" s="1">
        <v>42903</v>
      </c>
      <c r="D59" s="1">
        <v>42904</v>
      </c>
      <c r="E59" t="s">
        <v>2120</v>
      </c>
      <c r="F59" t="s">
        <v>85</v>
      </c>
      <c r="G59" t="s">
        <v>86</v>
      </c>
      <c r="H59" t="s">
        <v>6</v>
      </c>
      <c r="I59" t="s">
        <v>2114</v>
      </c>
      <c r="J59" t="s">
        <v>2109</v>
      </c>
      <c r="K59">
        <v>319.41000000000003</v>
      </c>
      <c r="L59">
        <f t="shared" si="0"/>
        <v>31941.000000000004</v>
      </c>
      <c r="M59">
        <f t="shared" si="1"/>
        <v>6388.2000000000007</v>
      </c>
    </row>
    <row r="60" spans="1:13" x14ac:dyDescent="0.3">
      <c r="A60">
        <v>59</v>
      </c>
      <c r="B60" t="s">
        <v>84</v>
      </c>
      <c r="C60" s="1">
        <v>42903</v>
      </c>
      <c r="D60" s="1">
        <v>42904</v>
      </c>
      <c r="E60" t="s">
        <v>2120</v>
      </c>
      <c r="F60" t="s">
        <v>85</v>
      </c>
      <c r="G60" t="s">
        <v>86</v>
      </c>
      <c r="H60" t="s">
        <v>6</v>
      </c>
      <c r="I60" t="s">
        <v>2114</v>
      </c>
      <c r="J60" t="s">
        <v>2110</v>
      </c>
      <c r="K60">
        <v>14.56</v>
      </c>
      <c r="L60">
        <f t="shared" si="0"/>
        <v>1456</v>
      </c>
      <c r="M60">
        <f t="shared" si="1"/>
        <v>291.2</v>
      </c>
    </row>
    <row r="61" spans="1:13" x14ac:dyDescent="0.3">
      <c r="A61">
        <v>60</v>
      </c>
      <c r="B61" t="s">
        <v>84</v>
      </c>
      <c r="C61" s="1">
        <v>42903</v>
      </c>
      <c r="D61" s="1">
        <v>42904</v>
      </c>
      <c r="E61" t="s">
        <v>2120</v>
      </c>
      <c r="F61" t="s">
        <v>85</v>
      </c>
      <c r="G61" t="s">
        <v>86</v>
      </c>
      <c r="H61" t="s">
        <v>6</v>
      </c>
      <c r="I61" t="s">
        <v>2114</v>
      </c>
      <c r="J61" t="s">
        <v>2111</v>
      </c>
      <c r="K61">
        <v>30</v>
      </c>
      <c r="L61">
        <f t="shared" si="0"/>
        <v>3000</v>
      </c>
      <c r="M61">
        <f t="shared" si="1"/>
        <v>600</v>
      </c>
    </row>
    <row r="62" spans="1:13" x14ac:dyDescent="0.3">
      <c r="A62">
        <v>61</v>
      </c>
      <c r="B62" t="s">
        <v>84</v>
      </c>
      <c r="C62" s="1">
        <v>42903</v>
      </c>
      <c r="D62" s="1">
        <v>42904</v>
      </c>
      <c r="E62" t="s">
        <v>2120</v>
      </c>
      <c r="F62" t="s">
        <v>85</v>
      </c>
      <c r="G62" t="s">
        <v>86</v>
      </c>
      <c r="H62" t="s">
        <v>6</v>
      </c>
      <c r="I62" t="s">
        <v>2114</v>
      </c>
      <c r="J62" t="s">
        <v>2110</v>
      </c>
      <c r="K62">
        <v>48.48</v>
      </c>
      <c r="L62">
        <f t="shared" si="0"/>
        <v>4848</v>
      </c>
      <c r="M62">
        <f t="shared" si="1"/>
        <v>969.6</v>
      </c>
    </row>
    <row r="63" spans="1:13" x14ac:dyDescent="0.3">
      <c r="A63">
        <v>62</v>
      </c>
      <c r="B63" t="s">
        <v>84</v>
      </c>
      <c r="C63" s="1">
        <v>42903</v>
      </c>
      <c r="D63" s="1">
        <v>42904</v>
      </c>
      <c r="E63" t="s">
        <v>2120</v>
      </c>
      <c r="F63" t="s">
        <v>85</v>
      </c>
      <c r="G63" t="s">
        <v>86</v>
      </c>
      <c r="H63" t="s">
        <v>6</v>
      </c>
      <c r="I63" t="s">
        <v>2114</v>
      </c>
      <c r="J63" t="s">
        <v>2110</v>
      </c>
      <c r="K63">
        <v>1.68</v>
      </c>
      <c r="L63">
        <f t="shared" si="0"/>
        <v>168</v>
      </c>
      <c r="M63">
        <f t="shared" si="1"/>
        <v>33.6</v>
      </c>
    </row>
    <row r="64" spans="1:13" x14ac:dyDescent="0.3">
      <c r="A64">
        <v>63</v>
      </c>
      <c r="B64" t="s">
        <v>87</v>
      </c>
      <c r="C64" s="1">
        <v>42698</v>
      </c>
      <c r="D64" s="1">
        <v>42704</v>
      </c>
      <c r="E64" t="s">
        <v>2118</v>
      </c>
      <c r="F64" t="s">
        <v>88</v>
      </c>
      <c r="G64" t="s">
        <v>89</v>
      </c>
      <c r="H64" t="s">
        <v>6</v>
      </c>
      <c r="I64" t="s">
        <v>2112</v>
      </c>
      <c r="J64" t="s">
        <v>2111</v>
      </c>
      <c r="K64">
        <v>13.98</v>
      </c>
      <c r="L64">
        <f t="shared" si="0"/>
        <v>1398</v>
      </c>
      <c r="M64">
        <f t="shared" si="1"/>
        <v>279.60000000000002</v>
      </c>
    </row>
    <row r="65" spans="1:13" x14ac:dyDescent="0.3">
      <c r="A65">
        <v>64</v>
      </c>
      <c r="B65" t="s">
        <v>87</v>
      </c>
      <c r="C65" s="1">
        <v>42698</v>
      </c>
      <c r="D65" s="1">
        <v>42704</v>
      </c>
      <c r="E65" t="s">
        <v>2118</v>
      </c>
      <c r="F65" t="s">
        <v>88</v>
      </c>
      <c r="G65" t="s">
        <v>89</v>
      </c>
      <c r="H65" t="s">
        <v>6</v>
      </c>
      <c r="I65" t="s">
        <v>2112</v>
      </c>
      <c r="J65" t="s">
        <v>2110</v>
      </c>
      <c r="K65">
        <v>25.824000000000002</v>
      </c>
      <c r="L65">
        <f t="shared" si="0"/>
        <v>2582.4</v>
      </c>
      <c r="M65">
        <f t="shared" si="1"/>
        <v>516.48</v>
      </c>
    </row>
    <row r="66" spans="1:13" x14ac:dyDescent="0.3">
      <c r="A66">
        <v>65</v>
      </c>
      <c r="B66" t="s">
        <v>87</v>
      </c>
      <c r="C66" s="1">
        <v>42698</v>
      </c>
      <c r="D66" s="1">
        <v>42704</v>
      </c>
      <c r="E66" t="s">
        <v>2118</v>
      </c>
      <c r="F66" t="s">
        <v>88</v>
      </c>
      <c r="G66" t="s">
        <v>89</v>
      </c>
      <c r="H66" t="s">
        <v>6</v>
      </c>
      <c r="I66" t="s">
        <v>2112</v>
      </c>
      <c r="J66" t="s">
        <v>2110</v>
      </c>
      <c r="K66">
        <v>146.72999999999999</v>
      </c>
      <c r="L66">
        <f t="shared" ref="L66:L129" si="2">K66*100</f>
        <v>14672.999999999998</v>
      </c>
      <c r="M66">
        <f t="shared" si="1"/>
        <v>2934.6</v>
      </c>
    </row>
    <row r="67" spans="1:13" x14ac:dyDescent="0.3">
      <c r="A67">
        <v>66</v>
      </c>
      <c r="B67" t="s">
        <v>87</v>
      </c>
      <c r="C67" s="1">
        <v>42698</v>
      </c>
      <c r="D67" s="1">
        <v>42704</v>
      </c>
      <c r="E67" t="s">
        <v>2118</v>
      </c>
      <c r="F67" t="s">
        <v>88</v>
      </c>
      <c r="G67" t="s">
        <v>89</v>
      </c>
      <c r="H67" t="s">
        <v>6</v>
      </c>
      <c r="I67" t="s">
        <v>2112</v>
      </c>
      <c r="J67" t="s">
        <v>2109</v>
      </c>
      <c r="K67">
        <v>79.760000000000005</v>
      </c>
      <c r="L67">
        <f t="shared" si="2"/>
        <v>7976.0000000000009</v>
      </c>
      <c r="M67">
        <f t="shared" ref="M67:M130" si="3">L67*0.2</f>
        <v>1595.2000000000003</v>
      </c>
    </row>
    <row r="68" spans="1:13" x14ac:dyDescent="0.3">
      <c r="A68">
        <v>67</v>
      </c>
      <c r="B68" t="s">
        <v>90</v>
      </c>
      <c r="C68" s="1">
        <v>42490</v>
      </c>
      <c r="D68" s="1">
        <v>42495</v>
      </c>
      <c r="E68" t="s">
        <v>2118</v>
      </c>
      <c r="F68" t="s">
        <v>91</v>
      </c>
      <c r="G68" t="s">
        <v>92</v>
      </c>
      <c r="H68" t="s">
        <v>26</v>
      </c>
      <c r="I68" t="s">
        <v>2117</v>
      </c>
      <c r="J68" t="s">
        <v>2109</v>
      </c>
      <c r="K68">
        <v>213.11500000000001</v>
      </c>
      <c r="L68">
        <f t="shared" si="2"/>
        <v>21311.5</v>
      </c>
      <c r="M68">
        <f t="shared" si="3"/>
        <v>4262.3</v>
      </c>
    </row>
    <row r="69" spans="1:13" x14ac:dyDescent="0.3">
      <c r="A69">
        <v>68</v>
      </c>
      <c r="B69" t="s">
        <v>93</v>
      </c>
      <c r="C69" s="1">
        <v>42343</v>
      </c>
      <c r="D69" s="1">
        <v>42348</v>
      </c>
      <c r="E69" t="s">
        <v>2118</v>
      </c>
      <c r="F69" t="s">
        <v>94</v>
      </c>
      <c r="G69" t="s">
        <v>95</v>
      </c>
      <c r="H69" t="s">
        <v>10</v>
      </c>
      <c r="I69" t="s">
        <v>2112</v>
      </c>
      <c r="J69" t="s">
        <v>2110</v>
      </c>
      <c r="K69">
        <v>1113.0239999999999</v>
      </c>
      <c r="L69">
        <f t="shared" si="2"/>
        <v>111302.39999999999</v>
      </c>
      <c r="M69">
        <f t="shared" si="3"/>
        <v>22260.48</v>
      </c>
    </row>
    <row r="70" spans="1:13" x14ac:dyDescent="0.3">
      <c r="A70">
        <v>69</v>
      </c>
      <c r="B70" t="s">
        <v>93</v>
      </c>
      <c r="C70" s="1">
        <v>42343</v>
      </c>
      <c r="D70" s="1">
        <v>42348</v>
      </c>
      <c r="E70" t="s">
        <v>2118</v>
      </c>
      <c r="F70" t="s">
        <v>94</v>
      </c>
      <c r="G70" t="s">
        <v>95</v>
      </c>
      <c r="H70" t="s">
        <v>10</v>
      </c>
      <c r="I70" t="s">
        <v>2112</v>
      </c>
      <c r="J70" t="s">
        <v>2111</v>
      </c>
      <c r="K70">
        <v>167.96799999999999</v>
      </c>
      <c r="L70">
        <f t="shared" si="2"/>
        <v>16796.8</v>
      </c>
      <c r="M70">
        <f t="shared" si="3"/>
        <v>3359.36</v>
      </c>
    </row>
    <row r="71" spans="1:13" x14ac:dyDescent="0.3">
      <c r="A71">
        <v>70</v>
      </c>
      <c r="B71" t="s">
        <v>96</v>
      </c>
      <c r="C71" s="1">
        <v>42890</v>
      </c>
      <c r="D71" s="1">
        <v>42892</v>
      </c>
      <c r="E71" t="s">
        <v>2120</v>
      </c>
      <c r="F71" t="s">
        <v>97</v>
      </c>
      <c r="G71" t="s">
        <v>98</v>
      </c>
      <c r="H71" t="s">
        <v>6</v>
      </c>
      <c r="I71" t="s">
        <v>2115</v>
      </c>
      <c r="J71" t="s">
        <v>2110</v>
      </c>
      <c r="K71">
        <v>75.88</v>
      </c>
      <c r="L71">
        <f t="shared" si="2"/>
        <v>7588</v>
      </c>
      <c r="M71">
        <f t="shared" si="3"/>
        <v>1517.6000000000001</v>
      </c>
    </row>
    <row r="72" spans="1:13" x14ac:dyDescent="0.3">
      <c r="A72">
        <v>71</v>
      </c>
      <c r="B72" t="s">
        <v>99</v>
      </c>
      <c r="C72" s="1">
        <v>42996</v>
      </c>
      <c r="D72" s="1">
        <v>43001</v>
      </c>
      <c r="E72" t="s">
        <v>2118</v>
      </c>
      <c r="F72" t="s">
        <v>100</v>
      </c>
      <c r="G72" t="s">
        <v>101</v>
      </c>
      <c r="H72" t="s">
        <v>6</v>
      </c>
      <c r="I72" t="s">
        <v>2114</v>
      </c>
      <c r="J72" t="s">
        <v>2110</v>
      </c>
      <c r="K72">
        <v>4.6159999999999997</v>
      </c>
      <c r="L72">
        <f t="shared" si="2"/>
        <v>461.59999999999997</v>
      </c>
      <c r="M72">
        <f t="shared" si="3"/>
        <v>92.32</v>
      </c>
    </row>
    <row r="73" spans="1:13" x14ac:dyDescent="0.3">
      <c r="A73">
        <v>72</v>
      </c>
      <c r="B73" t="s">
        <v>102</v>
      </c>
      <c r="C73" s="1">
        <v>43357</v>
      </c>
      <c r="D73" s="1">
        <v>43360</v>
      </c>
      <c r="E73" t="s">
        <v>2119</v>
      </c>
      <c r="F73" t="s">
        <v>49</v>
      </c>
      <c r="G73" t="s">
        <v>50</v>
      </c>
      <c r="H73" t="s">
        <v>6</v>
      </c>
      <c r="I73" t="s">
        <v>2117</v>
      </c>
      <c r="J73" t="s">
        <v>2110</v>
      </c>
      <c r="K73">
        <v>19.05</v>
      </c>
      <c r="L73">
        <f t="shared" si="2"/>
        <v>1905</v>
      </c>
      <c r="M73">
        <f t="shared" si="3"/>
        <v>381</v>
      </c>
    </row>
    <row r="74" spans="1:13" x14ac:dyDescent="0.3">
      <c r="A74">
        <v>73</v>
      </c>
      <c r="B74" t="s">
        <v>103</v>
      </c>
      <c r="C74" s="1">
        <v>42486</v>
      </c>
      <c r="D74" s="1">
        <v>42492</v>
      </c>
      <c r="E74" t="s">
        <v>2118</v>
      </c>
      <c r="F74" t="s">
        <v>104</v>
      </c>
      <c r="G74" t="s">
        <v>105</v>
      </c>
      <c r="H74" t="s">
        <v>6</v>
      </c>
      <c r="I74" t="s">
        <v>2115</v>
      </c>
      <c r="J74" t="s">
        <v>2109</v>
      </c>
      <c r="K74">
        <v>831.93600000000004</v>
      </c>
      <c r="L74">
        <f t="shared" si="2"/>
        <v>83193.600000000006</v>
      </c>
      <c r="M74">
        <f t="shared" si="3"/>
        <v>16638.72</v>
      </c>
    </row>
    <row r="75" spans="1:13" x14ac:dyDescent="0.3">
      <c r="A75">
        <v>74</v>
      </c>
      <c r="B75" t="s">
        <v>103</v>
      </c>
      <c r="C75" s="1">
        <v>42486</v>
      </c>
      <c r="D75" s="1">
        <v>42492</v>
      </c>
      <c r="E75" t="s">
        <v>2118</v>
      </c>
      <c r="F75" t="s">
        <v>104</v>
      </c>
      <c r="G75" t="s">
        <v>105</v>
      </c>
      <c r="H75" t="s">
        <v>6</v>
      </c>
      <c r="I75" t="s">
        <v>2115</v>
      </c>
      <c r="J75" t="s">
        <v>2109</v>
      </c>
      <c r="K75">
        <v>97.04</v>
      </c>
      <c r="L75">
        <f t="shared" si="2"/>
        <v>9704</v>
      </c>
      <c r="M75">
        <f t="shared" si="3"/>
        <v>1940.8000000000002</v>
      </c>
    </row>
    <row r="76" spans="1:13" x14ac:dyDescent="0.3">
      <c r="A76">
        <v>75</v>
      </c>
      <c r="B76" t="s">
        <v>103</v>
      </c>
      <c r="C76" s="1">
        <v>42486</v>
      </c>
      <c r="D76" s="1">
        <v>42492</v>
      </c>
      <c r="E76" t="s">
        <v>2118</v>
      </c>
      <c r="F76" t="s">
        <v>104</v>
      </c>
      <c r="G76" t="s">
        <v>105</v>
      </c>
      <c r="H76" t="s">
        <v>6</v>
      </c>
      <c r="I76" t="s">
        <v>2115</v>
      </c>
      <c r="J76" t="s">
        <v>2110</v>
      </c>
      <c r="K76">
        <v>72.784000000000006</v>
      </c>
      <c r="L76">
        <f t="shared" si="2"/>
        <v>7278.4000000000005</v>
      </c>
      <c r="M76">
        <f t="shared" si="3"/>
        <v>1455.6800000000003</v>
      </c>
    </row>
    <row r="77" spans="1:13" x14ac:dyDescent="0.3">
      <c r="A77">
        <v>76</v>
      </c>
      <c r="B77" t="s">
        <v>106</v>
      </c>
      <c r="C77" s="1">
        <v>43443</v>
      </c>
      <c r="D77" s="1">
        <v>43445</v>
      </c>
      <c r="E77" t="s">
        <v>2120</v>
      </c>
      <c r="F77" t="s">
        <v>107</v>
      </c>
      <c r="G77" t="s">
        <v>108</v>
      </c>
      <c r="H77" t="s">
        <v>10</v>
      </c>
      <c r="I77" t="s">
        <v>2117</v>
      </c>
      <c r="J77" t="s">
        <v>2110</v>
      </c>
      <c r="K77">
        <v>1.248</v>
      </c>
      <c r="L77">
        <f t="shared" si="2"/>
        <v>124.8</v>
      </c>
      <c r="M77">
        <f t="shared" si="3"/>
        <v>24.96</v>
      </c>
    </row>
    <row r="78" spans="1:13" x14ac:dyDescent="0.3">
      <c r="A78">
        <v>77</v>
      </c>
      <c r="B78" t="s">
        <v>106</v>
      </c>
      <c r="C78" s="1">
        <v>43443</v>
      </c>
      <c r="D78" s="1">
        <v>43445</v>
      </c>
      <c r="E78" t="s">
        <v>2120</v>
      </c>
      <c r="F78" t="s">
        <v>107</v>
      </c>
      <c r="G78" t="s">
        <v>108</v>
      </c>
      <c r="H78" t="s">
        <v>10</v>
      </c>
      <c r="I78" t="s">
        <v>2117</v>
      </c>
      <c r="J78" t="s">
        <v>2109</v>
      </c>
      <c r="K78">
        <v>9.7080000000000002</v>
      </c>
      <c r="L78">
        <f t="shared" si="2"/>
        <v>970.80000000000007</v>
      </c>
      <c r="M78">
        <f t="shared" si="3"/>
        <v>194.16000000000003</v>
      </c>
    </row>
    <row r="79" spans="1:13" x14ac:dyDescent="0.3">
      <c r="A79">
        <v>78</v>
      </c>
      <c r="B79" t="s">
        <v>106</v>
      </c>
      <c r="C79" s="1">
        <v>43443</v>
      </c>
      <c r="D79" s="1">
        <v>43445</v>
      </c>
      <c r="E79" t="s">
        <v>2120</v>
      </c>
      <c r="F79" t="s">
        <v>107</v>
      </c>
      <c r="G79" t="s">
        <v>108</v>
      </c>
      <c r="H79" t="s">
        <v>10</v>
      </c>
      <c r="I79" t="s">
        <v>2117</v>
      </c>
      <c r="J79" t="s">
        <v>2110</v>
      </c>
      <c r="K79">
        <v>27.24</v>
      </c>
      <c r="L79">
        <f t="shared" si="2"/>
        <v>2724</v>
      </c>
      <c r="M79">
        <f t="shared" si="3"/>
        <v>544.80000000000007</v>
      </c>
    </row>
    <row r="80" spans="1:13" x14ac:dyDescent="0.3">
      <c r="A80">
        <v>79</v>
      </c>
      <c r="B80" t="s">
        <v>109</v>
      </c>
      <c r="C80" s="1">
        <v>42334</v>
      </c>
      <c r="D80" s="1">
        <v>42339</v>
      </c>
      <c r="E80" t="s">
        <v>2119</v>
      </c>
      <c r="F80" t="s">
        <v>104</v>
      </c>
      <c r="G80" t="s">
        <v>105</v>
      </c>
      <c r="H80" t="s">
        <v>6</v>
      </c>
      <c r="I80" t="s">
        <v>2117</v>
      </c>
      <c r="J80" t="s">
        <v>2109</v>
      </c>
      <c r="K80">
        <v>19.3</v>
      </c>
      <c r="L80">
        <f t="shared" si="2"/>
        <v>1930</v>
      </c>
      <c r="M80">
        <f t="shared" si="3"/>
        <v>386</v>
      </c>
    </row>
    <row r="81" spans="1:13" x14ac:dyDescent="0.3">
      <c r="A81">
        <v>80</v>
      </c>
      <c r="B81" t="s">
        <v>110</v>
      </c>
      <c r="C81" s="1">
        <v>42898</v>
      </c>
      <c r="D81" s="1">
        <v>42901</v>
      </c>
      <c r="E81" t="s">
        <v>2120</v>
      </c>
      <c r="F81" t="s">
        <v>111</v>
      </c>
      <c r="G81" t="s">
        <v>112</v>
      </c>
      <c r="H81" t="s">
        <v>10</v>
      </c>
      <c r="I81" t="s">
        <v>2115</v>
      </c>
      <c r="J81" t="s">
        <v>2110</v>
      </c>
      <c r="K81">
        <v>208.16</v>
      </c>
      <c r="L81">
        <f t="shared" si="2"/>
        <v>20816</v>
      </c>
      <c r="M81">
        <f t="shared" si="3"/>
        <v>4163.2</v>
      </c>
    </row>
    <row r="82" spans="1:13" x14ac:dyDescent="0.3">
      <c r="A82">
        <v>81</v>
      </c>
      <c r="B82" t="s">
        <v>110</v>
      </c>
      <c r="C82" s="1">
        <v>42898</v>
      </c>
      <c r="D82" s="1">
        <v>42901</v>
      </c>
      <c r="E82" t="s">
        <v>2120</v>
      </c>
      <c r="F82" t="s">
        <v>111</v>
      </c>
      <c r="G82" t="s">
        <v>112</v>
      </c>
      <c r="H82" t="s">
        <v>10</v>
      </c>
      <c r="I82" t="s">
        <v>2115</v>
      </c>
      <c r="J82" t="s">
        <v>2110</v>
      </c>
      <c r="K82">
        <v>16.739999999999998</v>
      </c>
      <c r="L82">
        <f t="shared" si="2"/>
        <v>1673.9999999999998</v>
      </c>
      <c r="M82">
        <f t="shared" si="3"/>
        <v>334.79999999999995</v>
      </c>
    </row>
    <row r="83" spans="1:13" x14ac:dyDescent="0.3">
      <c r="A83">
        <v>82</v>
      </c>
      <c r="B83" t="s">
        <v>113</v>
      </c>
      <c r="C83" s="1">
        <v>42289</v>
      </c>
      <c r="D83" s="1">
        <v>42293</v>
      </c>
      <c r="E83" t="s">
        <v>2118</v>
      </c>
      <c r="F83" t="s">
        <v>114</v>
      </c>
      <c r="G83" t="s">
        <v>115</v>
      </c>
      <c r="H83" t="s">
        <v>6</v>
      </c>
      <c r="I83" t="s">
        <v>2112</v>
      </c>
      <c r="J83" t="s">
        <v>2110</v>
      </c>
      <c r="K83">
        <v>14.9</v>
      </c>
      <c r="L83">
        <f t="shared" si="2"/>
        <v>1490</v>
      </c>
      <c r="M83">
        <f t="shared" si="3"/>
        <v>298</v>
      </c>
    </row>
    <row r="84" spans="1:13" x14ac:dyDescent="0.3">
      <c r="A84">
        <v>83</v>
      </c>
      <c r="B84" t="s">
        <v>113</v>
      </c>
      <c r="C84" s="1">
        <v>42289</v>
      </c>
      <c r="D84" s="1">
        <v>42293</v>
      </c>
      <c r="E84" t="s">
        <v>2118</v>
      </c>
      <c r="F84" t="s">
        <v>114</v>
      </c>
      <c r="G84" t="s">
        <v>115</v>
      </c>
      <c r="H84" t="s">
        <v>6</v>
      </c>
      <c r="I84" t="s">
        <v>2112</v>
      </c>
      <c r="J84" t="s">
        <v>2110</v>
      </c>
      <c r="K84">
        <v>21.39</v>
      </c>
      <c r="L84">
        <f t="shared" si="2"/>
        <v>2139</v>
      </c>
      <c r="M84">
        <f t="shared" si="3"/>
        <v>427.8</v>
      </c>
    </row>
    <row r="85" spans="1:13" x14ac:dyDescent="0.3">
      <c r="A85">
        <v>84</v>
      </c>
      <c r="B85" t="s">
        <v>116</v>
      </c>
      <c r="C85" s="1">
        <v>42616</v>
      </c>
      <c r="D85" s="1">
        <v>42621</v>
      </c>
      <c r="E85" t="s">
        <v>2118</v>
      </c>
      <c r="F85" t="s">
        <v>117</v>
      </c>
      <c r="G85" t="s">
        <v>118</v>
      </c>
      <c r="H85" t="s">
        <v>10</v>
      </c>
      <c r="I85" t="s">
        <v>2115</v>
      </c>
      <c r="J85" t="s">
        <v>2110</v>
      </c>
      <c r="K85">
        <v>200.98400000000001</v>
      </c>
      <c r="L85">
        <f t="shared" si="2"/>
        <v>20098.400000000001</v>
      </c>
      <c r="M85">
        <f t="shared" si="3"/>
        <v>4019.6800000000003</v>
      </c>
    </row>
    <row r="86" spans="1:13" x14ac:dyDescent="0.3">
      <c r="A86">
        <v>85</v>
      </c>
      <c r="B86" t="s">
        <v>119</v>
      </c>
      <c r="C86" s="1">
        <v>43417</v>
      </c>
      <c r="D86" s="1">
        <v>43420</v>
      </c>
      <c r="E86" t="s">
        <v>2120</v>
      </c>
      <c r="F86" t="s">
        <v>120</v>
      </c>
      <c r="G86" t="s">
        <v>121</v>
      </c>
      <c r="H86" t="s">
        <v>26</v>
      </c>
      <c r="I86" t="s">
        <v>2117</v>
      </c>
      <c r="J86" t="s">
        <v>2110</v>
      </c>
      <c r="K86">
        <v>230.376</v>
      </c>
      <c r="L86">
        <f t="shared" si="2"/>
        <v>23037.600000000002</v>
      </c>
      <c r="M86">
        <f t="shared" si="3"/>
        <v>4607.5200000000004</v>
      </c>
    </row>
    <row r="87" spans="1:13" x14ac:dyDescent="0.3">
      <c r="A87">
        <v>86</v>
      </c>
      <c r="B87" t="s">
        <v>122</v>
      </c>
      <c r="C87" s="1">
        <v>43248</v>
      </c>
      <c r="D87" s="1">
        <v>43250</v>
      </c>
      <c r="E87" t="s">
        <v>2119</v>
      </c>
      <c r="F87" t="s">
        <v>73</v>
      </c>
      <c r="G87" t="s">
        <v>74</v>
      </c>
      <c r="H87" t="s">
        <v>6</v>
      </c>
      <c r="I87" t="s">
        <v>2115</v>
      </c>
      <c r="J87" t="s">
        <v>2109</v>
      </c>
      <c r="K87">
        <v>301.95999999999998</v>
      </c>
      <c r="L87">
        <f t="shared" si="2"/>
        <v>30195.999999999996</v>
      </c>
      <c r="M87">
        <f t="shared" si="3"/>
        <v>6039.2</v>
      </c>
    </row>
    <row r="88" spans="1:13" x14ac:dyDescent="0.3">
      <c r="A88">
        <v>87</v>
      </c>
      <c r="B88" t="s">
        <v>123</v>
      </c>
      <c r="C88" s="1">
        <v>43399</v>
      </c>
      <c r="D88" s="1">
        <v>43406</v>
      </c>
      <c r="E88" t="s">
        <v>2118</v>
      </c>
      <c r="F88" t="s">
        <v>124</v>
      </c>
      <c r="G88" t="s">
        <v>125</v>
      </c>
      <c r="H88" t="s">
        <v>6</v>
      </c>
      <c r="I88" t="s">
        <v>2117</v>
      </c>
      <c r="J88" t="s">
        <v>2111</v>
      </c>
      <c r="K88">
        <v>19.989999999999998</v>
      </c>
      <c r="L88">
        <f t="shared" si="2"/>
        <v>1998.9999999999998</v>
      </c>
      <c r="M88">
        <f t="shared" si="3"/>
        <v>399.79999999999995</v>
      </c>
    </row>
    <row r="89" spans="1:13" x14ac:dyDescent="0.3">
      <c r="A89">
        <v>88</v>
      </c>
      <c r="B89" t="s">
        <v>123</v>
      </c>
      <c r="C89" s="1">
        <v>43399</v>
      </c>
      <c r="D89" s="1">
        <v>43406</v>
      </c>
      <c r="E89" t="s">
        <v>2118</v>
      </c>
      <c r="F89" t="s">
        <v>124</v>
      </c>
      <c r="G89" t="s">
        <v>125</v>
      </c>
      <c r="H89" t="s">
        <v>6</v>
      </c>
      <c r="I89" t="s">
        <v>2117</v>
      </c>
      <c r="J89" t="s">
        <v>2110</v>
      </c>
      <c r="K89">
        <v>6.16</v>
      </c>
      <c r="L89">
        <f t="shared" si="2"/>
        <v>616</v>
      </c>
      <c r="M89">
        <f t="shared" si="3"/>
        <v>123.2</v>
      </c>
    </row>
    <row r="90" spans="1:13" x14ac:dyDescent="0.3">
      <c r="A90">
        <v>89</v>
      </c>
      <c r="B90" t="s">
        <v>126</v>
      </c>
      <c r="C90" s="1">
        <v>42830</v>
      </c>
      <c r="D90" s="1">
        <v>42835</v>
      </c>
      <c r="E90" t="s">
        <v>2119</v>
      </c>
      <c r="F90" t="s">
        <v>127</v>
      </c>
      <c r="G90" t="s">
        <v>128</v>
      </c>
      <c r="H90" t="s">
        <v>26</v>
      </c>
      <c r="I90" t="s">
        <v>2117</v>
      </c>
      <c r="J90" t="s">
        <v>2110</v>
      </c>
      <c r="K90">
        <v>158.36799999999999</v>
      </c>
      <c r="L90">
        <f t="shared" si="2"/>
        <v>15836.8</v>
      </c>
      <c r="M90">
        <f t="shared" si="3"/>
        <v>3167.36</v>
      </c>
    </row>
    <row r="91" spans="1:13" x14ac:dyDescent="0.3">
      <c r="A91">
        <v>90</v>
      </c>
      <c r="B91" t="s">
        <v>129</v>
      </c>
      <c r="C91" s="1">
        <v>42995</v>
      </c>
      <c r="D91" s="1">
        <v>43000</v>
      </c>
      <c r="E91" t="s">
        <v>2118</v>
      </c>
      <c r="F91" t="s">
        <v>130</v>
      </c>
      <c r="G91" t="s">
        <v>131</v>
      </c>
      <c r="H91" t="s">
        <v>10</v>
      </c>
      <c r="I91" t="s">
        <v>2112</v>
      </c>
      <c r="J91" t="s">
        <v>2110</v>
      </c>
      <c r="K91">
        <v>20.100000000000001</v>
      </c>
      <c r="L91">
        <f t="shared" si="2"/>
        <v>2010.0000000000002</v>
      </c>
      <c r="M91">
        <f t="shared" si="3"/>
        <v>402.00000000000006</v>
      </c>
    </row>
    <row r="92" spans="1:13" x14ac:dyDescent="0.3">
      <c r="A92">
        <v>91</v>
      </c>
      <c r="B92" t="s">
        <v>129</v>
      </c>
      <c r="C92" s="1">
        <v>42995</v>
      </c>
      <c r="D92" s="1">
        <v>43000</v>
      </c>
      <c r="E92" t="s">
        <v>2118</v>
      </c>
      <c r="F92" t="s">
        <v>130</v>
      </c>
      <c r="G92" t="s">
        <v>131</v>
      </c>
      <c r="H92" t="s">
        <v>10</v>
      </c>
      <c r="I92" t="s">
        <v>2112</v>
      </c>
      <c r="J92" t="s">
        <v>2111</v>
      </c>
      <c r="K92">
        <v>73.584000000000003</v>
      </c>
      <c r="L92">
        <f t="shared" si="2"/>
        <v>7358.4000000000005</v>
      </c>
      <c r="M92">
        <f t="shared" si="3"/>
        <v>1471.6800000000003</v>
      </c>
    </row>
    <row r="93" spans="1:13" x14ac:dyDescent="0.3">
      <c r="A93">
        <v>92</v>
      </c>
      <c r="B93" t="s">
        <v>129</v>
      </c>
      <c r="C93" s="1">
        <v>42995</v>
      </c>
      <c r="D93" s="1">
        <v>43000</v>
      </c>
      <c r="E93" t="s">
        <v>2118</v>
      </c>
      <c r="F93" t="s">
        <v>130</v>
      </c>
      <c r="G93" t="s">
        <v>131</v>
      </c>
      <c r="H93" t="s">
        <v>10</v>
      </c>
      <c r="I93" t="s">
        <v>2112</v>
      </c>
      <c r="J93" t="s">
        <v>2110</v>
      </c>
      <c r="K93">
        <v>6.48</v>
      </c>
      <c r="L93">
        <f t="shared" si="2"/>
        <v>648</v>
      </c>
      <c r="M93">
        <f t="shared" si="3"/>
        <v>129.6</v>
      </c>
    </row>
    <row r="94" spans="1:13" x14ac:dyDescent="0.3">
      <c r="A94">
        <v>93</v>
      </c>
      <c r="B94" t="s">
        <v>132</v>
      </c>
      <c r="C94" s="1">
        <v>42400</v>
      </c>
      <c r="D94" s="1">
        <v>42405</v>
      </c>
      <c r="E94" t="s">
        <v>2119</v>
      </c>
      <c r="F94" t="s">
        <v>133</v>
      </c>
      <c r="G94" t="s">
        <v>134</v>
      </c>
      <c r="H94" t="s">
        <v>6</v>
      </c>
      <c r="I94" t="s">
        <v>2117</v>
      </c>
      <c r="J94" t="s">
        <v>2110</v>
      </c>
      <c r="K94">
        <v>12.96</v>
      </c>
      <c r="L94">
        <f t="shared" si="2"/>
        <v>1296</v>
      </c>
      <c r="M94">
        <f t="shared" si="3"/>
        <v>259.2</v>
      </c>
    </row>
    <row r="95" spans="1:13" x14ac:dyDescent="0.3">
      <c r="A95">
        <v>94</v>
      </c>
      <c r="B95" t="s">
        <v>132</v>
      </c>
      <c r="C95" s="1">
        <v>42400</v>
      </c>
      <c r="D95" s="1">
        <v>42405</v>
      </c>
      <c r="E95" t="s">
        <v>2119</v>
      </c>
      <c r="F95" t="s">
        <v>133</v>
      </c>
      <c r="G95" t="s">
        <v>134</v>
      </c>
      <c r="H95" t="s">
        <v>6</v>
      </c>
      <c r="I95" t="s">
        <v>2117</v>
      </c>
      <c r="J95" t="s">
        <v>2109</v>
      </c>
      <c r="K95">
        <v>53.34</v>
      </c>
      <c r="L95">
        <f t="shared" si="2"/>
        <v>5334</v>
      </c>
      <c r="M95">
        <f t="shared" si="3"/>
        <v>1066.8</v>
      </c>
    </row>
    <row r="96" spans="1:13" x14ac:dyDescent="0.3">
      <c r="A96">
        <v>95</v>
      </c>
      <c r="B96" t="s">
        <v>132</v>
      </c>
      <c r="C96" s="1">
        <v>42400</v>
      </c>
      <c r="D96" s="1">
        <v>42405</v>
      </c>
      <c r="E96" t="s">
        <v>2119</v>
      </c>
      <c r="F96" t="s">
        <v>133</v>
      </c>
      <c r="G96" t="s">
        <v>134</v>
      </c>
      <c r="H96" t="s">
        <v>6</v>
      </c>
      <c r="I96" t="s">
        <v>2117</v>
      </c>
      <c r="J96" t="s">
        <v>2110</v>
      </c>
      <c r="K96">
        <v>32.96</v>
      </c>
      <c r="L96">
        <f t="shared" si="2"/>
        <v>3296</v>
      </c>
      <c r="M96">
        <f t="shared" si="3"/>
        <v>659.2</v>
      </c>
    </row>
    <row r="97" spans="1:13" x14ac:dyDescent="0.3">
      <c r="A97">
        <v>96</v>
      </c>
      <c r="B97" t="s">
        <v>135</v>
      </c>
      <c r="C97" s="1">
        <v>43410</v>
      </c>
      <c r="D97" s="1">
        <v>43416</v>
      </c>
      <c r="E97" t="s">
        <v>2118</v>
      </c>
      <c r="F97" t="s">
        <v>136</v>
      </c>
      <c r="G97" t="s">
        <v>137</v>
      </c>
      <c r="H97" t="s">
        <v>26</v>
      </c>
      <c r="I97" t="s">
        <v>2112</v>
      </c>
      <c r="J97" t="s">
        <v>2110</v>
      </c>
      <c r="K97">
        <v>5.6820000000000004</v>
      </c>
      <c r="L97">
        <f t="shared" si="2"/>
        <v>568.20000000000005</v>
      </c>
      <c r="M97">
        <f t="shared" si="3"/>
        <v>113.64000000000001</v>
      </c>
    </row>
    <row r="98" spans="1:13" x14ac:dyDescent="0.3">
      <c r="A98">
        <v>97</v>
      </c>
      <c r="B98" t="s">
        <v>138</v>
      </c>
      <c r="C98" s="1">
        <v>43413</v>
      </c>
      <c r="D98" s="1">
        <v>43415</v>
      </c>
      <c r="E98" t="s">
        <v>2119</v>
      </c>
      <c r="F98" t="s">
        <v>139</v>
      </c>
      <c r="G98" t="s">
        <v>140</v>
      </c>
      <c r="H98" t="s">
        <v>26</v>
      </c>
      <c r="I98" t="s">
        <v>2114</v>
      </c>
      <c r="J98" t="s">
        <v>2109</v>
      </c>
      <c r="K98">
        <v>96.53</v>
      </c>
      <c r="L98">
        <f t="shared" si="2"/>
        <v>9653</v>
      </c>
      <c r="M98">
        <f t="shared" si="3"/>
        <v>1930.6000000000001</v>
      </c>
    </row>
    <row r="99" spans="1:13" x14ac:dyDescent="0.3">
      <c r="A99">
        <v>98</v>
      </c>
      <c r="B99" t="s">
        <v>141</v>
      </c>
      <c r="C99" s="1">
        <v>43268</v>
      </c>
      <c r="D99" s="1">
        <v>43271</v>
      </c>
      <c r="E99" t="s">
        <v>2120</v>
      </c>
      <c r="F99" t="s">
        <v>142</v>
      </c>
      <c r="G99" t="s">
        <v>143</v>
      </c>
      <c r="H99" t="s">
        <v>6</v>
      </c>
      <c r="I99" t="s">
        <v>2112</v>
      </c>
      <c r="J99" t="s">
        <v>2110</v>
      </c>
      <c r="K99">
        <v>51.311999999999998</v>
      </c>
      <c r="L99">
        <f t="shared" si="2"/>
        <v>5131.2</v>
      </c>
      <c r="M99">
        <f t="shared" si="3"/>
        <v>1026.24</v>
      </c>
    </row>
    <row r="100" spans="1:13" x14ac:dyDescent="0.3">
      <c r="A100">
        <v>99</v>
      </c>
      <c r="B100" t="s">
        <v>144</v>
      </c>
      <c r="C100" s="1">
        <v>42984</v>
      </c>
      <c r="D100" s="1">
        <v>42989</v>
      </c>
      <c r="E100" t="s">
        <v>2118</v>
      </c>
      <c r="F100" t="s">
        <v>145</v>
      </c>
      <c r="G100" t="s">
        <v>146</v>
      </c>
      <c r="H100" t="s">
        <v>10</v>
      </c>
      <c r="I100" t="s">
        <v>2117</v>
      </c>
      <c r="J100" t="s">
        <v>2110</v>
      </c>
      <c r="K100">
        <v>77.88</v>
      </c>
      <c r="L100">
        <f t="shared" si="2"/>
        <v>7788</v>
      </c>
      <c r="M100">
        <f t="shared" si="3"/>
        <v>1557.6000000000001</v>
      </c>
    </row>
    <row r="101" spans="1:13" x14ac:dyDescent="0.3">
      <c r="A101">
        <v>100</v>
      </c>
      <c r="B101" t="s">
        <v>147</v>
      </c>
      <c r="C101" s="1">
        <v>42976</v>
      </c>
      <c r="D101" s="1">
        <v>42980</v>
      </c>
      <c r="E101" t="s">
        <v>2118</v>
      </c>
      <c r="F101" t="s">
        <v>148</v>
      </c>
      <c r="G101" t="s">
        <v>149</v>
      </c>
      <c r="H101" t="s">
        <v>26</v>
      </c>
      <c r="I101" t="s">
        <v>2117</v>
      </c>
      <c r="J101" t="s">
        <v>2110</v>
      </c>
      <c r="K101">
        <v>64.623999999999995</v>
      </c>
      <c r="L101">
        <f t="shared" si="2"/>
        <v>6462.4</v>
      </c>
      <c r="M101">
        <f t="shared" si="3"/>
        <v>1292.48</v>
      </c>
    </row>
    <row r="102" spans="1:13" x14ac:dyDescent="0.3">
      <c r="A102">
        <v>101</v>
      </c>
      <c r="B102" t="s">
        <v>147</v>
      </c>
      <c r="C102" s="1">
        <v>42976</v>
      </c>
      <c r="D102" s="1">
        <v>42980</v>
      </c>
      <c r="E102" t="s">
        <v>2118</v>
      </c>
      <c r="F102" t="s">
        <v>148</v>
      </c>
      <c r="G102" t="s">
        <v>149</v>
      </c>
      <c r="H102" t="s">
        <v>26</v>
      </c>
      <c r="I102" t="s">
        <v>2117</v>
      </c>
      <c r="J102" t="s">
        <v>2111</v>
      </c>
      <c r="K102">
        <v>95.975999999999999</v>
      </c>
      <c r="L102">
        <f t="shared" si="2"/>
        <v>9597.6</v>
      </c>
      <c r="M102">
        <f t="shared" si="3"/>
        <v>1919.5200000000002</v>
      </c>
    </row>
    <row r="103" spans="1:13" x14ac:dyDescent="0.3">
      <c r="A103">
        <v>102</v>
      </c>
      <c r="B103" t="s">
        <v>147</v>
      </c>
      <c r="C103" s="1">
        <v>42976</v>
      </c>
      <c r="D103" s="1">
        <v>42980</v>
      </c>
      <c r="E103" t="s">
        <v>2118</v>
      </c>
      <c r="F103" t="s">
        <v>148</v>
      </c>
      <c r="G103" t="s">
        <v>149</v>
      </c>
      <c r="H103" t="s">
        <v>26</v>
      </c>
      <c r="I103" t="s">
        <v>2117</v>
      </c>
      <c r="J103" t="s">
        <v>2110</v>
      </c>
      <c r="K103">
        <v>1.788</v>
      </c>
      <c r="L103">
        <f t="shared" si="2"/>
        <v>178.8</v>
      </c>
      <c r="M103">
        <f t="shared" si="3"/>
        <v>35.760000000000005</v>
      </c>
    </row>
    <row r="104" spans="1:13" x14ac:dyDescent="0.3">
      <c r="A104">
        <v>103</v>
      </c>
      <c r="B104" t="s">
        <v>150</v>
      </c>
      <c r="C104" s="1">
        <v>43070</v>
      </c>
      <c r="D104" s="1">
        <v>43073</v>
      </c>
      <c r="E104" t="s">
        <v>2119</v>
      </c>
      <c r="F104" t="s">
        <v>151</v>
      </c>
      <c r="G104" t="s">
        <v>152</v>
      </c>
      <c r="H104" t="s">
        <v>6</v>
      </c>
      <c r="I104" t="s">
        <v>2117</v>
      </c>
      <c r="J104" t="s">
        <v>2110</v>
      </c>
      <c r="K104">
        <v>23.92</v>
      </c>
      <c r="L104">
        <f t="shared" si="2"/>
        <v>2392</v>
      </c>
      <c r="M104">
        <f t="shared" si="3"/>
        <v>478.40000000000003</v>
      </c>
    </row>
    <row r="105" spans="1:13" x14ac:dyDescent="0.3">
      <c r="A105">
        <v>104</v>
      </c>
      <c r="B105" t="s">
        <v>153</v>
      </c>
      <c r="C105" s="1">
        <v>42687</v>
      </c>
      <c r="D105" s="1">
        <v>42691</v>
      </c>
      <c r="E105" t="s">
        <v>2118</v>
      </c>
      <c r="F105" t="s">
        <v>154</v>
      </c>
      <c r="G105" t="s">
        <v>155</v>
      </c>
      <c r="H105" t="s">
        <v>6</v>
      </c>
      <c r="I105" t="s">
        <v>2112</v>
      </c>
      <c r="J105" t="s">
        <v>2111</v>
      </c>
      <c r="K105">
        <v>238.89599999999999</v>
      </c>
      <c r="L105">
        <f t="shared" si="2"/>
        <v>23889.599999999999</v>
      </c>
      <c r="M105">
        <f t="shared" si="3"/>
        <v>4777.92</v>
      </c>
    </row>
    <row r="106" spans="1:13" x14ac:dyDescent="0.3">
      <c r="A106">
        <v>105</v>
      </c>
      <c r="B106" t="s">
        <v>153</v>
      </c>
      <c r="C106" s="1">
        <v>42687</v>
      </c>
      <c r="D106" s="1">
        <v>42691</v>
      </c>
      <c r="E106" t="s">
        <v>2118</v>
      </c>
      <c r="F106" t="s">
        <v>154</v>
      </c>
      <c r="G106" t="s">
        <v>155</v>
      </c>
      <c r="H106" t="s">
        <v>6</v>
      </c>
      <c r="I106" t="s">
        <v>2112</v>
      </c>
      <c r="J106" t="s">
        <v>2109</v>
      </c>
      <c r="K106">
        <v>102.36</v>
      </c>
      <c r="L106">
        <f t="shared" si="2"/>
        <v>10236</v>
      </c>
      <c r="M106">
        <f t="shared" si="3"/>
        <v>2047.2</v>
      </c>
    </row>
    <row r="107" spans="1:13" x14ac:dyDescent="0.3">
      <c r="A107">
        <v>106</v>
      </c>
      <c r="B107" t="s">
        <v>153</v>
      </c>
      <c r="C107" s="1">
        <v>42687</v>
      </c>
      <c r="D107" s="1">
        <v>42691</v>
      </c>
      <c r="E107" t="s">
        <v>2118</v>
      </c>
      <c r="F107" t="s">
        <v>154</v>
      </c>
      <c r="G107" t="s">
        <v>155</v>
      </c>
      <c r="H107" t="s">
        <v>6</v>
      </c>
      <c r="I107" t="s">
        <v>2112</v>
      </c>
      <c r="J107" t="s">
        <v>2110</v>
      </c>
      <c r="K107">
        <v>36.881999999999998</v>
      </c>
      <c r="L107">
        <f t="shared" si="2"/>
        <v>3688.2</v>
      </c>
      <c r="M107">
        <f t="shared" si="3"/>
        <v>737.64</v>
      </c>
    </row>
    <row r="108" spans="1:13" x14ac:dyDescent="0.3">
      <c r="A108">
        <v>107</v>
      </c>
      <c r="B108" t="s">
        <v>156</v>
      </c>
      <c r="C108" s="1">
        <v>43427</v>
      </c>
      <c r="D108" s="1">
        <v>43432</v>
      </c>
      <c r="E108" t="s">
        <v>2118</v>
      </c>
      <c r="F108" t="s">
        <v>157</v>
      </c>
      <c r="G108" t="s">
        <v>158</v>
      </c>
      <c r="H108" t="s">
        <v>6</v>
      </c>
      <c r="I108" t="s">
        <v>2115</v>
      </c>
      <c r="J108" t="s">
        <v>2111</v>
      </c>
      <c r="K108">
        <v>74.111999999999995</v>
      </c>
      <c r="L108">
        <f t="shared" si="2"/>
        <v>7411.2</v>
      </c>
      <c r="M108">
        <f t="shared" si="3"/>
        <v>1482.24</v>
      </c>
    </row>
    <row r="109" spans="1:13" x14ac:dyDescent="0.3">
      <c r="A109">
        <v>108</v>
      </c>
      <c r="B109" t="s">
        <v>156</v>
      </c>
      <c r="C109" s="1">
        <v>43427</v>
      </c>
      <c r="D109" s="1">
        <v>43432</v>
      </c>
      <c r="E109" t="s">
        <v>2118</v>
      </c>
      <c r="F109" t="s">
        <v>157</v>
      </c>
      <c r="G109" t="s">
        <v>158</v>
      </c>
      <c r="H109" t="s">
        <v>6</v>
      </c>
      <c r="I109" t="s">
        <v>2115</v>
      </c>
      <c r="J109" t="s">
        <v>2111</v>
      </c>
      <c r="K109">
        <v>27.992000000000001</v>
      </c>
      <c r="L109">
        <f t="shared" si="2"/>
        <v>2799.2000000000003</v>
      </c>
      <c r="M109">
        <f t="shared" si="3"/>
        <v>559.84</v>
      </c>
    </row>
    <row r="110" spans="1:13" x14ac:dyDescent="0.3">
      <c r="A110">
        <v>109</v>
      </c>
      <c r="B110" t="s">
        <v>156</v>
      </c>
      <c r="C110" s="1">
        <v>43427</v>
      </c>
      <c r="D110" s="1">
        <v>43432</v>
      </c>
      <c r="E110" t="s">
        <v>2118</v>
      </c>
      <c r="F110" t="s">
        <v>157</v>
      </c>
      <c r="G110" t="s">
        <v>158</v>
      </c>
      <c r="H110" t="s">
        <v>6</v>
      </c>
      <c r="I110" t="s">
        <v>2115</v>
      </c>
      <c r="J110" t="s">
        <v>2110</v>
      </c>
      <c r="K110">
        <v>3.3039999999999998</v>
      </c>
      <c r="L110">
        <f t="shared" si="2"/>
        <v>330.4</v>
      </c>
      <c r="M110">
        <f t="shared" si="3"/>
        <v>66.08</v>
      </c>
    </row>
    <row r="111" spans="1:13" x14ac:dyDescent="0.3">
      <c r="A111">
        <v>110</v>
      </c>
      <c r="B111" t="s">
        <v>159</v>
      </c>
      <c r="C111" s="1">
        <v>42658</v>
      </c>
      <c r="D111" s="1">
        <v>42663</v>
      </c>
      <c r="E111" t="s">
        <v>2118</v>
      </c>
      <c r="F111" t="s">
        <v>160</v>
      </c>
      <c r="G111" t="s">
        <v>161</v>
      </c>
      <c r="H111" t="s">
        <v>26</v>
      </c>
      <c r="I111" t="s">
        <v>2117</v>
      </c>
      <c r="J111" t="s">
        <v>2111</v>
      </c>
      <c r="K111">
        <v>339.96</v>
      </c>
      <c r="L111">
        <f t="shared" si="2"/>
        <v>33996</v>
      </c>
      <c r="M111">
        <f t="shared" si="3"/>
        <v>6799.2000000000007</v>
      </c>
    </row>
    <row r="112" spans="1:13" x14ac:dyDescent="0.3">
      <c r="A112">
        <v>111</v>
      </c>
      <c r="B112" t="s">
        <v>162</v>
      </c>
      <c r="C112" s="1">
        <v>43459</v>
      </c>
      <c r="D112" s="1">
        <v>43464</v>
      </c>
      <c r="E112" t="s">
        <v>2118</v>
      </c>
      <c r="F112" t="s">
        <v>163</v>
      </c>
      <c r="G112" t="s">
        <v>164</v>
      </c>
      <c r="H112" t="s">
        <v>10</v>
      </c>
      <c r="I112" t="s">
        <v>2114</v>
      </c>
      <c r="J112" t="s">
        <v>2109</v>
      </c>
      <c r="K112">
        <v>41.96</v>
      </c>
      <c r="L112">
        <f t="shared" si="2"/>
        <v>4196</v>
      </c>
      <c r="M112">
        <f t="shared" si="3"/>
        <v>839.2</v>
      </c>
    </row>
    <row r="113" spans="1:13" x14ac:dyDescent="0.3">
      <c r="A113">
        <v>112</v>
      </c>
      <c r="B113" t="s">
        <v>165</v>
      </c>
      <c r="C113" s="1">
        <v>43042</v>
      </c>
      <c r="D113" s="1">
        <v>43049</v>
      </c>
      <c r="E113" t="s">
        <v>2118</v>
      </c>
      <c r="F113" t="s">
        <v>166</v>
      </c>
      <c r="G113" t="s">
        <v>167</v>
      </c>
      <c r="H113" t="s">
        <v>6</v>
      </c>
      <c r="I113" t="s">
        <v>2117</v>
      </c>
      <c r="J113" t="s">
        <v>2110</v>
      </c>
      <c r="K113">
        <v>75.959999999999994</v>
      </c>
      <c r="L113">
        <f t="shared" si="2"/>
        <v>7595.9999999999991</v>
      </c>
      <c r="M113">
        <f t="shared" si="3"/>
        <v>1519.1999999999998</v>
      </c>
    </row>
    <row r="114" spans="1:13" x14ac:dyDescent="0.3">
      <c r="A114">
        <v>113</v>
      </c>
      <c r="B114" t="s">
        <v>165</v>
      </c>
      <c r="C114" s="1">
        <v>43042</v>
      </c>
      <c r="D114" s="1">
        <v>43049</v>
      </c>
      <c r="E114" t="s">
        <v>2118</v>
      </c>
      <c r="F114" t="s">
        <v>166</v>
      </c>
      <c r="G114" t="s">
        <v>167</v>
      </c>
      <c r="H114" t="s">
        <v>6</v>
      </c>
      <c r="I114" t="s">
        <v>2117</v>
      </c>
      <c r="J114" t="s">
        <v>2110</v>
      </c>
      <c r="K114">
        <v>27.24</v>
      </c>
      <c r="L114">
        <f t="shared" si="2"/>
        <v>2724</v>
      </c>
      <c r="M114">
        <f t="shared" si="3"/>
        <v>544.80000000000007</v>
      </c>
    </row>
    <row r="115" spans="1:13" x14ac:dyDescent="0.3">
      <c r="A115">
        <v>114</v>
      </c>
      <c r="B115" t="s">
        <v>168</v>
      </c>
      <c r="C115" s="1">
        <v>42241</v>
      </c>
      <c r="D115" s="1">
        <v>42243</v>
      </c>
      <c r="E115" t="s">
        <v>2119</v>
      </c>
      <c r="F115" t="s">
        <v>169</v>
      </c>
      <c r="G115" t="s">
        <v>170</v>
      </c>
      <c r="H115" t="s">
        <v>6</v>
      </c>
      <c r="I115" t="s">
        <v>2114</v>
      </c>
      <c r="J115" t="s">
        <v>2110</v>
      </c>
      <c r="K115">
        <v>40.095999999999997</v>
      </c>
      <c r="L115">
        <f t="shared" si="2"/>
        <v>4009.5999999999995</v>
      </c>
      <c r="M115">
        <f t="shared" si="3"/>
        <v>801.92</v>
      </c>
    </row>
    <row r="116" spans="1:13" x14ac:dyDescent="0.3">
      <c r="A116">
        <v>115</v>
      </c>
      <c r="B116" t="s">
        <v>168</v>
      </c>
      <c r="C116" s="1">
        <v>42241</v>
      </c>
      <c r="D116" s="1">
        <v>42243</v>
      </c>
      <c r="E116" t="s">
        <v>2119</v>
      </c>
      <c r="F116" t="s">
        <v>169</v>
      </c>
      <c r="G116" t="s">
        <v>170</v>
      </c>
      <c r="H116" t="s">
        <v>6</v>
      </c>
      <c r="I116" t="s">
        <v>2114</v>
      </c>
      <c r="J116" t="s">
        <v>2110</v>
      </c>
      <c r="K116">
        <v>4.72</v>
      </c>
      <c r="L116">
        <f t="shared" si="2"/>
        <v>472</v>
      </c>
      <c r="M116">
        <f t="shared" si="3"/>
        <v>94.4</v>
      </c>
    </row>
    <row r="117" spans="1:13" x14ac:dyDescent="0.3">
      <c r="A117">
        <v>116</v>
      </c>
      <c r="B117" t="s">
        <v>168</v>
      </c>
      <c r="C117" s="1">
        <v>42241</v>
      </c>
      <c r="D117" s="1">
        <v>42243</v>
      </c>
      <c r="E117" t="s">
        <v>2119</v>
      </c>
      <c r="F117" t="s">
        <v>169</v>
      </c>
      <c r="G117" t="s">
        <v>170</v>
      </c>
      <c r="H117" t="s">
        <v>6</v>
      </c>
      <c r="I117" t="s">
        <v>2114</v>
      </c>
      <c r="J117" t="s">
        <v>2110</v>
      </c>
      <c r="K117">
        <v>23.975999999999999</v>
      </c>
      <c r="L117">
        <f t="shared" si="2"/>
        <v>2397.6</v>
      </c>
      <c r="M117">
        <f t="shared" si="3"/>
        <v>479.52</v>
      </c>
    </row>
    <row r="118" spans="1:13" x14ac:dyDescent="0.3">
      <c r="A118">
        <v>117</v>
      </c>
      <c r="B118" t="s">
        <v>168</v>
      </c>
      <c r="C118" s="1">
        <v>42241</v>
      </c>
      <c r="D118" s="1">
        <v>42243</v>
      </c>
      <c r="E118" t="s">
        <v>2119</v>
      </c>
      <c r="F118" t="s">
        <v>169</v>
      </c>
      <c r="G118" t="s">
        <v>170</v>
      </c>
      <c r="H118" t="s">
        <v>6</v>
      </c>
      <c r="I118" t="s">
        <v>2114</v>
      </c>
      <c r="J118" t="s">
        <v>2110</v>
      </c>
      <c r="K118">
        <v>130.464</v>
      </c>
      <c r="L118">
        <f t="shared" si="2"/>
        <v>13046.4</v>
      </c>
      <c r="M118">
        <f t="shared" si="3"/>
        <v>2609.2800000000002</v>
      </c>
    </row>
    <row r="119" spans="1:13" x14ac:dyDescent="0.3">
      <c r="A119">
        <v>118</v>
      </c>
      <c r="B119" t="s">
        <v>171</v>
      </c>
      <c r="C119" s="1">
        <v>42431</v>
      </c>
      <c r="D119" s="1">
        <v>42435</v>
      </c>
      <c r="E119" t="s">
        <v>2118</v>
      </c>
      <c r="F119" t="s">
        <v>172</v>
      </c>
      <c r="G119" t="s">
        <v>173</v>
      </c>
      <c r="H119" t="s">
        <v>6</v>
      </c>
      <c r="I119" t="s">
        <v>2112</v>
      </c>
      <c r="J119" t="s">
        <v>2109</v>
      </c>
      <c r="K119">
        <v>787.53</v>
      </c>
      <c r="L119">
        <f t="shared" si="2"/>
        <v>78753</v>
      </c>
      <c r="M119">
        <f t="shared" si="3"/>
        <v>15750.6</v>
      </c>
    </row>
    <row r="120" spans="1:13" x14ac:dyDescent="0.3">
      <c r="A120">
        <v>119</v>
      </c>
      <c r="B120" t="s">
        <v>174</v>
      </c>
      <c r="C120" s="1">
        <v>42465</v>
      </c>
      <c r="D120" s="1">
        <v>42470</v>
      </c>
      <c r="E120" t="s">
        <v>2118</v>
      </c>
      <c r="F120" t="s">
        <v>175</v>
      </c>
      <c r="G120" t="s">
        <v>176</v>
      </c>
      <c r="H120" t="s">
        <v>10</v>
      </c>
      <c r="I120" t="s">
        <v>2115</v>
      </c>
      <c r="J120" t="s">
        <v>2110</v>
      </c>
      <c r="K120">
        <v>157.79400000000001</v>
      </c>
      <c r="L120">
        <f t="shared" si="2"/>
        <v>15779.400000000001</v>
      </c>
      <c r="M120">
        <f t="shared" si="3"/>
        <v>3155.8800000000006</v>
      </c>
    </row>
    <row r="121" spans="1:13" x14ac:dyDescent="0.3">
      <c r="A121">
        <v>120</v>
      </c>
      <c r="B121" t="s">
        <v>177</v>
      </c>
      <c r="C121" s="1">
        <v>42898</v>
      </c>
      <c r="D121" s="1">
        <v>42901</v>
      </c>
      <c r="E121" t="s">
        <v>2120</v>
      </c>
      <c r="F121" t="s">
        <v>178</v>
      </c>
      <c r="G121" t="s">
        <v>179</v>
      </c>
      <c r="H121" t="s">
        <v>6</v>
      </c>
      <c r="I121" t="s">
        <v>2114</v>
      </c>
      <c r="J121" t="s">
        <v>2109</v>
      </c>
      <c r="K121">
        <v>47.04</v>
      </c>
      <c r="L121">
        <f t="shared" si="2"/>
        <v>4704</v>
      </c>
      <c r="M121">
        <f t="shared" si="3"/>
        <v>940.80000000000007</v>
      </c>
    </row>
    <row r="122" spans="1:13" x14ac:dyDescent="0.3">
      <c r="A122">
        <v>121</v>
      </c>
      <c r="B122" t="s">
        <v>177</v>
      </c>
      <c r="C122" s="1">
        <v>42898</v>
      </c>
      <c r="D122" s="1">
        <v>42901</v>
      </c>
      <c r="E122" t="s">
        <v>2120</v>
      </c>
      <c r="F122" t="s">
        <v>178</v>
      </c>
      <c r="G122" t="s">
        <v>179</v>
      </c>
      <c r="H122" t="s">
        <v>6</v>
      </c>
      <c r="I122" t="s">
        <v>2114</v>
      </c>
      <c r="J122" t="s">
        <v>2110</v>
      </c>
      <c r="K122">
        <v>30.84</v>
      </c>
      <c r="L122">
        <f t="shared" si="2"/>
        <v>3084</v>
      </c>
      <c r="M122">
        <f t="shared" si="3"/>
        <v>616.80000000000007</v>
      </c>
    </row>
    <row r="123" spans="1:13" x14ac:dyDescent="0.3">
      <c r="A123">
        <v>122</v>
      </c>
      <c r="B123" t="s">
        <v>177</v>
      </c>
      <c r="C123" s="1">
        <v>42898</v>
      </c>
      <c r="D123" s="1">
        <v>42901</v>
      </c>
      <c r="E123" t="s">
        <v>2120</v>
      </c>
      <c r="F123" t="s">
        <v>178</v>
      </c>
      <c r="G123" t="s">
        <v>179</v>
      </c>
      <c r="H123" t="s">
        <v>6</v>
      </c>
      <c r="I123" t="s">
        <v>2114</v>
      </c>
      <c r="J123" t="s">
        <v>2110</v>
      </c>
      <c r="K123">
        <v>226.56</v>
      </c>
      <c r="L123">
        <f t="shared" si="2"/>
        <v>22656</v>
      </c>
      <c r="M123">
        <f t="shared" si="3"/>
        <v>4531.2</v>
      </c>
    </row>
    <row r="124" spans="1:13" x14ac:dyDescent="0.3">
      <c r="A124">
        <v>123</v>
      </c>
      <c r="B124" t="s">
        <v>177</v>
      </c>
      <c r="C124" s="1">
        <v>42898</v>
      </c>
      <c r="D124" s="1">
        <v>42901</v>
      </c>
      <c r="E124" t="s">
        <v>2120</v>
      </c>
      <c r="F124" t="s">
        <v>178</v>
      </c>
      <c r="G124" t="s">
        <v>179</v>
      </c>
      <c r="H124" t="s">
        <v>6</v>
      </c>
      <c r="I124" t="s">
        <v>2114</v>
      </c>
      <c r="J124" t="s">
        <v>2110</v>
      </c>
      <c r="K124">
        <v>115.02</v>
      </c>
      <c r="L124">
        <f t="shared" si="2"/>
        <v>11502</v>
      </c>
      <c r="M124">
        <f t="shared" si="3"/>
        <v>2300.4</v>
      </c>
    </row>
    <row r="125" spans="1:13" x14ac:dyDescent="0.3">
      <c r="A125">
        <v>124</v>
      </c>
      <c r="B125" t="s">
        <v>177</v>
      </c>
      <c r="C125" s="1">
        <v>42898</v>
      </c>
      <c r="D125" s="1">
        <v>42901</v>
      </c>
      <c r="E125" t="s">
        <v>2120</v>
      </c>
      <c r="F125" t="s">
        <v>178</v>
      </c>
      <c r="G125" t="s">
        <v>179</v>
      </c>
      <c r="H125" t="s">
        <v>6</v>
      </c>
      <c r="I125" t="s">
        <v>2114</v>
      </c>
      <c r="J125" t="s">
        <v>2111</v>
      </c>
      <c r="K125">
        <v>68.040000000000006</v>
      </c>
      <c r="L125">
        <f t="shared" si="2"/>
        <v>6804.0000000000009</v>
      </c>
      <c r="M125">
        <f t="shared" si="3"/>
        <v>1360.8000000000002</v>
      </c>
    </row>
    <row r="126" spans="1:13" x14ac:dyDescent="0.3">
      <c r="A126">
        <v>125</v>
      </c>
      <c r="B126" t="s">
        <v>180</v>
      </c>
      <c r="C126" s="1">
        <v>42364</v>
      </c>
      <c r="D126" s="1">
        <v>42366</v>
      </c>
      <c r="E126" t="s">
        <v>2119</v>
      </c>
      <c r="F126" t="s">
        <v>181</v>
      </c>
      <c r="G126" t="s">
        <v>182</v>
      </c>
      <c r="H126" t="s">
        <v>26</v>
      </c>
      <c r="I126" t="s">
        <v>2117</v>
      </c>
      <c r="J126" t="s">
        <v>2109</v>
      </c>
      <c r="K126">
        <v>600.55799999999999</v>
      </c>
      <c r="L126">
        <f t="shared" si="2"/>
        <v>60055.8</v>
      </c>
      <c r="M126">
        <f t="shared" si="3"/>
        <v>12011.160000000002</v>
      </c>
    </row>
    <row r="127" spans="1:13" x14ac:dyDescent="0.3">
      <c r="A127">
        <v>126</v>
      </c>
      <c r="B127" t="s">
        <v>183</v>
      </c>
      <c r="C127" s="1">
        <v>42267</v>
      </c>
      <c r="D127" s="1">
        <v>42272</v>
      </c>
      <c r="E127" t="s">
        <v>2118</v>
      </c>
      <c r="F127" t="s">
        <v>184</v>
      </c>
      <c r="G127" t="s">
        <v>185</v>
      </c>
      <c r="H127" t="s">
        <v>6</v>
      </c>
      <c r="I127" t="s">
        <v>2117</v>
      </c>
      <c r="J127" t="s">
        <v>2109</v>
      </c>
      <c r="K127">
        <v>617.70000000000005</v>
      </c>
      <c r="L127">
        <f t="shared" si="2"/>
        <v>61770.000000000007</v>
      </c>
      <c r="M127">
        <f t="shared" si="3"/>
        <v>12354.000000000002</v>
      </c>
    </row>
    <row r="128" spans="1:13" x14ac:dyDescent="0.3">
      <c r="A128">
        <v>127</v>
      </c>
      <c r="B128" t="s">
        <v>186</v>
      </c>
      <c r="C128" s="1">
        <v>43409</v>
      </c>
      <c r="D128" s="1">
        <v>43416</v>
      </c>
      <c r="E128" t="s">
        <v>2118</v>
      </c>
      <c r="F128" t="s">
        <v>187</v>
      </c>
      <c r="G128" t="s">
        <v>188</v>
      </c>
      <c r="H128" t="s">
        <v>6</v>
      </c>
      <c r="I128" t="s">
        <v>2112</v>
      </c>
      <c r="J128" t="s">
        <v>2110</v>
      </c>
      <c r="K128">
        <v>2.3879999999999999</v>
      </c>
      <c r="L128">
        <f t="shared" si="2"/>
        <v>238.79999999999998</v>
      </c>
      <c r="M128">
        <f t="shared" si="3"/>
        <v>47.76</v>
      </c>
    </row>
    <row r="129" spans="1:13" x14ac:dyDescent="0.3">
      <c r="A129">
        <v>128</v>
      </c>
      <c r="B129" t="s">
        <v>186</v>
      </c>
      <c r="C129" s="1">
        <v>43409</v>
      </c>
      <c r="D129" s="1">
        <v>43416</v>
      </c>
      <c r="E129" t="s">
        <v>2118</v>
      </c>
      <c r="F129" t="s">
        <v>187</v>
      </c>
      <c r="G129" t="s">
        <v>188</v>
      </c>
      <c r="H129" t="s">
        <v>6</v>
      </c>
      <c r="I129" t="s">
        <v>2112</v>
      </c>
      <c r="J129" t="s">
        <v>2110</v>
      </c>
      <c r="K129">
        <v>243.99199999999999</v>
      </c>
      <c r="L129">
        <f t="shared" si="2"/>
        <v>24399.200000000001</v>
      </c>
      <c r="M129">
        <f t="shared" si="3"/>
        <v>4879.84</v>
      </c>
    </row>
    <row r="130" spans="1:13" x14ac:dyDescent="0.3">
      <c r="A130">
        <v>129</v>
      </c>
      <c r="B130" t="s">
        <v>189</v>
      </c>
      <c r="C130" s="1">
        <v>43045</v>
      </c>
      <c r="D130" s="1">
        <v>43049</v>
      </c>
      <c r="E130" t="s">
        <v>2119</v>
      </c>
      <c r="F130" t="s">
        <v>190</v>
      </c>
      <c r="G130" t="s">
        <v>191</v>
      </c>
      <c r="H130" t="s">
        <v>26</v>
      </c>
      <c r="I130" t="s">
        <v>2112</v>
      </c>
      <c r="J130" t="s">
        <v>2109</v>
      </c>
      <c r="K130">
        <v>81.424000000000007</v>
      </c>
      <c r="L130">
        <f t="shared" ref="L130:L193" si="4">K130*100</f>
        <v>8142.4000000000005</v>
      </c>
      <c r="M130">
        <f t="shared" si="3"/>
        <v>1628.4800000000002</v>
      </c>
    </row>
    <row r="131" spans="1:13" x14ac:dyDescent="0.3">
      <c r="A131">
        <v>130</v>
      </c>
      <c r="B131" t="s">
        <v>189</v>
      </c>
      <c r="C131" s="1">
        <v>43045</v>
      </c>
      <c r="D131" s="1">
        <v>43049</v>
      </c>
      <c r="E131" t="s">
        <v>2119</v>
      </c>
      <c r="F131" t="s">
        <v>190</v>
      </c>
      <c r="G131" t="s">
        <v>191</v>
      </c>
      <c r="H131" t="s">
        <v>26</v>
      </c>
      <c r="I131" t="s">
        <v>2112</v>
      </c>
      <c r="J131" t="s">
        <v>2109</v>
      </c>
      <c r="K131">
        <v>238.56</v>
      </c>
      <c r="L131">
        <f t="shared" si="4"/>
        <v>23856</v>
      </c>
      <c r="M131">
        <f t="shared" ref="M131:M194" si="5">L131*0.2</f>
        <v>4771.2</v>
      </c>
    </row>
    <row r="132" spans="1:13" x14ac:dyDescent="0.3">
      <c r="A132">
        <v>131</v>
      </c>
      <c r="B132" t="s">
        <v>192</v>
      </c>
      <c r="C132" s="1">
        <v>43133</v>
      </c>
      <c r="D132" s="1">
        <v>43136</v>
      </c>
      <c r="E132" t="s">
        <v>2120</v>
      </c>
      <c r="F132" t="s">
        <v>193</v>
      </c>
      <c r="G132" t="s">
        <v>194</v>
      </c>
      <c r="H132" t="s">
        <v>10</v>
      </c>
      <c r="I132" t="s">
        <v>2114</v>
      </c>
      <c r="J132" t="s">
        <v>2111</v>
      </c>
      <c r="K132">
        <v>59.97</v>
      </c>
      <c r="L132">
        <f t="shared" si="4"/>
        <v>5997</v>
      </c>
      <c r="M132">
        <f t="shared" si="5"/>
        <v>1199.4000000000001</v>
      </c>
    </row>
    <row r="133" spans="1:13" x14ac:dyDescent="0.3">
      <c r="A133">
        <v>132</v>
      </c>
      <c r="B133" t="s">
        <v>192</v>
      </c>
      <c r="C133" s="1">
        <v>43133</v>
      </c>
      <c r="D133" s="1">
        <v>43136</v>
      </c>
      <c r="E133" t="s">
        <v>2120</v>
      </c>
      <c r="F133" t="s">
        <v>193</v>
      </c>
      <c r="G133" t="s">
        <v>194</v>
      </c>
      <c r="H133" t="s">
        <v>10</v>
      </c>
      <c r="I133" t="s">
        <v>2114</v>
      </c>
      <c r="J133" t="s">
        <v>2110</v>
      </c>
      <c r="K133">
        <v>78.304000000000002</v>
      </c>
      <c r="L133">
        <f t="shared" si="4"/>
        <v>7830.4000000000005</v>
      </c>
      <c r="M133">
        <f t="shared" si="5"/>
        <v>1566.0800000000002</v>
      </c>
    </row>
    <row r="134" spans="1:13" x14ac:dyDescent="0.3">
      <c r="A134">
        <v>133</v>
      </c>
      <c r="B134" t="s">
        <v>192</v>
      </c>
      <c r="C134" s="1">
        <v>43133</v>
      </c>
      <c r="D134" s="1">
        <v>43136</v>
      </c>
      <c r="E134" t="s">
        <v>2120</v>
      </c>
      <c r="F134" t="s">
        <v>193</v>
      </c>
      <c r="G134" t="s">
        <v>194</v>
      </c>
      <c r="H134" t="s">
        <v>10</v>
      </c>
      <c r="I134" t="s">
        <v>2114</v>
      </c>
      <c r="J134" t="s">
        <v>2110</v>
      </c>
      <c r="K134">
        <v>21.456</v>
      </c>
      <c r="L134">
        <f t="shared" si="4"/>
        <v>2145.6</v>
      </c>
      <c r="M134">
        <f t="shared" si="5"/>
        <v>429.12</v>
      </c>
    </row>
    <row r="135" spans="1:13" x14ac:dyDescent="0.3">
      <c r="A135">
        <v>134</v>
      </c>
      <c r="B135" t="s">
        <v>195</v>
      </c>
      <c r="C135" s="1">
        <v>43021</v>
      </c>
      <c r="D135" s="1">
        <v>43027</v>
      </c>
      <c r="E135" t="s">
        <v>2118</v>
      </c>
      <c r="F135" t="s">
        <v>196</v>
      </c>
      <c r="G135" t="s">
        <v>197</v>
      </c>
      <c r="H135" t="s">
        <v>6</v>
      </c>
      <c r="I135" t="s">
        <v>2112</v>
      </c>
      <c r="J135" t="s">
        <v>2110</v>
      </c>
      <c r="K135">
        <v>20.04</v>
      </c>
      <c r="L135">
        <f t="shared" si="4"/>
        <v>2004</v>
      </c>
      <c r="M135">
        <f t="shared" si="5"/>
        <v>400.8</v>
      </c>
    </row>
    <row r="136" spans="1:13" x14ac:dyDescent="0.3">
      <c r="A136">
        <v>135</v>
      </c>
      <c r="B136" t="s">
        <v>195</v>
      </c>
      <c r="C136" s="1">
        <v>43021</v>
      </c>
      <c r="D136" s="1">
        <v>43027</v>
      </c>
      <c r="E136" t="s">
        <v>2118</v>
      </c>
      <c r="F136" t="s">
        <v>196</v>
      </c>
      <c r="G136" t="s">
        <v>197</v>
      </c>
      <c r="H136" t="s">
        <v>6</v>
      </c>
      <c r="I136" t="s">
        <v>2112</v>
      </c>
      <c r="J136" t="s">
        <v>2110</v>
      </c>
      <c r="K136">
        <v>35.44</v>
      </c>
      <c r="L136">
        <f t="shared" si="4"/>
        <v>3544</v>
      </c>
      <c r="M136">
        <f t="shared" si="5"/>
        <v>708.80000000000007</v>
      </c>
    </row>
    <row r="137" spans="1:13" x14ac:dyDescent="0.3">
      <c r="A137">
        <v>136</v>
      </c>
      <c r="B137" t="s">
        <v>195</v>
      </c>
      <c r="C137" s="1">
        <v>43021</v>
      </c>
      <c r="D137" s="1">
        <v>43027</v>
      </c>
      <c r="E137" t="s">
        <v>2118</v>
      </c>
      <c r="F137" t="s">
        <v>196</v>
      </c>
      <c r="G137" t="s">
        <v>197</v>
      </c>
      <c r="H137" t="s">
        <v>6</v>
      </c>
      <c r="I137" t="s">
        <v>2112</v>
      </c>
      <c r="J137" t="s">
        <v>2110</v>
      </c>
      <c r="K137">
        <v>11.52</v>
      </c>
      <c r="L137">
        <f t="shared" si="4"/>
        <v>1152</v>
      </c>
      <c r="M137">
        <f t="shared" si="5"/>
        <v>230.4</v>
      </c>
    </row>
    <row r="138" spans="1:13" x14ac:dyDescent="0.3">
      <c r="A138">
        <v>137</v>
      </c>
      <c r="B138" t="s">
        <v>195</v>
      </c>
      <c r="C138" s="1">
        <v>43021</v>
      </c>
      <c r="D138" s="1">
        <v>43027</v>
      </c>
      <c r="E138" t="s">
        <v>2118</v>
      </c>
      <c r="F138" t="s">
        <v>196</v>
      </c>
      <c r="G138" t="s">
        <v>197</v>
      </c>
      <c r="H138" t="s">
        <v>6</v>
      </c>
      <c r="I138" t="s">
        <v>2112</v>
      </c>
      <c r="J138" t="s">
        <v>2110</v>
      </c>
      <c r="K138">
        <v>4.0199999999999996</v>
      </c>
      <c r="L138">
        <f t="shared" si="4"/>
        <v>401.99999999999994</v>
      </c>
      <c r="M138">
        <f t="shared" si="5"/>
        <v>80.399999999999991</v>
      </c>
    </row>
    <row r="139" spans="1:13" x14ac:dyDescent="0.3">
      <c r="A139">
        <v>138</v>
      </c>
      <c r="B139" t="s">
        <v>195</v>
      </c>
      <c r="C139" s="1">
        <v>43021</v>
      </c>
      <c r="D139" s="1">
        <v>43027</v>
      </c>
      <c r="E139" t="s">
        <v>2118</v>
      </c>
      <c r="F139" t="s">
        <v>196</v>
      </c>
      <c r="G139" t="s">
        <v>197</v>
      </c>
      <c r="H139" t="s">
        <v>6</v>
      </c>
      <c r="I139" t="s">
        <v>2112</v>
      </c>
      <c r="J139" t="s">
        <v>2110</v>
      </c>
      <c r="K139">
        <v>76.176000000000002</v>
      </c>
      <c r="L139">
        <f t="shared" si="4"/>
        <v>7617.6</v>
      </c>
      <c r="M139">
        <f t="shared" si="5"/>
        <v>1523.5200000000002</v>
      </c>
    </row>
    <row r="140" spans="1:13" x14ac:dyDescent="0.3">
      <c r="A140">
        <v>139</v>
      </c>
      <c r="B140" t="s">
        <v>195</v>
      </c>
      <c r="C140" s="1">
        <v>43021</v>
      </c>
      <c r="D140" s="1">
        <v>43027</v>
      </c>
      <c r="E140" t="s">
        <v>2118</v>
      </c>
      <c r="F140" t="s">
        <v>196</v>
      </c>
      <c r="G140" t="s">
        <v>197</v>
      </c>
      <c r="H140" t="s">
        <v>6</v>
      </c>
      <c r="I140" t="s">
        <v>2112</v>
      </c>
      <c r="J140" t="s">
        <v>2110</v>
      </c>
      <c r="K140">
        <v>65.88</v>
      </c>
      <c r="L140">
        <f t="shared" si="4"/>
        <v>6588</v>
      </c>
      <c r="M140">
        <f t="shared" si="5"/>
        <v>1317.6000000000001</v>
      </c>
    </row>
    <row r="141" spans="1:13" x14ac:dyDescent="0.3">
      <c r="A141">
        <v>140</v>
      </c>
      <c r="B141" t="s">
        <v>195</v>
      </c>
      <c r="C141" s="1">
        <v>43021</v>
      </c>
      <c r="D141" s="1">
        <v>43027</v>
      </c>
      <c r="E141" t="s">
        <v>2118</v>
      </c>
      <c r="F141" t="s">
        <v>196</v>
      </c>
      <c r="G141" t="s">
        <v>197</v>
      </c>
      <c r="H141" t="s">
        <v>6</v>
      </c>
      <c r="I141" t="s">
        <v>2112</v>
      </c>
      <c r="J141" t="s">
        <v>2109</v>
      </c>
      <c r="K141">
        <v>43.12</v>
      </c>
      <c r="L141">
        <f t="shared" si="4"/>
        <v>4312</v>
      </c>
      <c r="M141">
        <f t="shared" si="5"/>
        <v>862.40000000000009</v>
      </c>
    </row>
    <row r="142" spans="1:13" x14ac:dyDescent="0.3">
      <c r="A142">
        <v>141</v>
      </c>
      <c r="B142" t="s">
        <v>198</v>
      </c>
      <c r="C142" s="1">
        <v>42983</v>
      </c>
      <c r="D142" s="1">
        <v>42985</v>
      </c>
      <c r="E142" t="s">
        <v>2119</v>
      </c>
      <c r="F142" t="s">
        <v>199</v>
      </c>
      <c r="G142" t="s">
        <v>200</v>
      </c>
      <c r="H142" t="s">
        <v>10</v>
      </c>
      <c r="I142" t="s">
        <v>2114</v>
      </c>
      <c r="J142" t="s">
        <v>2109</v>
      </c>
      <c r="K142">
        <v>82.8</v>
      </c>
      <c r="L142">
        <f t="shared" si="4"/>
        <v>8280</v>
      </c>
      <c r="M142">
        <f t="shared" si="5"/>
        <v>1656</v>
      </c>
    </row>
    <row r="143" spans="1:13" x14ac:dyDescent="0.3">
      <c r="A143">
        <v>142</v>
      </c>
      <c r="B143" t="s">
        <v>201</v>
      </c>
      <c r="C143" s="1">
        <v>43361</v>
      </c>
      <c r="D143" s="1">
        <v>43366</v>
      </c>
      <c r="E143" t="s">
        <v>2118</v>
      </c>
      <c r="F143" t="s">
        <v>202</v>
      </c>
      <c r="G143" t="s">
        <v>203</v>
      </c>
      <c r="H143" t="s">
        <v>10</v>
      </c>
      <c r="I143" t="s">
        <v>2112</v>
      </c>
      <c r="J143" t="s">
        <v>2110</v>
      </c>
      <c r="K143">
        <v>8.82</v>
      </c>
      <c r="L143">
        <f t="shared" si="4"/>
        <v>882</v>
      </c>
      <c r="M143">
        <f t="shared" si="5"/>
        <v>176.4</v>
      </c>
    </row>
    <row r="144" spans="1:13" x14ac:dyDescent="0.3">
      <c r="A144">
        <v>143</v>
      </c>
      <c r="B144" t="s">
        <v>201</v>
      </c>
      <c r="C144" s="1">
        <v>43361</v>
      </c>
      <c r="D144" s="1">
        <v>43366</v>
      </c>
      <c r="E144" t="s">
        <v>2118</v>
      </c>
      <c r="F144" t="s">
        <v>202</v>
      </c>
      <c r="G144" t="s">
        <v>203</v>
      </c>
      <c r="H144" t="s">
        <v>10</v>
      </c>
      <c r="I144" t="s">
        <v>2112</v>
      </c>
      <c r="J144" t="s">
        <v>2110</v>
      </c>
      <c r="K144">
        <v>10.86</v>
      </c>
      <c r="L144">
        <f t="shared" si="4"/>
        <v>1086</v>
      </c>
      <c r="M144">
        <f t="shared" si="5"/>
        <v>217.20000000000002</v>
      </c>
    </row>
    <row r="145" spans="1:13" x14ac:dyDescent="0.3">
      <c r="A145">
        <v>144</v>
      </c>
      <c r="B145" t="s">
        <v>201</v>
      </c>
      <c r="C145" s="1">
        <v>43361</v>
      </c>
      <c r="D145" s="1">
        <v>43366</v>
      </c>
      <c r="E145" t="s">
        <v>2118</v>
      </c>
      <c r="F145" t="s">
        <v>202</v>
      </c>
      <c r="G145" t="s">
        <v>203</v>
      </c>
      <c r="H145" t="s">
        <v>10</v>
      </c>
      <c r="I145" t="s">
        <v>2112</v>
      </c>
      <c r="J145" t="s">
        <v>2110</v>
      </c>
      <c r="K145">
        <v>143.69999999999999</v>
      </c>
      <c r="L145">
        <f t="shared" si="4"/>
        <v>14369.999999999998</v>
      </c>
      <c r="M145">
        <f t="shared" si="5"/>
        <v>2874</v>
      </c>
    </row>
    <row r="146" spans="1:13" x14ac:dyDescent="0.3">
      <c r="A146">
        <v>145</v>
      </c>
      <c r="B146" t="s">
        <v>204</v>
      </c>
      <c r="C146" s="1">
        <v>43456</v>
      </c>
      <c r="D146" s="1">
        <v>43461</v>
      </c>
      <c r="E146" t="s">
        <v>2118</v>
      </c>
      <c r="F146" t="s">
        <v>205</v>
      </c>
      <c r="G146" t="s">
        <v>206</v>
      </c>
      <c r="H146" t="s">
        <v>6</v>
      </c>
      <c r="I146" t="s">
        <v>2117</v>
      </c>
      <c r="J146" t="s">
        <v>2110</v>
      </c>
      <c r="K146">
        <v>839.43</v>
      </c>
      <c r="L146">
        <f t="shared" si="4"/>
        <v>83943</v>
      </c>
      <c r="M146">
        <f t="shared" si="5"/>
        <v>16788.600000000002</v>
      </c>
    </row>
    <row r="147" spans="1:13" x14ac:dyDescent="0.3">
      <c r="A147">
        <v>146</v>
      </c>
      <c r="B147" t="s">
        <v>207</v>
      </c>
      <c r="C147" s="1">
        <v>42620</v>
      </c>
      <c r="D147" s="1">
        <v>42625</v>
      </c>
      <c r="E147" t="s">
        <v>2118</v>
      </c>
      <c r="F147" t="s">
        <v>208</v>
      </c>
      <c r="G147" t="s">
        <v>209</v>
      </c>
      <c r="H147" t="s">
        <v>6</v>
      </c>
      <c r="I147" t="s">
        <v>2112</v>
      </c>
      <c r="J147" t="s">
        <v>2110</v>
      </c>
      <c r="K147">
        <v>671.93</v>
      </c>
      <c r="L147">
        <f t="shared" si="4"/>
        <v>67193</v>
      </c>
      <c r="M147">
        <f t="shared" si="5"/>
        <v>13438.6</v>
      </c>
    </row>
    <row r="148" spans="1:13" x14ac:dyDescent="0.3">
      <c r="A148">
        <v>147</v>
      </c>
      <c r="B148" t="s">
        <v>210</v>
      </c>
      <c r="C148" s="1">
        <v>42299</v>
      </c>
      <c r="D148" s="1">
        <v>42305</v>
      </c>
      <c r="E148" t="s">
        <v>2118</v>
      </c>
      <c r="F148" t="s">
        <v>211</v>
      </c>
      <c r="G148" t="s">
        <v>212</v>
      </c>
      <c r="H148" t="s">
        <v>26</v>
      </c>
      <c r="I148" t="s">
        <v>2114</v>
      </c>
      <c r="J148" t="s">
        <v>2109</v>
      </c>
      <c r="K148">
        <v>93.888000000000005</v>
      </c>
      <c r="L148">
        <f t="shared" si="4"/>
        <v>9388.8000000000011</v>
      </c>
      <c r="M148">
        <f t="shared" si="5"/>
        <v>1877.7600000000002</v>
      </c>
    </row>
    <row r="149" spans="1:13" x14ac:dyDescent="0.3">
      <c r="A149">
        <v>148</v>
      </c>
      <c r="B149" t="s">
        <v>213</v>
      </c>
      <c r="C149" s="1">
        <v>43074</v>
      </c>
      <c r="D149" s="1">
        <v>43078</v>
      </c>
      <c r="E149" t="s">
        <v>2118</v>
      </c>
      <c r="F149" t="s">
        <v>214</v>
      </c>
      <c r="G149" t="s">
        <v>215</v>
      </c>
      <c r="H149" t="s">
        <v>10</v>
      </c>
      <c r="I149" t="s">
        <v>2117</v>
      </c>
      <c r="J149" t="s">
        <v>2111</v>
      </c>
      <c r="K149">
        <v>384.45</v>
      </c>
      <c r="L149">
        <f t="shared" si="4"/>
        <v>38445</v>
      </c>
      <c r="M149">
        <f t="shared" si="5"/>
        <v>7689</v>
      </c>
    </row>
    <row r="150" spans="1:13" x14ac:dyDescent="0.3">
      <c r="A150">
        <v>149</v>
      </c>
      <c r="B150" t="s">
        <v>213</v>
      </c>
      <c r="C150" s="1">
        <v>43074</v>
      </c>
      <c r="D150" s="1">
        <v>43078</v>
      </c>
      <c r="E150" t="s">
        <v>2118</v>
      </c>
      <c r="F150" t="s">
        <v>214</v>
      </c>
      <c r="G150" t="s">
        <v>215</v>
      </c>
      <c r="H150" t="s">
        <v>10</v>
      </c>
      <c r="I150" t="s">
        <v>2117</v>
      </c>
      <c r="J150" t="s">
        <v>2111</v>
      </c>
      <c r="K150">
        <v>149.97</v>
      </c>
      <c r="L150">
        <f t="shared" si="4"/>
        <v>14997</v>
      </c>
      <c r="M150">
        <f t="shared" si="5"/>
        <v>2999.4</v>
      </c>
    </row>
    <row r="151" spans="1:13" x14ac:dyDescent="0.3">
      <c r="A151">
        <v>150</v>
      </c>
      <c r="B151" t="s">
        <v>213</v>
      </c>
      <c r="C151" s="1">
        <v>43074</v>
      </c>
      <c r="D151" s="1">
        <v>43078</v>
      </c>
      <c r="E151" t="s">
        <v>2118</v>
      </c>
      <c r="F151" t="s">
        <v>214</v>
      </c>
      <c r="G151" t="s">
        <v>215</v>
      </c>
      <c r="H151" t="s">
        <v>10</v>
      </c>
      <c r="I151" t="s">
        <v>2117</v>
      </c>
      <c r="J151" t="s">
        <v>2109</v>
      </c>
      <c r="K151">
        <v>1951.84</v>
      </c>
      <c r="L151">
        <f t="shared" si="4"/>
        <v>195184</v>
      </c>
      <c r="M151">
        <f t="shared" si="5"/>
        <v>39036.800000000003</v>
      </c>
    </row>
    <row r="152" spans="1:13" x14ac:dyDescent="0.3">
      <c r="A152">
        <v>151</v>
      </c>
      <c r="B152" t="s">
        <v>213</v>
      </c>
      <c r="C152" s="1">
        <v>43074</v>
      </c>
      <c r="D152" s="1">
        <v>43078</v>
      </c>
      <c r="E152" t="s">
        <v>2118</v>
      </c>
      <c r="F152" t="s">
        <v>214</v>
      </c>
      <c r="G152" t="s">
        <v>215</v>
      </c>
      <c r="H152" t="s">
        <v>10</v>
      </c>
      <c r="I152" t="s">
        <v>2117</v>
      </c>
      <c r="J152" t="s">
        <v>2110</v>
      </c>
      <c r="K152">
        <v>171.55</v>
      </c>
      <c r="L152">
        <f t="shared" si="4"/>
        <v>17155</v>
      </c>
      <c r="M152">
        <f t="shared" si="5"/>
        <v>3431</v>
      </c>
    </row>
    <row r="153" spans="1:13" x14ac:dyDescent="0.3">
      <c r="A153">
        <v>152</v>
      </c>
      <c r="B153" t="s">
        <v>216</v>
      </c>
      <c r="C153" s="1">
        <v>42807</v>
      </c>
      <c r="D153" s="1">
        <v>42810</v>
      </c>
      <c r="E153" t="s">
        <v>2120</v>
      </c>
      <c r="F153" t="s">
        <v>217</v>
      </c>
      <c r="G153" t="s">
        <v>218</v>
      </c>
      <c r="H153" t="s">
        <v>26</v>
      </c>
      <c r="I153" t="s">
        <v>2112</v>
      </c>
      <c r="J153" t="s">
        <v>2110</v>
      </c>
      <c r="K153">
        <v>157.91999999999999</v>
      </c>
      <c r="L153">
        <f t="shared" si="4"/>
        <v>15791.999999999998</v>
      </c>
      <c r="M153">
        <f t="shared" si="5"/>
        <v>3158.3999999999996</v>
      </c>
    </row>
    <row r="154" spans="1:13" x14ac:dyDescent="0.3">
      <c r="A154">
        <v>153</v>
      </c>
      <c r="B154" t="s">
        <v>216</v>
      </c>
      <c r="C154" s="1">
        <v>42807</v>
      </c>
      <c r="D154" s="1">
        <v>42810</v>
      </c>
      <c r="E154" t="s">
        <v>2120</v>
      </c>
      <c r="F154" t="s">
        <v>217</v>
      </c>
      <c r="G154" t="s">
        <v>218</v>
      </c>
      <c r="H154" t="s">
        <v>26</v>
      </c>
      <c r="I154" t="s">
        <v>2112</v>
      </c>
      <c r="J154" t="s">
        <v>2111</v>
      </c>
      <c r="K154">
        <v>203.184</v>
      </c>
      <c r="L154">
        <f t="shared" si="4"/>
        <v>20318.400000000001</v>
      </c>
      <c r="M154">
        <f t="shared" si="5"/>
        <v>4063.6800000000003</v>
      </c>
    </row>
    <row r="155" spans="1:13" x14ac:dyDescent="0.3">
      <c r="A155">
        <v>154</v>
      </c>
      <c r="B155" t="s">
        <v>219</v>
      </c>
      <c r="C155" s="1">
        <v>42521</v>
      </c>
      <c r="D155" s="1">
        <v>42523</v>
      </c>
      <c r="E155" t="s">
        <v>2120</v>
      </c>
      <c r="F155" t="s">
        <v>220</v>
      </c>
      <c r="G155" t="s">
        <v>221</v>
      </c>
      <c r="H155" t="s">
        <v>10</v>
      </c>
      <c r="I155" t="s">
        <v>2112</v>
      </c>
      <c r="J155" t="s">
        <v>2110</v>
      </c>
      <c r="K155">
        <v>58.38</v>
      </c>
      <c r="L155">
        <f t="shared" si="4"/>
        <v>5838</v>
      </c>
      <c r="M155">
        <f t="shared" si="5"/>
        <v>1167.6000000000001</v>
      </c>
    </row>
    <row r="156" spans="1:13" x14ac:dyDescent="0.3">
      <c r="A156">
        <v>155</v>
      </c>
      <c r="B156" t="s">
        <v>219</v>
      </c>
      <c r="C156" s="1">
        <v>42521</v>
      </c>
      <c r="D156" s="1">
        <v>42523</v>
      </c>
      <c r="E156" t="s">
        <v>2120</v>
      </c>
      <c r="F156" t="s">
        <v>220</v>
      </c>
      <c r="G156" t="s">
        <v>221</v>
      </c>
      <c r="H156" t="s">
        <v>10</v>
      </c>
      <c r="I156" t="s">
        <v>2112</v>
      </c>
      <c r="J156" t="s">
        <v>2110</v>
      </c>
      <c r="K156">
        <v>105.52</v>
      </c>
      <c r="L156">
        <f t="shared" si="4"/>
        <v>10552</v>
      </c>
      <c r="M156">
        <f t="shared" si="5"/>
        <v>2110.4</v>
      </c>
    </row>
    <row r="157" spans="1:13" x14ac:dyDescent="0.3">
      <c r="A157">
        <v>156</v>
      </c>
      <c r="B157" t="s">
        <v>219</v>
      </c>
      <c r="C157" s="1">
        <v>42521</v>
      </c>
      <c r="D157" s="1">
        <v>42523</v>
      </c>
      <c r="E157" t="s">
        <v>2120</v>
      </c>
      <c r="F157" t="s">
        <v>220</v>
      </c>
      <c r="G157" t="s">
        <v>221</v>
      </c>
      <c r="H157" t="s">
        <v>10</v>
      </c>
      <c r="I157" t="s">
        <v>2112</v>
      </c>
      <c r="J157" t="s">
        <v>2110</v>
      </c>
      <c r="K157">
        <v>80.88</v>
      </c>
      <c r="L157">
        <f t="shared" si="4"/>
        <v>8088</v>
      </c>
      <c r="M157">
        <f t="shared" si="5"/>
        <v>1617.6000000000001</v>
      </c>
    </row>
    <row r="158" spans="1:13" x14ac:dyDescent="0.3">
      <c r="A158">
        <v>157</v>
      </c>
      <c r="B158" t="s">
        <v>222</v>
      </c>
      <c r="C158" s="1">
        <v>42518</v>
      </c>
      <c r="D158" s="1">
        <v>42524</v>
      </c>
      <c r="E158" t="s">
        <v>2118</v>
      </c>
      <c r="F158" t="s">
        <v>223</v>
      </c>
      <c r="G158" t="s">
        <v>224</v>
      </c>
      <c r="H158" t="s">
        <v>26</v>
      </c>
      <c r="I158" t="s">
        <v>2112</v>
      </c>
      <c r="J158" t="s">
        <v>2110</v>
      </c>
      <c r="K158">
        <v>6.63</v>
      </c>
      <c r="L158">
        <f t="shared" si="4"/>
        <v>663</v>
      </c>
      <c r="M158">
        <f t="shared" si="5"/>
        <v>132.6</v>
      </c>
    </row>
    <row r="159" spans="1:13" x14ac:dyDescent="0.3">
      <c r="A159">
        <v>158</v>
      </c>
      <c r="B159" t="s">
        <v>225</v>
      </c>
      <c r="C159" s="1">
        <v>42064</v>
      </c>
      <c r="D159" s="1">
        <v>42069</v>
      </c>
      <c r="E159" t="s">
        <v>2119</v>
      </c>
      <c r="F159" t="s">
        <v>226</v>
      </c>
      <c r="G159" t="s">
        <v>227</v>
      </c>
      <c r="H159" t="s">
        <v>6</v>
      </c>
      <c r="I159" t="s">
        <v>2112</v>
      </c>
      <c r="J159" t="s">
        <v>2109</v>
      </c>
      <c r="K159">
        <v>457.56799999999998</v>
      </c>
      <c r="L159">
        <f t="shared" si="4"/>
        <v>45756.799999999996</v>
      </c>
      <c r="M159">
        <f t="shared" si="5"/>
        <v>9151.3599999999988</v>
      </c>
    </row>
    <row r="160" spans="1:13" x14ac:dyDescent="0.3">
      <c r="A160">
        <v>159</v>
      </c>
      <c r="B160" t="s">
        <v>228</v>
      </c>
      <c r="C160" s="1">
        <v>43059</v>
      </c>
      <c r="D160" s="1">
        <v>43063</v>
      </c>
      <c r="E160" t="s">
        <v>2118</v>
      </c>
      <c r="F160" t="s">
        <v>229</v>
      </c>
      <c r="G160" t="s">
        <v>230</v>
      </c>
      <c r="H160" t="s">
        <v>6</v>
      </c>
      <c r="I160" t="s">
        <v>2117</v>
      </c>
      <c r="J160" t="s">
        <v>2110</v>
      </c>
      <c r="K160">
        <v>14.62</v>
      </c>
      <c r="L160">
        <f t="shared" si="4"/>
        <v>1462</v>
      </c>
      <c r="M160">
        <f t="shared" si="5"/>
        <v>292.40000000000003</v>
      </c>
    </row>
    <row r="161" spans="1:13" x14ac:dyDescent="0.3">
      <c r="A161">
        <v>160</v>
      </c>
      <c r="B161" t="s">
        <v>228</v>
      </c>
      <c r="C161" s="1">
        <v>43059</v>
      </c>
      <c r="D161" s="1">
        <v>43063</v>
      </c>
      <c r="E161" t="s">
        <v>2118</v>
      </c>
      <c r="F161" t="s">
        <v>229</v>
      </c>
      <c r="G161" t="s">
        <v>230</v>
      </c>
      <c r="H161" t="s">
        <v>6</v>
      </c>
      <c r="I161" t="s">
        <v>2117</v>
      </c>
      <c r="J161" t="s">
        <v>2111</v>
      </c>
      <c r="K161">
        <v>944.93</v>
      </c>
      <c r="L161">
        <f t="shared" si="4"/>
        <v>94493</v>
      </c>
      <c r="M161">
        <f t="shared" si="5"/>
        <v>18898.600000000002</v>
      </c>
    </row>
    <row r="162" spans="1:13" x14ac:dyDescent="0.3">
      <c r="A162">
        <v>161</v>
      </c>
      <c r="B162" t="s">
        <v>231</v>
      </c>
      <c r="C162" s="1">
        <v>42866</v>
      </c>
      <c r="D162" s="1">
        <v>42867</v>
      </c>
      <c r="E162" t="s">
        <v>2120</v>
      </c>
      <c r="F162" t="s">
        <v>232</v>
      </c>
      <c r="G162" t="s">
        <v>233</v>
      </c>
      <c r="H162" t="s">
        <v>6</v>
      </c>
      <c r="I162" t="s">
        <v>2112</v>
      </c>
      <c r="J162" t="s">
        <v>2110</v>
      </c>
      <c r="K162">
        <v>5.98</v>
      </c>
      <c r="L162">
        <f t="shared" si="4"/>
        <v>598</v>
      </c>
      <c r="M162">
        <f t="shared" si="5"/>
        <v>119.60000000000001</v>
      </c>
    </row>
    <row r="163" spans="1:13" x14ac:dyDescent="0.3">
      <c r="A163">
        <v>162</v>
      </c>
      <c r="B163" t="s">
        <v>234</v>
      </c>
      <c r="C163" s="1">
        <v>42732</v>
      </c>
      <c r="D163" s="1">
        <v>42735</v>
      </c>
      <c r="E163" t="s">
        <v>2119</v>
      </c>
      <c r="F163" t="s">
        <v>235</v>
      </c>
      <c r="G163" t="s">
        <v>236</v>
      </c>
      <c r="H163" t="s">
        <v>6</v>
      </c>
      <c r="I163" t="s">
        <v>2114</v>
      </c>
      <c r="J163" t="s">
        <v>2111</v>
      </c>
      <c r="K163">
        <v>54.384</v>
      </c>
      <c r="L163">
        <f t="shared" si="4"/>
        <v>5438.4</v>
      </c>
      <c r="M163">
        <f t="shared" si="5"/>
        <v>1087.68</v>
      </c>
    </row>
    <row r="164" spans="1:13" x14ac:dyDescent="0.3">
      <c r="A164">
        <v>163</v>
      </c>
      <c r="B164" t="s">
        <v>237</v>
      </c>
      <c r="C164" s="1">
        <v>43055</v>
      </c>
      <c r="D164" s="1">
        <v>43059</v>
      </c>
      <c r="E164" t="s">
        <v>2118</v>
      </c>
      <c r="F164" t="s">
        <v>238</v>
      </c>
      <c r="G164" t="s">
        <v>239</v>
      </c>
      <c r="H164" t="s">
        <v>6</v>
      </c>
      <c r="I164" t="s">
        <v>2112</v>
      </c>
      <c r="J164" t="s">
        <v>2110</v>
      </c>
      <c r="K164">
        <v>28.4</v>
      </c>
      <c r="L164">
        <f t="shared" si="4"/>
        <v>2840</v>
      </c>
      <c r="M164">
        <f t="shared" si="5"/>
        <v>568</v>
      </c>
    </row>
    <row r="165" spans="1:13" x14ac:dyDescent="0.3">
      <c r="A165">
        <v>164</v>
      </c>
      <c r="B165" t="s">
        <v>240</v>
      </c>
      <c r="C165" s="1">
        <v>43046</v>
      </c>
      <c r="D165" s="1">
        <v>43050</v>
      </c>
      <c r="E165" t="s">
        <v>2118</v>
      </c>
      <c r="F165" t="s">
        <v>241</v>
      </c>
      <c r="G165" t="s">
        <v>242</v>
      </c>
      <c r="H165" t="s">
        <v>6</v>
      </c>
      <c r="I165" t="s">
        <v>2112</v>
      </c>
      <c r="J165" t="s">
        <v>2110</v>
      </c>
      <c r="K165">
        <v>27.68</v>
      </c>
      <c r="L165">
        <f t="shared" si="4"/>
        <v>2768</v>
      </c>
      <c r="M165">
        <f t="shared" si="5"/>
        <v>553.6</v>
      </c>
    </row>
    <row r="166" spans="1:13" x14ac:dyDescent="0.3">
      <c r="A166">
        <v>165</v>
      </c>
      <c r="B166" t="s">
        <v>243</v>
      </c>
      <c r="C166" s="1">
        <v>42255</v>
      </c>
      <c r="D166" s="1">
        <v>42259</v>
      </c>
      <c r="E166" t="s">
        <v>2118</v>
      </c>
      <c r="F166" t="s">
        <v>244</v>
      </c>
      <c r="G166" t="s">
        <v>245</v>
      </c>
      <c r="H166" t="s">
        <v>6</v>
      </c>
      <c r="I166" t="s">
        <v>2117</v>
      </c>
      <c r="J166" t="s">
        <v>2110</v>
      </c>
      <c r="K166">
        <v>9.9359999999999999</v>
      </c>
      <c r="L166">
        <f t="shared" si="4"/>
        <v>993.6</v>
      </c>
      <c r="M166">
        <f t="shared" si="5"/>
        <v>198.72000000000003</v>
      </c>
    </row>
    <row r="167" spans="1:13" x14ac:dyDescent="0.3">
      <c r="A167">
        <v>166</v>
      </c>
      <c r="B167" t="s">
        <v>243</v>
      </c>
      <c r="C167" s="1">
        <v>42255</v>
      </c>
      <c r="D167" s="1">
        <v>42259</v>
      </c>
      <c r="E167" t="s">
        <v>2118</v>
      </c>
      <c r="F167" t="s">
        <v>244</v>
      </c>
      <c r="G167" t="s">
        <v>245</v>
      </c>
      <c r="H167" t="s">
        <v>6</v>
      </c>
      <c r="I167" t="s">
        <v>2117</v>
      </c>
      <c r="J167" t="s">
        <v>2111</v>
      </c>
      <c r="K167">
        <v>8159.9520000000002</v>
      </c>
      <c r="L167">
        <f t="shared" si="4"/>
        <v>815995.20000000007</v>
      </c>
      <c r="M167">
        <f t="shared" si="5"/>
        <v>163199.04000000004</v>
      </c>
    </row>
    <row r="168" spans="1:13" x14ac:dyDescent="0.3">
      <c r="A168">
        <v>167</v>
      </c>
      <c r="B168" t="s">
        <v>243</v>
      </c>
      <c r="C168" s="1">
        <v>42255</v>
      </c>
      <c r="D168" s="1">
        <v>42259</v>
      </c>
      <c r="E168" t="s">
        <v>2118</v>
      </c>
      <c r="F168" t="s">
        <v>244</v>
      </c>
      <c r="G168" t="s">
        <v>245</v>
      </c>
      <c r="H168" t="s">
        <v>6</v>
      </c>
      <c r="I168" t="s">
        <v>2117</v>
      </c>
      <c r="J168" t="s">
        <v>2110</v>
      </c>
      <c r="K168">
        <v>275.928</v>
      </c>
      <c r="L168">
        <f t="shared" si="4"/>
        <v>27592.799999999999</v>
      </c>
      <c r="M168">
        <f t="shared" si="5"/>
        <v>5518.56</v>
      </c>
    </row>
    <row r="169" spans="1:13" x14ac:dyDescent="0.3">
      <c r="A169">
        <v>168</v>
      </c>
      <c r="B169" t="s">
        <v>243</v>
      </c>
      <c r="C169" s="1">
        <v>42255</v>
      </c>
      <c r="D169" s="1">
        <v>42259</v>
      </c>
      <c r="E169" t="s">
        <v>2118</v>
      </c>
      <c r="F169" t="s">
        <v>244</v>
      </c>
      <c r="G169" t="s">
        <v>245</v>
      </c>
      <c r="H169" t="s">
        <v>6</v>
      </c>
      <c r="I169" t="s">
        <v>2117</v>
      </c>
      <c r="J169" t="s">
        <v>2109</v>
      </c>
      <c r="K169">
        <v>1740.06</v>
      </c>
      <c r="L169">
        <f t="shared" si="4"/>
        <v>174006</v>
      </c>
      <c r="M169">
        <f t="shared" si="5"/>
        <v>34801.200000000004</v>
      </c>
    </row>
    <row r="170" spans="1:13" x14ac:dyDescent="0.3">
      <c r="A170">
        <v>169</v>
      </c>
      <c r="B170" t="s">
        <v>243</v>
      </c>
      <c r="C170" s="1">
        <v>42255</v>
      </c>
      <c r="D170" s="1">
        <v>42259</v>
      </c>
      <c r="E170" t="s">
        <v>2118</v>
      </c>
      <c r="F170" t="s">
        <v>244</v>
      </c>
      <c r="G170" t="s">
        <v>245</v>
      </c>
      <c r="H170" t="s">
        <v>6</v>
      </c>
      <c r="I170" t="s">
        <v>2117</v>
      </c>
      <c r="J170" t="s">
        <v>2110</v>
      </c>
      <c r="K170">
        <v>32.064</v>
      </c>
      <c r="L170">
        <f t="shared" si="4"/>
        <v>3206.4</v>
      </c>
      <c r="M170">
        <f t="shared" si="5"/>
        <v>641.28000000000009</v>
      </c>
    </row>
    <row r="171" spans="1:13" x14ac:dyDescent="0.3">
      <c r="A171">
        <v>170</v>
      </c>
      <c r="B171" t="s">
        <v>243</v>
      </c>
      <c r="C171" s="1">
        <v>42255</v>
      </c>
      <c r="D171" s="1">
        <v>42259</v>
      </c>
      <c r="E171" t="s">
        <v>2118</v>
      </c>
      <c r="F171" t="s">
        <v>244</v>
      </c>
      <c r="G171" t="s">
        <v>245</v>
      </c>
      <c r="H171" t="s">
        <v>6</v>
      </c>
      <c r="I171" t="s">
        <v>2117</v>
      </c>
      <c r="J171" t="s">
        <v>2110</v>
      </c>
      <c r="K171">
        <v>177.98</v>
      </c>
      <c r="L171">
        <f t="shared" si="4"/>
        <v>17798</v>
      </c>
      <c r="M171">
        <f t="shared" si="5"/>
        <v>3559.6000000000004</v>
      </c>
    </row>
    <row r="172" spans="1:13" x14ac:dyDescent="0.3">
      <c r="A172">
        <v>171</v>
      </c>
      <c r="B172" t="s">
        <v>243</v>
      </c>
      <c r="C172" s="1">
        <v>42255</v>
      </c>
      <c r="D172" s="1">
        <v>42259</v>
      </c>
      <c r="E172" t="s">
        <v>2118</v>
      </c>
      <c r="F172" t="s">
        <v>244</v>
      </c>
      <c r="G172" t="s">
        <v>245</v>
      </c>
      <c r="H172" t="s">
        <v>6</v>
      </c>
      <c r="I172" t="s">
        <v>2117</v>
      </c>
      <c r="J172" t="s">
        <v>2111</v>
      </c>
      <c r="K172">
        <v>143.976</v>
      </c>
      <c r="L172">
        <f t="shared" si="4"/>
        <v>14397.6</v>
      </c>
      <c r="M172">
        <f t="shared" si="5"/>
        <v>2879.5200000000004</v>
      </c>
    </row>
    <row r="173" spans="1:13" x14ac:dyDescent="0.3">
      <c r="A173">
        <v>172</v>
      </c>
      <c r="B173" t="s">
        <v>246</v>
      </c>
      <c r="C173" s="1">
        <v>42221</v>
      </c>
      <c r="D173" s="1">
        <v>42225</v>
      </c>
      <c r="E173" t="s">
        <v>2118</v>
      </c>
      <c r="F173" t="s">
        <v>247</v>
      </c>
      <c r="G173" t="s">
        <v>248</v>
      </c>
      <c r="H173" t="s">
        <v>6</v>
      </c>
      <c r="I173" t="s">
        <v>2112</v>
      </c>
      <c r="J173" t="s">
        <v>2110</v>
      </c>
      <c r="K173">
        <v>20.94</v>
      </c>
      <c r="L173">
        <f t="shared" si="4"/>
        <v>2094</v>
      </c>
      <c r="M173">
        <f t="shared" si="5"/>
        <v>418.8</v>
      </c>
    </row>
    <row r="174" spans="1:13" x14ac:dyDescent="0.3">
      <c r="A174">
        <v>173</v>
      </c>
      <c r="B174" t="s">
        <v>246</v>
      </c>
      <c r="C174" s="1">
        <v>42221</v>
      </c>
      <c r="D174" s="1">
        <v>42225</v>
      </c>
      <c r="E174" t="s">
        <v>2118</v>
      </c>
      <c r="F174" t="s">
        <v>247</v>
      </c>
      <c r="G174" t="s">
        <v>248</v>
      </c>
      <c r="H174" t="s">
        <v>6</v>
      </c>
      <c r="I174" t="s">
        <v>2112</v>
      </c>
      <c r="J174" t="s">
        <v>2110</v>
      </c>
      <c r="K174">
        <v>110.96</v>
      </c>
      <c r="L174">
        <f t="shared" si="4"/>
        <v>11096</v>
      </c>
      <c r="M174">
        <f t="shared" si="5"/>
        <v>2219.2000000000003</v>
      </c>
    </row>
    <row r="175" spans="1:13" x14ac:dyDescent="0.3">
      <c r="A175">
        <v>174</v>
      </c>
      <c r="B175" t="s">
        <v>246</v>
      </c>
      <c r="C175" s="1">
        <v>42221</v>
      </c>
      <c r="D175" s="1">
        <v>42225</v>
      </c>
      <c r="E175" t="s">
        <v>2118</v>
      </c>
      <c r="F175" t="s">
        <v>247</v>
      </c>
      <c r="G175" t="s">
        <v>248</v>
      </c>
      <c r="H175" t="s">
        <v>6</v>
      </c>
      <c r="I175" t="s">
        <v>2112</v>
      </c>
      <c r="J175" t="s">
        <v>2109</v>
      </c>
      <c r="K175">
        <v>340.14400000000001</v>
      </c>
      <c r="L175">
        <f t="shared" si="4"/>
        <v>34014.400000000001</v>
      </c>
      <c r="M175">
        <f t="shared" si="5"/>
        <v>6802.880000000001</v>
      </c>
    </row>
    <row r="176" spans="1:13" x14ac:dyDescent="0.3">
      <c r="A176">
        <v>175</v>
      </c>
      <c r="B176" t="s">
        <v>249</v>
      </c>
      <c r="C176" s="1">
        <v>42261</v>
      </c>
      <c r="D176" s="1">
        <v>42266</v>
      </c>
      <c r="E176" t="s">
        <v>2118</v>
      </c>
      <c r="F176" t="s">
        <v>250</v>
      </c>
      <c r="G176" t="s">
        <v>251</v>
      </c>
      <c r="H176" t="s">
        <v>10</v>
      </c>
      <c r="I176" t="s">
        <v>2117</v>
      </c>
      <c r="J176" t="s">
        <v>2110</v>
      </c>
      <c r="K176">
        <v>52.448</v>
      </c>
      <c r="L176">
        <f t="shared" si="4"/>
        <v>5244.8</v>
      </c>
      <c r="M176">
        <f t="shared" si="5"/>
        <v>1048.96</v>
      </c>
    </row>
    <row r="177" spans="1:13" x14ac:dyDescent="0.3">
      <c r="A177">
        <v>176</v>
      </c>
      <c r="B177" t="s">
        <v>249</v>
      </c>
      <c r="C177" s="1">
        <v>42261</v>
      </c>
      <c r="D177" s="1">
        <v>42266</v>
      </c>
      <c r="E177" t="s">
        <v>2118</v>
      </c>
      <c r="F177" t="s">
        <v>250</v>
      </c>
      <c r="G177" t="s">
        <v>251</v>
      </c>
      <c r="H177" t="s">
        <v>10</v>
      </c>
      <c r="I177" t="s">
        <v>2117</v>
      </c>
      <c r="J177" t="s">
        <v>2110</v>
      </c>
      <c r="K177">
        <v>20.16</v>
      </c>
      <c r="L177">
        <f t="shared" si="4"/>
        <v>2016</v>
      </c>
      <c r="M177">
        <f t="shared" si="5"/>
        <v>403.20000000000005</v>
      </c>
    </row>
    <row r="178" spans="1:13" x14ac:dyDescent="0.3">
      <c r="A178">
        <v>177</v>
      </c>
      <c r="B178" t="s">
        <v>252</v>
      </c>
      <c r="C178" s="1">
        <v>43211</v>
      </c>
      <c r="D178" s="1">
        <v>43215</v>
      </c>
      <c r="E178" t="s">
        <v>2119</v>
      </c>
      <c r="F178" t="s">
        <v>253</v>
      </c>
      <c r="G178" t="s">
        <v>254</v>
      </c>
      <c r="H178" t="s">
        <v>6</v>
      </c>
      <c r="I178" t="s">
        <v>2117</v>
      </c>
      <c r="J178" t="s">
        <v>2110</v>
      </c>
      <c r="K178">
        <v>97.263999999999996</v>
      </c>
      <c r="L178">
        <f t="shared" si="4"/>
        <v>9726.4</v>
      </c>
      <c r="M178">
        <f t="shared" si="5"/>
        <v>1945.28</v>
      </c>
    </row>
    <row r="179" spans="1:13" x14ac:dyDescent="0.3">
      <c r="A179">
        <v>178</v>
      </c>
      <c r="B179" t="s">
        <v>255</v>
      </c>
      <c r="C179" s="1">
        <v>42695</v>
      </c>
      <c r="D179" s="1">
        <v>42697</v>
      </c>
      <c r="E179" t="s">
        <v>2119</v>
      </c>
      <c r="F179" t="s">
        <v>104</v>
      </c>
      <c r="G179" t="s">
        <v>105</v>
      </c>
      <c r="H179" t="s">
        <v>6</v>
      </c>
      <c r="I179" t="s">
        <v>2114</v>
      </c>
      <c r="J179" t="s">
        <v>2109</v>
      </c>
      <c r="K179">
        <v>396.80200000000002</v>
      </c>
      <c r="L179">
        <f t="shared" si="4"/>
        <v>39680.200000000004</v>
      </c>
      <c r="M179">
        <f t="shared" si="5"/>
        <v>7936.0400000000009</v>
      </c>
    </row>
    <row r="180" spans="1:13" x14ac:dyDescent="0.3">
      <c r="A180">
        <v>179</v>
      </c>
      <c r="B180" t="s">
        <v>255</v>
      </c>
      <c r="C180" s="1">
        <v>42695</v>
      </c>
      <c r="D180" s="1">
        <v>42697</v>
      </c>
      <c r="E180" t="s">
        <v>2119</v>
      </c>
      <c r="F180" t="s">
        <v>104</v>
      </c>
      <c r="G180" t="s">
        <v>105</v>
      </c>
      <c r="H180" t="s">
        <v>6</v>
      </c>
      <c r="I180" t="s">
        <v>2114</v>
      </c>
      <c r="J180" t="s">
        <v>2110</v>
      </c>
      <c r="K180">
        <v>15.88</v>
      </c>
      <c r="L180">
        <f t="shared" si="4"/>
        <v>1588</v>
      </c>
      <c r="M180">
        <f t="shared" si="5"/>
        <v>317.60000000000002</v>
      </c>
    </row>
    <row r="181" spans="1:13" x14ac:dyDescent="0.3">
      <c r="A181">
        <v>180</v>
      </c>
      <c r="B181" t="s">
        <v>256</v>
      </c>
      <c r="C181" s="1">
        <v>42719</v>
      </c>
      <c r="D181" s="1">
        <v>42723</v>
      </c>
      <c r="E181" t="s">
        <v>2118</v>
      </c>
      <c r="F181" t="s">
        <v>257</v>
      </c>
      <c r="G181" t="s">
        <v>258</v>
      </c>
      <c r="H181" t="s">
        <v>26</v>
      </c>
      <c r="I181" t="s">
        <v>2114</v>
      </c>
      <c r="J181" t="s">
        <v>2110</v>
      </c>
      <c r="K181">
        <v>3.28</v>
      </c>
      <c r="L181">
        <f t="shared" si="4"/>
        <v>328</v>
      </c>
      <c r="M181">
        <f t="shared" si="5"/>
        <v>65.600000000000009</v>
      </c>
    </row>
    <row r="182" spans="1:13" x14ac:dyDescent="0.3">
      <c r="A182">
        <v>181</v>
      </c>
      <c r="B182" t="s">
        <v>259</v>
      </c>
      <c r="C182" s="1">
        <v>42343</v>
      </c>
      <c r="D182" s="1">
        <v>42347</v>
      </c>
      <c r="E182" t="s">
        <v>2119</v>
      </c>
      <c r="F182" t="s">
        <v>260</v>
      </c>
      <c r="G182" t="s">
        <v>261</v>
      </c>
      <c r="H182" t="s">
        <v>10</v>
      </c>
      <c r="I182" t="s">
        <v>2117</v>
      </c>
      <c r="J182" t="s">
        <v>2110</v>
      </c>
      <c r="K182">
        <v>24.815999999999999</v>
      </c>
      <c r="L182">
        <f t="shared" si="4"/>
        <v>2481.6</v>
      </c>
      <c r="M182">
        <f t="shared" si="5"/>
        <v>496.32</v>
      </c>
    </row>
    <row r="183" spans="1:13" x14ac:dyDescent="0.3">
      <c r="A183">
        <v>182</v>
      </c>
      <c r="B183" t="s">
        <v>259</v>
      </c>
      <c r="C183" s="1">
        <v>42343</v>
      </c>
      <c r="D183" s="1">
        <v>42347</v>
      </c>
      <c r="E183" t="s">
        <v>2119</v>
      </c>
      <c r="F183" t="s">
        <v>260</v>
      </c>
      <c r="G183" t="s">
        <v>261</v>
      </c>
      <c r="H183" t="s">
        <v>10</v>
      </c>
      <c r="I183" t="s">
        <v>2117</v>
      </c>
      <c r="J183" t="s">
        <v>2111</v>
      </c>
      <c r="K183">
        <v>408.74400000000003</v>
      </c>
      <c r="L183">
        <f t="shared" si="4"/>
        <v>40874.400000000001</v>
      </c>
      <c r="M183">
        <f t="shared" si="5"/>
        <v>8174.880000000001</v>
      </c>
    </row>
    <row r="184" spans="1:13" x14ac:dyDescent="0.3">
      <c r="A184">
        <v>183</v>
      </c>
      <c r="B184" t="s">
        <v>262</v>
      </c>
      <c r="C184" s="1">
        <v>42327</v>
      </c>
      <c r="D184" s="1">
        <v>42332</v>
      </c>
      <c r="E184" t="s">
        <v>2119</v>
      </c>
      <c r="F184" t="s">
        <v>263</v>
      </c>
      <c r="G184" t="s">
        <v>264</v>
      </c>
      <c r="H184" t="s">
        <v>26</v>
      </c>
      <c r="I184" t="s">
        <v>2115</v>
      </c>
      <c r="J184" t="s">
        <v>2111</v>
      </c>
      <c r="K184">
        <v>503.96</v>
      </c>
      <c r="L184">
        <f t="shared" si="4"/>
        <v>50396</v>
      </c>
      <c r="M184">
        <f t="shared" si="5"/>
        <v>10079.200000000001</v>
      </c>
    </row>
    <row r="185" spans="1:13" x14ac:dyDescent="0.3">
      <c r="A185">
        <v>184</v>
      </c>
      <c r="B185" t="s">
        <v>262</v>
      </c>
      <c r="C185" s="1">
        <v>42327</v>
      </c>
      <c r="D185" s="1">
        <v>42332</v>
      </c>
      <c r="E185" t="s">
        <v>2119</v>
      </c>
      <c r="F185" t="s">
        <v>263</v>
      </c>
      <c r="G185" t="s">
        <v>264</v>
      </c>
      <c r="H185" t="s">
        <v>26</v>
      </c>
      <c r="I185" t="s">
        <v>2115</v>
      </c>
      <c r="J185" t="s">
        <v>2111</v>
      </c>
      <c r="K185">
        <v>149.94999999999999</v>
      </c>
      <c r="L185">
        <f t="shared" si="4"/>
        <v>14994.999999999998</v>
      </c>
      <c r="M185">
        <f t="shared" si="5"/>
        <v>2999</v>
      </c>
    </row>
    <row r="186" spans="1:13" x14ac:dyDescent="0.3">
      <c r="A186">
        <v>185</v>
      </c>
      <c r="B186" t="s">
        <v>262</v>
      </c>
      <c r="C186" s="1">
        <v>42327</v>
      </c>
      <c r="D186" s="1">
        <v>42332</v>
      </c>
      <c r="E186" t="s">
        <v>2119</v>
      </c>
      <c r="F186" t="s">
        <v>263</v>
      </c>
      <c r="G186" t="s">
        <v>264</v>
      </c>
      <c r="H186" t="s">
        <v>26</v>
      </c>
      <c r="I186" t="s">
        <v>2115</v>
      </c>
      <c r="J186" t="s">
        <v>2111</v>
      </c>
      <c r="K186">
        <v>29</v>
      </c>
      <c r="L186">
        <f t="shared" si="4"/>
        <v>2900</v>
      </c>
      <c r="M186">
        <f t="shared" si="5"/>
        <v>580</v>
      </c>
    </row>
    <row r="187" spans="1:13" x14ac:dyDescent="0.3">
      <c r="A187">
        <v>186</v>
      </c>
      <c r="B187" t="s">
        <v>265</v>
      </c>
      <c r="C187" s="1">
        <v>43067</v>
      </c>
      <c r="D187" s="1">
        <v>43071</v>
      </c>
      <c r="E187" t="s">
        <v>2118</v>
      </c>
      <c r="F187" t="s">
        <v>266</v>
      </c>
      <c r="G187" t="s">
        <v>267</v>
      </c>
      <c r="H187" t="s">
        <v>6</v>
      </c>
      <c r="I187" t="s">
        <v>2114</v>
      </c>
      <c r="J187" t="s">
        <v>2110</v>
      </c>
      <c r="K187">
        <v>7.16</v>
      </c>
      <c r="L187">
        <f t="shared" si="4"/>
        <v>716</v>
      </c>
      <c r="M187">
        <f t="shared" si="5"/>
        <v>143.20000000000002</v>
      </c>
    </row>
    <row r="188" spans="1:13" x14ac:dyDescent="0.3">
      <c r="A188">
        <v>187</v>
      </c>
      <c r="B188" t="s">
        <v>268</v>
      </c>
      <c r="C188" s="1">
        <v>42242</v>
      </c>
      <c r="D188" s="1">
        <v>42246</v>
      </c>
      <c r="E188" t="s">
        <v>2118</v>
      </c>
      <c r="F188" t="s">
        <v>269</v>
      </c>
      <c r="G188" t="s">
        <v>270</v>
      </c>
      <c r="H188" t="s">
        <v>26</v>
      </c>
      <c r="I188" t="s">
        <v>2112</v>
      </c>
      <c r="J188" t="s">
        <v>2111</v>
      </c>
      <c r="K188">
        <v>176.8</v>
      </c>
      <c r="L188">
        <f t="shared" si="4"/>
        <v>17680</v>
      </c>
      <c r="M188">
        <f t="shared" si="5"/>
        <v>3536</v>
      </c>
    </row>
    <row r="189" spans="1:13" x14ac:dyDescent="0.3">
      <c r="A189">
        <v>188</v>
      </c>
      <c r="B189" t="s">
        <v>271</v>
      </c>
      <c r="C189" s="1">
        <v>42932</v>
      </c>
      <c r="D189" s="1">
        <v>42938</v>
      </c>
      <c r="E189" t="s">
        <v>2118</v>
      </c>
      <c r="F189" t="s">
        <v>272</v>
      </c>
      <c r="G189" t="s">
        <v>273</v>
      </c>
      <c r="H189" t="s">
        <v>10</v>
      </c>
      <c r="I189" t="s">
        <v>2117</v>
      </c>
      <c r="J189" t="s">
        <v>2110</v>
      </c>
      <c r="K189">
        <v>37.223999999999997</v>
      </c>
      <c r="L189">
        <f t="shared" si="4"/>
        <v>3722.3999999999996</v>
      </c>
      <c r="M189">
        <f t="shared" si="5"/>
        <v>744.48</v>
      </c>
    </row>
    <row r="190" spans="1:13" x14ac:dyDescent="0.3">
      <c r="A190">
        <v>189</v>
      </c>
      <c r="B190" t="s">
        <v>271</v>
      </c>
      <c r="C190" s="1">
        <v>42932</v>
      </c>
      <c r="D190" s="1">
        <v>42938</v>
      </c>
      <c r="E190" t="s">
        <v>2118</v>
      </c>
      <c r="F190" t="s">
        <v>272</v>
      </c>
      <c r="G190" t="s">
        <v>273</v>
      </c>
      <c r="H190" t="s">
        <v>10</v>
      </c>
      <c r="I190" t="s">
        <v>2117</v>
      </c>
      <c r="J190" t="s">
        <v>2110</v>
      </c>
      <c r="K190">
        <v>20.015999999999998</v>
      </c>
      <c r="L190">
        <f t="shared" si="4"/>
        <v>2001.6</v>
      </c>
      <c r="M190">
        <f t="shared" si="5"/>
        <v>400.32</v>
      </c>
    </row>
    <row r="191" spans="1:13" x14ac:dyDescent="0.3">
      <c r="A191">
        <v>190</v>
      </c>
      <c r="B191" t="s">
        <v>274</v>
      </c>
      <c r="C191" s="1">
        <v>42655</v>
      </c>
      <c r="D191" s="1">
        <v>42657</v>
      </c>
      <c r="E191" t="s">
        <v>2120</v>
      </c>
      <c r="F191" t="s">
        <v>275</v>
      </c>
      <c r="G191" t="s">
        <v>276</v>
      </c>
      <c r="H191" t="s">
        <v>26</v>
      </c>
      <c r="I191" t="s">
        <v>2114</v>
      </c>
      <c r="J191" t="s">
        <v>2109</v>
      </c>
      <c r="K191">
        <v>899.13599999999997</v>
      </c>
      <c r="L191">
        <f t="shared" si="4"/>
        <v>89913.599999999991</v>
      </c>
      <c r="M191">
        <f t="shared" si="5"/>
        <v>17982.719999999998</v>
      </c>
    </row>
    <row r="192" spans="1:13" x14ac:dyDescent="0.3">
      <c r="A192">
        <v>191</v>
      </c>
      <c r="B192" t="s">
        <v>274</v>
      </c>
      <c r="C192" s="1">
        <v>42655</v>
      </c>
      <c r="D192" s="1">
        <v>42657</v>
      </c>
      <c r="E192" t="s">
        <v>2120</v>
      </c>
      <c r="F192" t="s">
        <v>275</v>
      </c>
      <c r="G192" t="s">
        <v>276</v>
      </c>
      <c r="H192" t="s">
        <v>26</v>
      </c>
      <c r="I192" t="s">
        <v>2114</v>
      </c>
      <c r="J192" t="s">
        <v>2111</v>
      </c>
      <c r="K192">
        <v>71.760000000000005</v>
      </c>
      <c r="L192">
        <f t="shared" si="4"/>
        <v>7176.0000000000009</v>
      </c>
      <c r="M192">
        <f t="shared" si="5"/>
        <v>1435.2000000000003</v>
      </c>
    </row>
    <row r="193" spans="1:13" x14ac:dyDescent="0.3">
      <c r="A193">
        <v>192</v>
      </c>
      <c r="B193" t="s">
        <v>274</v>
      </c>
      <c r="C193" s="1">
        <v>42655</v>
      </c>
      <c r="D193" s="1">
        <v>42657</v>
      </c>
      <c r="E193" t="s">
        <v>2120</v>
      </c>
      <c r="F193" t="s">
        <v>275</v>
      </c>
      <c r="G193" t="s">
        <v>276</v>
      </c>
      <c r="H193" t="s">
        <v>26</v>
      </c>
      <c r="I193" t="s">
        <v>2114</v>
      </c>
      <c r="J193" t="s">
        <v>2110</v>
      </c>
      <c r="K193">
        <v>51.84</v>
      </c>
      <c r="L193">
        <f t="shared" si="4"/>
        <v>5184</v>
      </c>
      <c r="M193">
        <f t="shared" si="5"/>
        <v>1036.8</v>
      </c>
    </row>
    <row r="194" spans="1:13" x14ac:dyDescent="0.3">
      <c r="A194">
        <v>193</v>
      </c>
      <c r="B194" t="s">
        <v>274</v>
      </c>
      <c r="C194" s="1">
        <v>42655</v>
      </c>
      <c r="D194" s="1">
        <v>42657</v>
      </c>
      <c r="E194" t="s">
        <v>2120</v>
      </c>
      <c r="F194" t="s">
        <v>275</v>
      </c>
      <c r="G194" t="s">
        <v>276</v>
      </c>
      <c r="H194" t="s">
        <v>26</v>
      </c>
      <c r="I194" t="s">
        <v>2114</v>
      </c>
      <c r="J194" t="s">
        <v>2109</v>
      </c>
      <c r="K194">
        <v>626.35199999999998</v>
      </c>
      <c r="L194">
        <f t="shared" ref="L194:L257" si="6">K194*100</f>
        <v>62635.199999999997</v>
      </c>
      <c r="M194">
        <f t="shared" si="5"/>
        <v>12527.04</v>
      </c>
    </row>
    <row r="195" spans="1:13" x14ac:dyDescent="0.3">
      <c r="A195">
        <v>194</v>
      </c>
      <c r="B195" t="s">
        <v>274</v>
      </c>
      <c r="C195" s="1">
        <v>42655</v>
      </c>
      <c r="D195" s="1">
        <v>42657</v>
      </c>
      <c r="E195" t="s">
        <v>2120</v>
      </c>
      <c r="F195" t="s">
        <v>275</v>
      </c>
      <c r="G195" t="s">
        <v>276</v>
      </c>
      <c r="H195" t="s">
        <v>26</v>
      </c>
      <c r="I195" t="s">
        <v>2114</v>
      </c>
      <c r="J195" t="s">
        <v>2110</v>
      </c>
      <c r="K195">
        <v>19.899999999999999</v>
      </c>
      <c r="L195">
        <f t="shared" si="6"/>
        <v>1989.9999999999998</v>
      </c>
      <c r="M195">
        <f t="shared" ref="M195:M258" si="7">L195*0.2</f>
        <v>398</v>
      </c>
    </row>
    <row r="196" spans="1:13" x14ac:dyDescent="0.3">
      <c r="A196">
        <v>195</v>
      </c>
      <c r="B196" t="s">
        <v>277</v>
      </c>
      <c r="C196" s="1">
        <v>42674</v>
      </c>
      <c r="D196" s="1">
        <v>42680</v>
      </c>
      <c r="E196" t="s">
        <v>2118</v>
      </c>
      <c r="F196" t="s">
        <v>278</v>
      </c>
      <c r="G196" t="s">
        <v>279</v>
      </c>
      <c r="H196" t="s">
        <v>10</v>
      </c>
      <c r="I196" t="s">
        <v>2112</v>
      </c>
      <c r="J196" t="s">
        <v>2110</v>
      </c>
      <c r="K196">
        <v>14.28</v>
      </c>
      <c r="L196">
        <f t="shared" si="6"/>
        <v>1428</v>
      </c>
      <c r="M196">
        <f t="shared" si="7"/>
        <v>285.60000000000002</v>
      </c>
    </row>
    <row r="197" spans="1:13" x14ac:dyDescent="0.3">
      <c r="A197">
        <v>196</v>
      </c>
      <c r="B197" t="s">
        <v>280</v>
      </c>
      <c r="C197" s="1">
        <v>42084</v>
      </c>
      <c r="D197" s="1">
        <v>42088</v>
      </c>
      <c r="E197" t="s">
        <v>2118</v>
      </c>
      <c r="F197" t="s">
        <v>281</v>
      </c>
      <c r="G197" t="s">
        <v>282</v>
      </c>
      <c r="H197" t="s">
        <v>6</v>
      </c>
      <c r="I197" t="s">
        <v>2114</v>
      </c>
      <c r="J197" t="s">
        <v>2110</v>
      </c>
      <c r="K197">
        <v>7.4080000000000004</v>
      </c>
      <c r="L197">
        <f t="shared" si="6"/>
        <v>740.80000000000007</v>
      </c>
      <c r="M197">
        <f t="shared" si="7"/>
        <v>148.16000000000003</v>
      </c>
    </row>
    <row r="198" spans="1:13" x14ac:dyDescent="0.3">
      <c r="A198">
        <v>197</v>
      </c>
      <c r="B198" t="s">
        <v>280</v>
      </c>
      <c r="C198" s="1">
        <v>42084</v>
      </c>
      <c r="D198" s="1">
        <v>42088</v>
      </c>
      <c r="E198" t="s">
        <v>2118</v>
      </c>
      <c r="F198" t="s">
        <v>281</v>
      </c>
      <c r="G198" t="s">
        <v>282</v>
      </c>
      <c r="H198" t="s">
        <v>6</v>
      </c>
      <c r="I198" t="s">
        <v>2114</v>
      </c>
      <c r="J198" t="s">
        <v>2110</v>
      </c>
      <c r="K198">
        <v>6.048</v>
      </c>
      <c r="L198">
        <f t="shared" si="6"/>
        <v>604.79999999999995</v>
      </c>
      <c r="M198">
        <f t="shared" si="7"/>
        <v>120.96</v>
      </c>
    </row>
    <row r="199" spans="1:13" x14ac:dyDescent="0.3">
      <c r="A199">
        <v>198</v>
      </c>
      <c r="B199" t="s">
        <v>283</v>
      </c>
      <c r="C199" s="1">
        <v>43410</v>
      </c>
      <c r="D199" s="1">
        <v>43417</v>
      </c>
      <c r="E199" t="s">
        <v>2118</v>
      </c>
      <c r="F199" t="s">
        <v>284</v>
      </c>
      <c r="G199" t="s">
        <v>285</v>
      </c>
      <c r="H199" t="s">
        <v>26</v>
      </c>
      <c r="I199" t="s">
        <v>2114</v>
      </c>
      <c r="J199" t="s">
        <v>2110</v>
      </c>
      <c r="K199">
        <v>46.26</v>
      </c>
      <c r="L199">
        <f t="shared" si="6"/>
        <v>4626</v>
      </c>
      <c r="M199">
        <f t="shared" si="7"/>
        <v>925.2</v>
      </c>
    </row>
    <row r="200" spans="1:13" x14ac:dyDescent="0.3">
      <c r="A200">
        <v>199</v>
      </c>
      <c r="B200" t="s">
        <v>286</v>
      </c>
      <c r="C200" s="1">
        <v>43287</v>
      </c>
      <c r="D200" s="1">
        <v>43294</v>
      </c>
      <c r="E200" t="s">
        <v>2118</v>
      </c>
      <c r="F200" t="s">
        <v>287</v>
      </c>
      <c r="G200" t="s">
        <v>288</v>
      </c>
      <c r="H200" t="s">
        <v>10</v>
      </c>
      <c r="I200" t="s">
        <v>2114</v>
      </c>
      <c r="J200" t="s">
        <v>2110</v>
      </c>
      <c r="K200">
        <v>2.9460000000000002</v>
      </c>
      <c r="L200">
        <f t="shared" si="6"/>
        <v>294.60000000000002</v>
      </c>
      <c r="M200">
        <f t="shared" si="7"/>
        <v>58.920000000000009</v>
      </c>
    </row>
    <row r="201" spans="1:13" x14ac:dyDescent="0.3">
      <c r="A201">
        <v>200</v>
      </c>
      <c r="B201" t="s">
        <v>286</v>
      </c>
      <c r="C201" s="1">
        <v>43287</v>
      </c>
      <c r="D201" s="1">
        <v>43294</v>
      </c>
      <c r="E201" t="s">
        <v>2118</v>
      </c>
      <c r="F201" t="s">
        <v>287</v>
      </c>
      <c r="G201" t="s">
        <v>288</v>
      </c>
      <c r="H201" t="s">
        <v>10</v>
      </c>
      <c r="I201" t="s">
        <v>2114</v>
      </c>
      <c r="J201" t="s">
        <v>2110</v>
      </c>
      <c r="K201">
        <v>16.056000000000001</v>
      </c>
      <c r="L201">
        <f t="shared" si="6"/>
        <v>1605.6000000000001</v>
      </c>
      <c r="M201">
        <f t="shared" si="7"/>
        <v>321.12000000000006</v>
      </c>
    </row>
    <row r="202" spans="1:13" x14ac:dyDescent="0.3">
      <c r="A202">
        <v>201</v>
      </c>
      <c r="B202" t="s">
        <v>289</v>
      </c>
      <c r="C202" s="1">
        <v>43275</v>
      </c>
      <c r="D202" s="1">
        <v>43280</v>
      </c>
      <c r="E202" t="s">
        <v>2118</v>
      </c>
      <c r="F202" t="s">
        <v>290</v>
      </c>
      <c r="G202" t="s">
        <v>291</v>
      </c>
      <c r="H202" t="s">
        <v>6</v>
      </c>
      <c r="I202" t="s">
        <v>2114</v>
      </c>
      <c r="J202" t="s">
        <v>2110</v>
      </c>
      <c r="K202">
        <v>21.744</v>
      </c>
      <c r="L202">
        <f t="shared" si="6"/>
        <v>2174.4</v>
      </c>
      <c r="M202">
        <f t="shared" si="7"/>
        <v>434.88000000000005</v>
      </c>
    </row>
    <row r="203" spans="1:13" x14ac:dyDescent="0.3">
      <c r="A203">
        <v>202</v>
      </c>
      <c r="B203" t="s">
        <v>292</v>
      </c>
      <c r="C203" s="1">
        <v>42219</v>
      </c>
      <c r="D203" s="1">
        <v>42221</v>
      </c>
      <c r="E203" t="s">
        <v>2120</v>
      </c>
      <c r="F203" t="s">
        <v>293</v>
      </c>
      <c r="G203" t="s">
        <v>294</v>
      </c>
      <c r="H203" t="s">
        <v>6</v>
      </c>
      <c r="I203" t="s">
        <v>2112</v>
      </c>
      <c r="J203" t="s">
        <v>2109</v>
      </c>
      <c r="K203">
        <v>218.75</v>
      </c>
      <c r="L203">
        <f t="shared" si="6"/>
        <v>21875</v>
      </c>
      <c r="M203">
        <f t="shared" si="7"/>
        <v>4375</v>
      </c>
    </row>
    <row r="204" spans="1:13" x14ac:dyDescent="0.3">
      <c r="A204">
        <v>203</v>
      </c>
      <c r="B204" t="s">
        <v>292</v>
      </c>
      <c r="C204" s="1">
        <v>42219</v>
      </c>
      <c r="D204" s="1">
        <v>42221</v>
      </c>
      <c r="E204" t="s">
        <v>2120</v>
      </c>
      <c r="F204" t="s">
        <v>293</v>
      </c>
      <c r="G204" t="s">
        <v>294</v>
      </c>
      <c r="H204" t="s">
        <v>6</v>
      </c>
      <c r="I204" t="s">
        <v>2112</v>
      </c>
      <c r="J204" t="s">
        <v>2110</v>
      </c>
      <c r="K204">
        <v>2.6</v>
      </c>
      <c r="L204">
        <f t="shared" si="6"/>
        <v>260</v>
      </c>
      <c r="M204">
        <f t="shared" si="7"/>
        <v>52</v>
      </c>
    </row>
    <row r="205" spans="1:13" x14ac:dyDescent="0.3">
      <c r="A205">
        <v>204</v>
      </c>
      <c r="B205" t="s">
        <v>295</v>
      </c>
      <c r="C205" s="1">
        <v>43451</v>
      </c>
      <c r="D205" s="1">
        <v>43455</v>
      </c>
      <c r="E205" t="s">
        <v>2119</v>
      </c>
      <c r="F205" t="s">
        <v>296</v>
      </c>
      <c r="G205" t="s">
        <v>297</v>
      </c>
      <c r="H205" t="s">
        <v>6</v>
      </c>
      <c r="I205" t="s">
        <v>2117</v>
      </c>
      <c r="J205" t="s">
        <v>2110</v>
      </c>
      <c r="K205">
        <v>66.284000000000006</v>
      </c>
      <c r="L205">
        <f t="shared" si="6"/>
        <v>6628.4000000000005</v>
      </c>
      <c r="M205">
        <f t="shared" si="7"/>
        <v>1325.6800000000003</v>
      </c>
    </row>
    <row r="206" spans="1:13" x14ac:dyDescent="0.3">
      <c r="A206">
        <v>205</v>
      </c>
      <c r="B206" t="s">
        <v>298</v>
      </c>
      <c r="C206" s="1">
        <v>43254</v>
      </c>
      <c r="D206" s="1">
        <v>43258</v>
      </c>
      <c r="E206" t="s">
        <v>2118</v>
      </c>
      <c r="F206" t="s">
        <v>299</v>
      </c>
      <c r="G206" t="s">
        <v>300</v>
      </c>
      <c r="H206" t="s">
        <v>10</v>
      </c>
      <c r="I206" t="s">
        <v>2115</v>
      </c>
      <c r="J206" t="s">
        <v>2109</v>
      </c>
      <c r="K206">
        <v>35.167999999999999</v>
      </c>
      <c r="L206">
        <f t="shared" si="6"/>
        <v>3516.7999999999997</v>
      </c>
      <c r="M206">
        <f t="shared" si="7"/>
        <v>703.36</v>
      </c>
    </row>
    <row r="207" spans="1:13" x14ac:dyDescent="0.3">
      <c r="A207">
        <v>206</v>
      </c>
      <c r="B207" t="s">
        <v>301</v>
      </c>
      <c r="C207" s="1">
        <v>43443</v>
      </c>
      <c r="D207" s="1">
        <v>43448</v>
      </c>
      <c r="E207" t="s">
        <v>2118</v>
      </c>
      <c r="F207" t="s">
        <v>302</v>
      </c>
      <c r="G207" t="s">
        <v>303</v>
      </c>
      <c r="H207" t="s">
        <v>6</v>
      </c>
      <c r="I207" t="s">
        <v>2112</v>
      </c>
      <c r="J207" t="s">
        <v>2111</v>
      </c>
      <c r="K207">
        <v>444.76799999999997</v>
      </c>
      <c r="L207">
        <f t="shared" si="6"/>
        <v>44476.799999999996</v>
      </c>
      <c r="M207">
        <f t="shared" si="7"/>
        <v>8895.3599999999988</v>
      </c>
    </row>
    <row r="208" spans="1:13" x14ac:dyDescent="0.3">
      <c r="A208">
        <v>207</v>
      </c>
      <c r="B208" t="s">
        <v>304</v>
      </c>
      <c r="C208" s="1">
        <v>43435</v>
      </c>
      <c r="D208" s="1">
        <v>43441</v>
      </c>
      <c r="E208" t="s">
        <v>2118</v>
      </c>
      <c r="F208" t="s">
        <v>305</v>
      </c>
      <c r="G208" t="s">
        <v>306</v>
      </c>
      <c r="H208" t="s">
        <v>6</v>
      </c>
      <c r="I208" t="s">
        <v>2117</v>
      </c>
      <c r="J208" t="s">
        <v>2110</v>
      </c>
      <c r="K208">
        <v>83.92</v>
      </c>
      <c r="L208">
        <f t="shared" si="6"/>
        <v>8392</v>
      </c>
      <c r="M208">
        <f t="shared" si="7"/>
        <v>1678.4</v>
      </c>
    </row>
    <row r="209" spans="1:13" x14ac:dyDescent="0.3">
      <c r="A209">
        <v>208</v>
      </c>
      <c r="B209" t="s">
        <v>304</v>
      </c>
      <c r="C209" s="1">
        <v>43435</v>
      </c>
      <c r="D209" s="1">
        <v>43441</v>
      </c>
      <c r="E209" t="s">
        <v>2118</v>
      </c>
      <c r="F209" t="s">
        <v>305</v>
      </c>
      <c r="G209" t="s">
        <v>306</v>
      </c>
      <c r="H209" t="s">
        <v>6</v>
      </c>
      <c r="I209" t="s">
        <v>2117</v>
      </c>
      <c r="J209" t="s">
        <v>2111</v>
      </c>
      <c r="K209">
        <v>131.97999999999999</v>
      </c>
      <c r="L209">
        <f t="shared" si="6"/>
        <v>13197.999999999998</v>
      </c>
      <c r="M209">
        <f t="shared" si="7"/>
        <v>2639.6</v>
      </c>
    </row>
    <row r="210" spans="1:13" x14ac:dyDescent="0.3">
      <c r="A210">
        <v>209</v>
      </c>
      <c r="B210" t="s">
        <v>304</v>
      </c>
      <c r="C210" s="1">
        <v>43435</v>
      </c>
      <c r="D210" s="1">
        <v>43441</v>
      </c>
      <c r="E210" t="s">
        <v>2118</v>
      </c>
      <c r="F210" t="s">
        <v>305</v>
      </c>
      <c r="G210" t="s">
        <v>306</v>
      </c>
      <c r="H210" t="s">
        <v>6</v>
      </c>
      <c r="I210" t="s">
        <v>2117</v>
      </c>
      <c r="J210" t="s">
        <v>2110</v>
      </c>
      <c r="K210">
        <v>15.92</v>
      </c>
      <c r="L210">
        <f t="shared" si="6"/>
        <v>1592</v>
      </c>
      <c r="M210">
        <f t="shared" si="7"/>
        <v>318.40000000000003</v>
      </c>
    </row>
    <row r="211" spans="1:13" x14ac:dyDescent="0.3">
      <c r="A211">
        <v>210</v>
      </c>
      <c r="B211" t="s">
        <v>304</v>
      </c>
      <c r="C211" s="1">
        <v>43435</v>
      </c>
      <c r="D211" s="1">
        <v>43441</v>
      </c>
      <c r="E211" t="s">
        <v>2118</v>
      </c>
      <c r="F211" t="s">
        <v>305</v>
      </c>
      <c r="G211" t="s">
        <v>306</v>
      </c>
      <c r="H211" t="s">
        <v>6</v>
      </c>
      <c r="I211" t="s">
        <v>2117</v>
      </c>
      <c r="J211" t="s">
        <v>2110</v>
      </c>
      <c r="K211">
        <v>52.29</v>
      </c>
      <c r="L211">
        <f t="shared" si="6"/>
        <v>5229</v>
      </c>
      <c r="M211">
        <f t="shared" si="7"/>
        <v>1045.8</v>
      </c>
    </row>
    <row r="212" spans="1:13" x14ac:dyDescent="0.3">
      <c r="A212">
        <v>211</v>
      </c>
      <c r="B212" t="s">
        <v>304</v>
      </c>
      <c r="C212" s="1">
        <v>43435</v>
      </c>
      <c r="D212" s="1">
        <v>43441</v>
      </c>
      <c r="E212" t="s">
        <v>2118</v>
      </c>
      <c r="F212" t="s">
        <v>305</v>
      </c>
      <c r="G212" t="s">
        <v>306</v>
      </c>
      <c r="H212" t="s">
        <v>6</v>
      </c>
      <c r="I212" t="s">
        <v>2117</v>
      </c>
      <c r="J212" t="s">
        <v>2110</v>
      </c>
      <c r="K212">
        <v>91.99</v>
      </c>
      <c r="L212">
        <f t="shared" si="6"/>
        <v>9199</v>
      </c>
      <c r="M212">
        <f t="shared" si="7"/>
        <v>1839.8000000000002</v>
      </c>
    </row>
    <row r="213" spans="1:13" x14ac:dyDescent="0.3">
      <c r="A213">
        <v>212</v>
      </c>
      <c r="B213" t="s">
        <v>307</v>
      </c>
      <c r="C213" s="1">
        <v>42409</v>
      </c>
      <c r="D213" s="1">
        <v>42413</v>
      </c>
      <c r="E213" t="s">
        <v>2119</v>
      </c>
      <c r="F213" t="s">
        <v>308</v>
      </c>
      <c r="G213" t="s">
        <v>309</v>
      </c>
      <c r="H213" t="s">
        <v>10</v>
      </c>
      <c r="I213" t="s">
        <v>2117</v>
      </c>
      <c r="J213" t="s">
        <v>2111</v>
      </c>
      <c r="K213">
        <v>20.8</v>
      </c>
      <c r="L213">
        <f t="shared" si="6"/>
        <v>2080</v>
      </c>
      <c r="M213">
        <f t="shared" si="7"/>
        <v>416</v>
      </c>
    </row>
    <row r="214" spans="1:13" x14ac:dyDescent="0.3">
      <c r="A214">
        <v>213</v>
      </c>
      <c r="B214" t="s">
        <v>310</v>
      </c>
      <c r="C214" s="1">
        <v>42371</v>
      </c>
      <c r="D214" s="1">
        <v>42378</v>
      </c>
      <c r="E214" t="s">
        <v>2118</v>
      </c>
      <c r="F214" t="s">
        <v>311</v>
      </c>
      <c r="G214" t="s">
        <v>312</v>
      </c>
      <c r="H214" t="s">
        <v>10</v>
      </c>
      <c r="I214" t="s">
        <v>2114</v>
      </c>
      <c r="J214" t="s">
        <v>2110</v>
      </c>
      <c r="K214">
        <v>23.68</v>
      </c>
      <c r="L214">
        <f t="shared" si="6"/>
        <v>2368</v>
      </c>
      <c r="M214">
        <f t="shared" si="7"/>
        <v>473.6</v>
      </c>
    </row>
    <row r="215" spans="1:13" x14ac:dyDescent="0.3">
      <c r="A215">
        <v>214</v>
      </c>
      <c r="B215" t="s">
        <v>310</v>
      </c>
      <c r="C215" s="1">
        <v>42371</v>
      </c>
      <c r="D215" s="1">
        <v>42378</v>
      </c>
      <c r="E215" t="s">
        <v>2118</v>
      </c>
      <c r="F215" t="s">
        <v>311</v>
      </c>
      <c r="G215" t="s">
        <v>312</v>
      </c>
      <c r="H215" t="s">
        <v>10</v>
      </c>
      <c r="I215" t="s">
        <v>2114</v>
      </c>
      <c r="J215" t="s">
        <v>2109</v>
      </c>
      <c r="K215">
        <v>452.45</v>
      </c>
      <c r="L215">
        <f t="shared" si="6"/>
        <v>45245</v>
      </c>
      <c r="M215">
        <f t="shared" si="7"/>
        <v>9049</v>
      </c>
    </row>
    <row r="216" spans="1:13" x14ac:dyDescent="0.3">
      <c r="A216">
        <v>215</v>
      </c>
      <c r="B216" t="s">
        <v>310</v>
      </c>
      <c r="C216" s="1">
        <v>42371</v>
      </c>
      <c r="D216" s="1">
        <v>42378</v>
      </c>
      <c r="E216" t="s">
        <v>2118</v>
      </c>
      <c r="F216" t="s">
        <v>311</v>
      </c>
      <c r="G216" t="s">
        <v>312</v>
      </c>
      <c r="H216" t="s">
        <v>10</v>
      </c>
      <c r="I216" t="s">
        <v>2114</v>
      </c>
      <c r="J216" t="s">
        <v>2111</v>
      </c>
      <c r="K216">
        <v>62.981999999999999</v>
      </c>
      <c r="L216">
        <f t="shared" si="6"/>
        <v>6298.2</v>
      </c>
      <c r="M216">
        <f t="shared" si="7"/>
        <v>1259.6400000000001</v>
      </c>
    </row>
    <row r="217" spans="1:13" x14ac:dyDescent="0.3">
      <c r="A217">
        <v>216</v>
      </c>
      <c r="B217" t="s">
        <v>310</v>
      </c>
      <c r="C217" s="1">
        <v>42371</v>
      </c>
      <c r="D217" s="1">
        <v>42378</v>
      </c>
      <c r="E217" t="s">
        <v>2118</v>
      </c>
      <c r="F217" t="s">
        <v>311</v>
      </c>
      <c r="G217" t="s">
        <v>312</v>
      </c>
      <c r="H217" t="s">
        <v>10</v>
      </c>
      <c r="I217" t="s">
        <v>2114</v>
      </c>
      <c r="J217" t="s">
        <v>2111</v>
      </c>
      <c r="K217">
        <v>1188</v>
      </c>
      <c r="L217">
        <f t="shared" si="6"/>
        <v>118800</v>
      </c>
      <c r="M217">
        <f t="shared" si="7"/>
        <v>23760</v>
      </c>
    </row>
    <row r="218" spans="1:13" x14ac:dyDescent="0.3">
      <c r="A218">
        <v>217</v>
      </c>
      <c r="B218" t="s">
        <v>310</v>
      </c>
      <c r="C218" s="1">
        <v>42371</v>
      </c>
      <c r="D218" s="1">
        <v>42378</v>
      </c>
      <c r="E218" t="s">
        <v>2118</v>
      </c>
      <c r="F218" t="s">
        <v>311</v>
      </c>
      <c r="G218" t="s">
        <v>312</v>
      </c>
      <c r="H218" t="s">
        <v>10</v>
      </c>
      <c r="I218" t="s">
        <v>2114</v>
      </c>
      <c r="J218" t="s">
        <v>2111</v>
      </c>
      <c r="K218">
        <v>89.584000000000003</v>
      </c>
      <c r="L218">
        <f t="shared" si="6"/>
        <v>8958.4</v>
      </c>
      <c r="M218">
        <f t="shared" si="7"/>
        <v>1791.68</v>
      </c>
    </row>
    <row r="219" spans="1:13" x14ac:dyDescent="0.3">
      <c r="A219">
        <v>218</v>
      </c>
      <c r="B219" t="s">
        <v>313</v>
      </c>
      <c r="C219" s="1">
        <v>43036</v>
      </c>
      <c r="D219" s="1">
        <v>43040</v>
      </c>
      <c r="E219" t="s">
        <v>2118</v>
      </c>
      <c r="F219" t="s">
        <v>314</v>
      </c>
      <c r="G219" t="s">
        <v>315</v>
      </c>
      <c r="H219" t="s">
        <v>6</v>
      </c>
      <c r="I219" t="s">
        <v>2112</v>
      </c>
      <c r="J219" t="s">
        <v>2110</v>
      </c>
      <c r="K219">
        <v>93.06</v>
      </c>
      <c r="L219">
        <f t="shared" si="6"/>
        <v>9306</v>
      </c>
      <c r="M219">
        <f t="shared" si="7"/>
        <v>1861.2</v>
      </c>
    </row>
    <row r="220" spans="1:13" x14ac:dyDescent="0.3">
      <c r="A220">
        <v>219</v>
      </c>
      <c r="B220" t="s">
        <v>313</v>
      </c>
      <c r="C220" s="1">
        <v>43036</v>
      </c>
      <c r="D220" s="1">
        <v>43040</v>
      </c>
      <c r="E220" t="s">
        <v>2118</v>
      </c>
      <c r="F220" t="s">
        <v>314</v>
      </c>
      <c r="G220" t="s">
        <v>315</v>
      </c>
      <c r="H220" t="s">
        <v>6</v>
      </c>
      <c r="I220" t="s">
        <v>2112</v>
      </c>
      <c r="J220" t="s">
        <v>2111</v>
      </c>
      <c r="K220">
        <v>302.37599999999998</v>
      </c>
      <c r="L220">
        <f t="shared" si="6"/>
        <v>30237.599999999999</v>
      </c>
      <c r="M220">
        <f t="shared" si="7"/>
        <v>6047.52</v>
      </c>
    </row>
    <row r="221" spans="1:13" x14ac:dyDescent="0.3">
      <c r="A221">
        <v>220</v>
      </c>
      <c r="B221" t="s">
        <v>316</v>
      </c>
      <c r="C221" s="1">
        <v>42728</v>
      </c>
      <c r="D221" s="1">
        <v>42731</v>
      </c>
      <c r="E221" t="s">
        <v>2120</v>
      </c>
      <c r="F221" t="s">
        <v>317</v>
      </c>
      <c r="G221" t="s">
        <v>318</v>
      </c>
      <c r="H221" t="s">
        <v>6</v>
      </c>
      <c r="I221" t="s">
        <v>2114</v>
      </c>
      <c r="J221" t="s">
        <v>2110</v>
      </c>
      <c r="K221">
        <v>5.5839999999999996</v>
      </c>
      <c r="L221">
        <f t="shared" si="6"/>
        <v>558.4</v>
      </c>
      <c r="M221">
        <f t="shared" si="7"/>
        <v>111.68</v>
      </c>
    </row>
    <row r="222" spans="1:13" x14ac:dyDescent="0.3">
      <c r="A222">
        <v>221</v>
      </c>
      <c r="B222" t="s">
        <v>316</v>
      </c>
      <c r="C222" s="1">
        <v>42728</v>
      </c>
      <c r="D222" s="1">
        <v>42731</v>
      </c>
      <c r="E222" t="s">
        <v>2120</v>
      </c>
      <c r="F222" t="s">
        <v>317</v>
      </c>
      <c r="G222" t="s">
        <v>318</v>
      </c>
      <c r="H222" t="s">
        <v>6</v>
      </c>
      <c r="I222" t="s">
        <v>2114</v>
      </c>
      <c r="J222" t="s">
        <v>2110</v>
      </c>
      <c r="K222">
        <v>22.704000000000001</v>
      </c>
      <c r="L222">
        <f t="shared" si="6"/>
        <v>2270.4</v>
      </c>
      <c r="M222">
        <f t="shared" si="7"/>
        <v>454.08000000000004</v>
      </c>
    </row>
    <row r="223" spans="1:13" x14ac:dyDescent="0.3">
      <c r="A223">
        <v>222</v>
      </c>
      <c r="B223" t="s">
        <v>316</v>
      </c>
      <c r="C223" s="1">
        <v>42728</v>
      </c>
      <c r="D223" s="1">
        <v>42731</v>
      </c>
      <c r="E223" t="s">
        <v>2120</v>
      </c>
      <c r="F223" t="s">
        <v>317</v>
      </c>
      <c r="G223" t="s">
        <v>318</v>
      </c>
      <c r="H223" t="s">
        <v>6</v>
      </c>
      <c r="I223" t="s">
        <v>2114</v>
      </c>
      <c r="J223" t="s">
        <v>2110</v>
      </c>
      <c r="K223">
        <v>19.776</v>
      </c>
      <c r="L223">
        <f t="shared" si="6"/>
        <v>1977.6</v>
      </c>
      <c r="M223">
        <f t="shared" si="7"/>
        <v>395.52</v>
      </c>
    </row>
    <row r="224" spans="1:13" x14ac:dyDescent="0.3">
      <c r="A224">
        <v>223</v>
      </c>
      <c r="B224" t="s">
        <v>316</v>
      </c>
      <c r="C224" s="1">
        <v>42728</v>
      </c>
      <c r="D224" s="1">
        <v>42731</v>
      </c>
      <c r="E224" t="s">
        <v>2120</v>
      </c>
      <c r="F224" t="s">
        <v>317</v>
      </c>
      <c r="G224" t="s">
        <v>318</v>
      </c>
      <c r="H224" t="s">
        <v>6</v>
      </c>
      <c r="I224" t="s">
        <v>2114</v>
      </c>
      <c r="J224" t="s">
        <v>2109</v>
      </c>
      <c r="K224">
        <v>72.703999999999994</v>
      </c>
      <c r="L224">
        <f t="shared" si="6"/>
        <v>7270.4</v>
      </c>
      <c r="M224">
        <f t="shared" si="7"/>
        <v>1454.08</v>
      </c>
    </row>
    <row r="225" spans="1:13" x14ac:dyDescent="0.3">
      <c r="A225">
        <v>224</v>
      </c>
      <c r="B225" t="s">
        <v>316</v>
      </c>
      <c r="C225" s="1">
        <v>42728</v>
      </c>
      <c r="D225" s="1">
        <v>42731</v>
      </c>
      <c r="E225" t="s">
        <v>2120</v>
      </c>
      <c r="F225" t="s">
        <v>317</v>
      </c>
      <c r="G225" t="s">
        <v>318</v>
      </c>
      <c r="H225" t="s">
        <v>6</v>
      </c>
      <c r="I225" t="s">
        <v>2114</v>
      </c>
      <c r="J225" t="s">
        <v>2111</v>
      </c>
      <c r="K225">
        <v>479.988</v>
      </c>
      <c r="L225">
        <f t="shared" si="6"/>
        <v>47998.8</v>
      </c>
      <c r="M225">
        <f t="shared" si="7"/>
        <v>9599.76</v>
      </c>
    </row>
    <row r="226" spans="1:13" x14ac:dyDescent="0.3">
      <c r="A226">
        <v>225</v>
      </c>
      <c r="B226" t="s">
        <v>316</v>
      </c>
      <c r="C226" s="1">
        <v>42728</v>
      </c>
      <c r="D226" s="1">
        <v>42731</v>
      </c>
      <c r="E226" t="s">
        <v>2120</v>
      </c>
      <c r="F226" t="s">
        <v>317</v>
      </c>
      <c r="G226" t="s">
        <v>318</v>
      </c>
      <c r="H226" t="s">
        <v>6</v>
      </c>
      <c r="I226" t="s">
        <v>2114</v>
      </c>
      <c r="J226" t="s">
        <v>2110</v>
      </c>
      <c r="K226">
        <v>27.167999999999999</v>
      </c>
      <c r="L226">
        <f t="shared" si="6"/>
        <v>2716.7999999999997</v>
      </c>
      <c r="M226">
        <f t="shared" si="7"/>
        <v>543.36</v>
      </c>
    </row>
    <row r="227" spans="1:13" x14ac:dyDescent="0.3">
      <c r="A227">
        <v>226</v>
      </c>
      <c r="B227" t="s">
        <v>319</v>
      </c>
      <c r="C227" s="1">
        <v>42591</v>
      </c>
      <c r="D227" s="1">
        <v>42598</v>
      </c>
      <c r="E227" t="s">
        <v>2118</v>
      </c>
      <c r="F227" t="s">
        <v>320</v>
      </c>
      <c r="G227" t="s">
        <v>321</v>
      </c>
      <c r="H227" t="s">
        <v>10</v>
      </c>
      <c r="I227" t="s">
        <v>2117</v>
      </c>
      <c r="J227" t="s">
        <v>2110</v>
      </c>
      <c r="K227">
        <v>2.2000000000000002</v>
      </c>
      <c r="L227">
        <f t="shared" si="6"/>
        <v>220.00000000000003</v>
      </c>
      <c r="M227">
        <f t="shared" si="7"/>
        <v>44.000000000000007</v>
      </c>
    </row>
    <row r="228" spans="1:13" x14ac:dyDescent="0.3">
      <c r="A228">
        <v>227</v>
      </c>
      <c r="B228" t="s">
        <v>319</v>
      </c>
      <c r="C228" s="1">
        <v>42591</v>
      </c>
      <c r="D228" s="1">
        <v>42598</v>
      </c>
      <c r="E228" t="s">
        <v>2118</v>
      </c>
      <c r="F228" t="s">
        <v>320</v>
      </c>
      <c r="G228" t="s">
        <v>321</v>
      </c>
      <c r="H228" t="s">
        <v>10</v>
      </c>
      <c r="I228" t="s">
        <v>2117</v>
      </c>
      <c r="J228" t="s">
        <v>2109</v>
      </c>
      <c r="K228">
        <v>622.45000000000005</v>
      </c>
      <c r="L228">
        <f t="shared" si="6"/>
        <v>62245.000000000007</v>
      </c>
      <c r="M228">
        <f t="shared" si="7"/>
        <v>12449.000000000002</v>
      </c>
    </row>
    <row r="229" spans="1:13" x14ac:dyDescent="0.3">
      <c r="A229">
        <v>228</v>
      </c>
      <c r="B229" t="s">
        <v>319</v>
      </c>
      <c r="C229" s="1">
        <v>42591</v>
      </c>
      <c r="D229" s="1">
        <v>42598</v>
      </c>
      <c r="E229" t="s">
        <v>2118</v>
      </c>
      <c r="F229" t="s">
        <v>320</v>
      </c>
      <c r="G229" t="s">
        <v>321</v>
      </c>
      <c r="H229" t="s">
        <v>10</v>
      </c>
      <c r="I229" t="s">
        <v>2117</v>
      </c>
      <c r="J229" t="s">
        <v>2110</v>
      </c>
      <c r="K229">
        <v>21.98</v>
      </c>
      <c r="L229">
        <f t="shared" si="6"/>
        <v>2198</v>
      </c>
      <c r="M229">
        <f t="shared" si="7"/>
        <v>439.6</v>
      </c>
    </row>
    <row r="230" spans="1:13" x14ac:dyDescent="0.3">
      <c r="A230">
        <v>229</v>
      </c>
      <c r="B230" t="s">
        <v>322</v>
      </c>
      <c r="C230" s="1">
        <v>42428</v>
      </c>
      <c r="D230" s="1">
        <v>42433</v>
      </c>
      <c r="E230" t="s">
        <v>2118</v>
      </c>
      <c r="F230" t="s">
        <v>323</v>
      </c>
      <c r="G230" t="s">
        <v>324</v>
      </c>
      <c r="H230" t="s">
        <v>6</v>
      </c>
      <c r="I230" t="s">
        <v>2115</v>
      </c>
      <c r="J230" t="s">
        <v>2109</v>
      </c>
      <c r="K230">
        <v>161.56800000000001</v>
      </c>
      <c r="L230">
        <f t="shared" si="6"/>
        <v>16156.800000000001</v>
      </c>
      <c r="M230">
        <f t="shared" si="7"/>
        <v>3231.3600000000006</v>
      </c>
    </row>
    <row r="231" spans="1:13" x14ac:dyDescent="0.3">
      <c r="A231">
        <v>230</v>
      </c>
      <c r="B231" t="s">
        <v>322</v>
      </c>
      <c r="C231" s="1">
        <v>42428</v>
      </c>
      <c r="D231" s="1">
        <v>42433</v>
      </c>
      <c r="E231" t="s">
        <v>2118</v>
      </c>
      <c r="F231" t="s">
        <v>323</v>
      </c>
      <c r="G231" t="s">
        <v>324</v>
      </c>
      <c r="H231" t="s">
        <v>6</v>
      </c>
      <c r="I231" t="s">
        <v>2115</v>
      </c>
      <c r="J231" t="s">
        <v>2109</v>
      </c>
      <c r="K231">
        <v>389.69600000000003</v>
      </c>
      <c r="L231">
        <f t="shared" si="6"/>
        <v>38969.600000000006</v>
      </c>
      <c r="M231">
        <f t="shared" si="7"/>
        <v>7793.9200000000019</v>
      </c>
    </row>
    <row r="232" spans="1:13" x14ac:dyDescent="0.3">
      <c r="A232">
        <v>231</v>
      </c>
      <c r="B232" t="s">
        <v>325</v>
      </c>
      <c r="C232" s="1">
        <v>42260</v>
      </c>
      <c r="D232" s="1">
        <v>42264</v>
      </c>
      <c r="E232" t="s">
        <v>2118</v>
      </c>
      <c r="F232" t="s">
        <v>326</v>
      </c>
      <c r="G232" t="s">
        <v>327</v>
      </c>
      <c r="H232" t="s">
        <v>10</v>
      </c>
      <c r="I232" t="s">
        <v>2115</v>
      </c>
      <c r="J232" t="s">
        <v>2110</v>
      </c>
      <c r="K232">
        <v>18.648</v>
      </c>
      <c r="L232">
        <f t="shared" si="6"/>
        <v>1864.8</v>
      </c>
      <c r="M232">
        <f t="shared" si="7"/>
        <v>372.96000000000004</v>
      </c>
    </row>
    <row r="233" spans="1:13" x14ac:dyDescent="0.3">
      <c r="A233">
        <v>232</v>
      </c>
      <c r="B233" t="s">
        <v>328</v>
      </c>
      <c r="C233" s="1">
        <v>43197</v>
      </c>
      <c r="D233" s="1">
        <v>43202</v>
      </c>
      <c r="E233" t="s">
        <v>2118</v>
      </c>
      <c r="F233" t="s">
        <v>120</v>
      </c>
      <c r="G233" t="s">
        <v>121</v>
      </c>
      <c r="H233" t="s">
        <v>26</v>
      </c>
      <c r="I233" t="s">
        <v>2115</v>
      </c>
      <c r="J233" t="s">
        <v>2109</v>
      </c>
      <c r="K233">
        <v>233.86</v>
      </c>
      <c r="L233">
        <f t="shared" si="6"/>
        <v>23386</v>
      </c>
      <c r="M233">
        <f t="shared" si="7"/>
        <v>4677.2</v>
      </c>
    </row>
    <row r="234" spans="1:13" x14ac:dyDescent="0.3">
      <c r="A234">
        <v>233</v>
      </c>
      <c r="B234" t="s">
        <v>328</v>
      </c>
      <c r="C234" s="1">
        <v>43197</v>
      </c>
      <c r="D234" s="1">
        <v>43202</v>
      </c>
      <c r="E234" t="s">
        <v>2118</v>
      </c>
      <c r="F234" t="s">
        <v>120</v>
      </c>
      <c r="G234" t="s">
        <v>121</v>
      </c>
      <c r="H234" t="s">
        <v>26</v>
      </c>
      <c r="I234" t="s">
        <v>2115</v>
      </c>
      <c r="J234" t="s">
        <v>2109</v>
      </c>
      <c r="K234">
        <v>620.61450000000002</v>
      </c>
      <c r="L234">
        <f t="shared" si="6"/>
        <v>62061.450000000004</v>
      </c>
      <c r="M234">
        <f t="shared" si="7"/>
        <v>12412.29</v>
      </c>
    </row>
    <row r="235" spans="1:13" x14ac:dyDescent="0.3">
      <c r="A235">
        <v>234</v>
      </c>
      <c r="B235" t="s">
        <v>328</v>
      </c>
      <c r="C235" s="1">
        <v>43197</v>
      </c>
      <c r="D235" s="1">
        <v>43202</v>
      </c>
      <c r="E235" t="s">
        <v>2118</v>
      </c>
      <c r="F235" t="s">
        <v>120</v>
      </c>
      <c r="G235" t="s">
        <v>121</v>
      </c>
      <c r="H235" t="s">
        <v>26</v>
      </c>
      <c r="I235" t="s">
        <v>2115</v>
      </c>
      <c r="J235" t="s">
        <v>2110</v>
      </c>
      <c r="K235">
        <v>5.3280000000000003</v>
      </c>
      <c r="L235">
        <f t="shared" si="6"/>
        <v>532.80000000000007</v>
      </c>
      <c r="M235">
        <f t="shared" si="7"/>
        <v>106.56000000000002</v>
      </c>
    </row>
    <row r="236" spans="1:13" x14ac:dyDescent="0.3">
      <c r="A236">
        <v>235</v>
      </c>
      <c r="B236" t="s">
        <v>328</v>
      </c>
      <c r="C236" s="1">
        <v>43197</v>
      </c>
      <c r="D236" s="1">
        <v>43202</v>
      </c>
      <c r="E236" t="s">
        <v>2118</v>
      </c>
      <c r="F236" t="s">
        <v>120</v>
      </c>
      <c r="G236" t="s">
        <v>121</v>
      </c>
      <c r="H236" t="s">
        <v>26</v>
      </c>
      <c r="I236" t="s">
        <v>2115</v>
      </c>
      <c r="J236" t="s">
        <v>2109</v>
      </c>
      <c r="K236">
        <v>258.072</v>
      </c>
      <c r="L236">
        <f t="shared" si="6"/>
        <v>25807.200000000001</v>
      </c>
      <c r="M236">
        <f t="shared" si="7"/>
        <v>5161.4400000000005</v>
      </c>
    </row>
    <row r="237" spans="1:13" x14ac:dyDescent="0.3">
      <c r="A237">
        <v>236</v>
      </c>
      <c r="B237" t="s">
        <v>328</v>
      </c>
      <c r="C237" s="1">
        <v>43197</v>
      </c>
      <c r="D237" s="1">
        <v>43202</v>
      </c>
      <c r="E237" t="s">
        <v>2118</v>
      </c>
      <c r="F237" t="s">
        <v>120</v>
      </c>
      <c r="G237" t="s">
        <v>121</v>
      </c>
      <c r="H237" t="s">
        <v>26</v>
      </c>
      <c r="I237" t="s">
        <v>2115</v>
      </c>
      <c r="J237" t="s">
        <v>2111</v>
      </c>
      <c r="K237">
        <v>617.976</v>
      </c>
      <c r="L237">
        <f t="shared" si="6"/>
        <v>61797.599999999999</v>
      </c>
      <c r="M237">
        <f t="shared" si="7"/>
        <v>12359.52</v>
      </c>
    </row>
    <row r="238" spans="1:13" x14ac:dyDescent="0.3">
      <c r="A238">
        <v>237</v>
      </c>
      <c r="B238" t="s">
        <v>329</v>
      </c>
      <c r="C238" s="1">
        <v>43416</v>
      </c>
      <c r="D238" s="1">
        <v>43420</v>
      </c>
      <c r="E238" t="s">
        <v>2118</v>
      </c>
      <c r="F238" t="s">
        <v>330</v>
      </c>
      <c r="G238" t="s">
        <v>331</v>
      </c>
      <c r="H238" t="s">
        <v>10</v>
      </c>
      <c r="I238" t="s">
        <v>2112</v>
      </c>
      <c r="J238" t="s">
        <v>2110</v>
      </c>
      <c r="K238">
        <v>10.56</v>
      </c>
      <c r="L238">
        <f t="shared" si="6"/>
        <v>1056</v>
      </c>
      <c r="M238">
        <f t="shared" si="7"/>
        <v>211.20000000000002</v>
      </c>
    </row>
    <row r="239" spans="1:13" x14ac:dyDescent="0.3">
      <c r="A239">
        <v>238</v>
      </c>
      <c r="B239" t="s">
        <v>332</v>
      </c>
      <c r="C239" s="1">
        <v>42890</v>
      </c>
      <c r="D239" s="1">
        <v>42895</v>
      </c>
      <c r="E239" t="s">
        <v>2119</v>
      </c>
      <c r="F239" t="s">
        <v>333</v>
      </c>
      <c r="G239" t="s">
        <v>334</v>
      </c>
      <c r="H239" t="s">
        <v>6</v>
      </c>
      <c r="I239" t="s">
        <v>2117</v>
      </c>
      <c r="J239" t="s">
        <v>2110</v>
      </c>
      <c r="K239">
        <v>25.92</v>
      </c>
      <c r="L239">
        <f t="shared" si="6"/>
        <v>2592</v>
      </c>
      <c r="M239">
        <f t="shared" si="7"/>
        <v>518.4</v>
      </c>
    </row>
    <row r="240" spans="1:13" x14ac:dyDescent="0.3">
      <c r="A240">
        <v>239</v>
      </c>
      <c r="B240" t="s">
        <v>332</v>
      </c>
      <c r="C240" s="1">
        <v>42890</v>
      </c>
      <c r="D240" s="1">
        <v>42895</v>
      </c>
      <c r="E240" t="s">
        <v>2119</v>
      </c>
      <c r="F240" t="s">
        <v>333</v>
      </c>
      <c r="G240" t="s">
        <v>334</v>
      </c>
      <c r="H240" t="s">
        <v>6</v>
      </c>
      <c r="I240" t="s">
        <v>2117</v>
      </c>
      <c r="J240" t="s">
        <v>2109</v>
      </c>
      <c r="K240">
        <v>419.68</v>
      </c>
      <c r="L240">
        <f t="shared" si="6"/>
        <v>41968</v>
      </c>
      <c r="M240">
        <f t="shared" si="7"/>
        <v>8393.6</v>
      </c>
    </row>
    <row r="241" spans="1:13" x14ac:dyDescent="0.3">
      <c r="A241">
        <v>240</v>
      </c>
      <c r="B241" t="s">
        <v>332</v>
      </c>
      <c r="C241" s="1">
        <v>42890</v>
      </c>
      <c r="D241" s="1">
        <v>42895</v>
      </c>
      <c r="E241" t="s">
        <v>2119</v>
      </c>
      <c r="F241" t="s">
        <v>333</v>
      </c>
      <c r="G241" t="s">
        <v>334</v>
      </c>
      <c r="H241" t="s">
        <v>6</v>
      </c>
      <c r="I241" t="s">
        <v>2117</v>
      </c>
      <c r="J241" t="s">
        <v>2109</v>
      </c>
      <c r="K241">
        <v>11.688000000000001</v>
      </c>
      <c r="L241">
        <f t="shared" si="6"/>
        <v>1168.8</v>
      </c>
      <c r="M241">
        <f t="shared" si="7"/>
        <v>233.76</v>
      </c>
    </row>
    <row r="242" spans="1:13" x14ac:dyDescent="0.3">
      <c r="A242">
        <v>241</v>
      </c>
      <c r="B242" t="s">
        <v>332</v>
      </c>
      <c r="C242" s="1">
        <v>42890</v>
      </c>
      <c r="D242" s="1">
        <v>42895</v>
      </c>
      <c r="E242" t="s">
        <v>2119</v>
      </c>
      <c r="F242" t="s">
        <v>333</v>
      </c>
      <c r="G242" t="s">
        <v>334</v>
      </c>
      <c r="H242" t="s">
        <v>6</v>
      </c>
      <c r="I242" t="s">
        <v>2117</v>
      </c>
      <c r="J242" t="s">
        <v>2111</v>
      </c>
      <c r="K242">
        <v>31.984000000000002</v>
      </c>
      <c r="L242">
        <f t="shared" si="6"/>
        <v>3198.4</v>
      </c>
      <c r="M242">
        <f t="shared" si="7"/>
        <v>639.68000000000006</v>
      </c>
    </row>
    <row r="243" spans="1:13" x14ac:dyDescent="0.3">
      <c r="A243">
        <v>242</v>
      </c>
      <c r="B243" t="s">
        <v>332</v>
      </c>
      <c r="C243" s="1">
        <v>42890</v>
      </c>
      <c r="D243" s="1">
        <v>42895</v>
      </c>
      <c r="E243" t="s">
        <v>2119</v>
      </c>
      <c r="F243" t="s">
        <v>333</v>
      </c>
      <c r="G243" t="s">
        <v>334</v>
      </c>
      <c r="H243" t="s">
        <v>6</v>
      </c>
      <c r="I243" t="s">
        <v>2117</v>
      </c>
      <c r="J243" t="s">
        <v>2109</v>
      </c>
      <c r="K243">
        <v>177.22499999999999</v>
      </c>
      <c r="L243">
        <f t="shared" si="6"/>
        <v>17722.5</v>
      </c>
      <c r="M243">
        <f t="shared" si="7"/>
        <v>3544.5</v>
      </c>
    </row>
    <row r="244" spans="1:13" x14ac:dyDescent="0.3">
      <c r="A244">
        <v>243</v>
      </c>
      <c r="B244" t="s">
        <v>332</v>
      </c>
      <c r="C244" s="1">
        <v>42890</v>
      </c>
      <c r="D244" s="1">
        <v>42895</v>
      </c>
      <c r="E244" t="s">
        <v>2119</v>
      </c>
      <c r="F244" t="s">
        <v>333</v>
      </c>
      <c r="G244" t="s">
        <v>334</v>
      </c>
      <c r="H244" t="s">
        <v>6</v>
      </c>
      <c r="I244" t="s">
        <v>2117</v>
      </c>
      <c r="J244" t="s">
        <v>2109</v>
      </c>
      <c r="K244">
        <v>4.0439999999999996</v>
      </c>
      <c r="L244">
        <f t="shared" si="6"/>
        <v>404.4</v>
      </c>
      <c r="M244">
        <f t="shared" si="7"/>
        <v>80.88</v>
      </c>
    </row>
    <row r="245" spans="1:13" x14ac:dyDescent="0.3">
      <c r="A245">
        <v>244</v>
      </c>
      <c r="B245" t="s">
        <v>332</v>
      </c>
      <c r="C245" s="1">
        <v>42890</v>
      </c>
      <c r="D245" s="1">
        <v>42895</v>
      </c>
      <c r="E245" t="s">
        <v>2119</v>
      </c>
      <c r="F245" t="s">
        <v>333</v>
      </c>
      <c r="G245" t="s">
        <v>334</v>
      </c>
      <c r="H245" t="s">
        <v>6</v>
      </c>
      <c r="I245" t="s">
        <v>2117</v>
      </c>
      <c r="J245" t="s">
        <v>2110</v>
      </c>
      <c r="K245">
        <v>7.4080000000000004</v>
      </c>
      <c r="L245">
        <f t="shared" si="6"/>
        <v>740.80000000000007</v>
      </c>
      <c r="M245">
        <f t="shared" si="7"/>
        <v>148.16000000000003</v>
      </c>
    </row>
    <row r="246" spans="1:13" x14ac:dyDescent="0.3">
      <c r="A246">
        <v>245</v>
      </c>
      <c r="B246" t="s">
        <v>335</v>
      </c>
      <c r="C246" s="1">
        <v>42156</v>
      </c>
      <c r="D246" s="1">
        <v>42161</v>
      </c>
      <c r="E246" t="s">
        <v>2119</v>
      </c>
      <c r="F246" t="s">
        <v>336</v>
      </c>
      <c r="G246" t="s">
        <v>337</v>
      </c>
      <c r="H246" t="s">
        <v>26</v>
      </c>
      <c r="I246" t="s">
        <v>2117</v>
      </c>
      <c r="J246" t="s">
        <v>2109</v>
      </c>
      <c r="K246">
        <v>2001.86</v>
      </c>
      <c r="L246">
        <f t="shared" si="6"/>
        <v>200186</v>
      </c>
      <c r="M246">
        <f t="shared" si="7"/>
        <v>40037.200000000004</v>
      </c>
    </row>
    <row r="247" spans="1:13" x14ac:dyDescent="0.3">
      <c r="A247">
        <v>246</v>
      </c>
      <c r="B247" t="s">
        <v>335</v>
      </c>
      <c r="C247" s="1">
        <v>42156</v>
      </c>
      <c r="D247" s="1">
        <v>42161</v>
      </c>
      <c r="E247" t="s">
        <v>2119</v>
      </c>
      <c r="F247" t="s">
        <v>336</v>
      </c>
      <c r="G247" t="s">
        <v>337</v>
      </c>
      <c r="H247" t="s">
        <v>26</v>
      </c>
      <c r="I247" t="s">
        <v>2117</v>
      </c>
      <c r="J247" t="s">
        <v>2110</v>
      </c>
      <c r="K247">
        <v>166.72</v>
      </c>
      <c r="L247">
        <f t="shared" si="6"/>
        <v>16672</v>
      </c>
      <c r="M247">
        <f t="shared" si="7"/>
        <v>3334.4</v>
      </c>
    </row>
    <row r="248" spans="1:13" x14ac:dyDescent="0.3">
      <c r="A248">
        <v>247</v>
      </c>
      <c r="B248" t="s">
        <v>335</v>
      </c>
      <c r="C248" s="1">
        <v>42156</v>
      </c>
      <c r="D248" s="1">
        <v>42161</v>
      </c>
      <c r="E248" t="s">
        <v>2119</v>
      </c>
      <c r="F248" t="s">
        <v>336</v>
      </c>
      <c r="G248" t="s">
        <v>337</v>
      </c>
      <c r="H248" t="s">
        <v>26</v>
      </c>
      <c r="I248" t="s">
        <v>2117</v>
      </c>
      <c r="J248" t="s">
        <v>2110</v>
      </c>
      <c r="K248">
        <v>47.88</v>
      </c>
      <c r="L248">
        <f t="shared" si="6"/>
        <v>4788</v>
      </c>
      <c r="M248">
        <f t="shared" si="7"/>
        <v>957.6</v>
      </c>
    </row>
    <row r="249" spans="1:13" x14ac:dyDescent="0.3">
      <c r="A249">
        <v>248</v>
      </c>
      <c r="B249" t="s">
        <v>335</v>
      </c>
      <c r="C249" s="1">
        <v>42156</v>
      </c>
      <c r="D249" s="1">
        <v>42161</v>
      </c>
      <c r="E249" t="s">
        <v>2119</v>
      </c>
      <c r="F249" t="s">
        <v>336</v>
      </c>
      <c r="G249" t="s">
        <v>337</v>
      </c>
      <c r="H249" t="s">
        <v>26</v>
      </c>
      <c r="I249" t="s">
        <v>2117</v>
      </c>
      <c r="J249" t="s">
        <v>2110</v>
      </c>
      <c r="K249">
        <v>1503.25</v>
      </c>
      <c r="L249">
        <f t="shared" si="6"/>
        <v>150325</v>
      </c>
      <c r="M249">
        <f t="shared" si="7"/>
        <v>30065</v>
      </c>
    </row>
    <row r="250" spans="1:13" x14ac:dyDescent="0.3">
      <c r="A250">
        <v>249</v>
      </c>
      <c r="B250" t="s">
        <v>335</v>
      </c>
      <c r="C250" s="1">
        <v>42156</v>
      </c>
      <c r="D250" s="1">
        <v>42161</v>
      </c>
      <c r="E250" t="s">
        <v>2119</v>
      </c>
      <c r="F250" t="s">
        <v>336</v>
      </c>
      <c r="G250" t="s">
        <v>337</v>
      </c>
      <c r="H250" t="s">
        <v>26</v>
      </c>
      <c r="I250" t="s">
        <v>2117</v>
      </c>
      <c r="J250" t="s">
        <v>2110</v>
      </c>
      <c r="K250">
        <v>25.92</v>
      </c>
      <c r="L250">
        <f t="shared" si="6"/>
        <v>2592</v>
      </c>
      <c r="M250">
        <f t="shared" si="7"/>
        <v>518.4</v>
      </c>
    </row>
    <row r="251" spans="1:13" x14ac:dyDescent="0.3">
      <c r="A251">
        <v>250</v>
      </c>
      <c r="B251" t="s">
        <v>338</v>
      </c>
      <c r="C251" s="1">
        <v>43079</v>
      </c>
      <c r="D251" s="1">
        <v>43084</v>
      </c>
      <c r="E251" t="s">
        <v>2119</v>
      </c>
      <c r="F251" t="s">
        <v>339</v>
      </c>
      <c r="G251" t="s">
        <v>340</v>
      </c>
      <c r="H251" t="s">
        <v>6</v>
      </c>
      <c r="I251" t="s">
        <v>2112</v>
      </c>
      <c r="J251" t="s">
        <v>2109</v>
      </c>
      <c r="K251">
        <v>321.56799999999998</v>
      </c>
      <c r="L251">
        <f t="shared" si="6"/>
        <v>32156.799999999999</v>
      </c>
      <c r="M251">
        <f t="shared" si="7"/>
        <v>6431.3600000000006</v>
      </c>
    </row>
    <row r="252" spans="1:13" x14ac:dyDescent="0.3">
      <c r="A252">
        <v>251</v>
      </c>
      <c r="B252" t="s">
        <v>341</v>
      </c>
      <c r="C252" s="1">
        <v>42989</v>
      </c>
      <c r="D252" s="1">
        <v>42995</v>
      </c>
      <c r="E252" t="s">
        <v>2118</v>
      </c>
      <c r="F252" t="s">
        <v>342</v>
      </c>
      <c r="G252" t="s">
        <v>343</v>
      </c>
      <c r="H252" t="s">
        <v>6</v>
      </c>
      <c r="I252" t="s">
        <v>2112</v>
      </c>
      <c r="J252" t="s">
        <v>2110</v>
      </c>
      <c r="K252">
        <v>7.61</v>
      </c>
      <c r="L252">
        <f t="shared" si="6"/>
        <v>761</v>
      </c>
      <c r="M252">
        <f t="shared" si="7"/>
        <v>152.20000000000002</v>
      </c>
    </row>
    <row r="253" spans="1:13" x14ac:dyDescent="0.3">
      <c r="A253">
        <v>252</v>
      </c>
      <c r="B253" t="s">
        <v>341</v>
      </c>
      <c r="C253" s="1">
        <v>42989</v>
      </c>
      <c r="D253" s="1">
        <v>42995</v>
      </c>
      <c r="E253" t="s">
        <v>2118</v>
      </c>
      <c r="F253" t="s">
        <v>342</v>
      </c>
      <c r="G253" t="s">
        <v>343</v>
      </c>
      <c r="H253" t="s">
        <v>6</v>
      </c>
      <c r="I253" t="s">
        <v>2112</v>
      </c>
      <c r="J253" t="s">
        <v>2111</v>
      </c>
      <c r="K253">
        <v>3347.37</v>
      </c>
      <c r="L253">
        <f t="shared" si="6"/>
        <v>334737</v>
      </c>
      <c r="M253">
        <f t="shared" si="7"/>
        <v>66947.400000000009</v>
      </c>
    </row>
    <row r="254" spans="1:13" x14ac:dyDescent="0.3">
      <c r="A254">
        <v>253</v>
      </c>
      <c r="B254" t="s">
        <v>344</v>
      </c>
      <c r="C254" s="1">
        <v>43079</v>
      </c>
      <c r="D254" s="1">
        <v>43082</v>
      </c>
      <c r="E254" t="s">
        <v>2120</v>
      </c>
      <c r="F254" t="s">
        <v>345</v>
      </c>
      <c r="G254" t="s">
        <v>346</v>
      </c>
      <c r="H254" t="s">
        <v>6</v>
      </c>
      <c r="I254" t="s">
        <v>2114</v>
      </c>
      <c r="J254" t="s">
        <v>2110</v>
      </c>
      <c r="K254">
        <v>80.58</v>
      </c>
      <c r="L254">
        <f t="shared" si="6"/>
        <v>8058</v>
      </c>
      <c r="M254">
        <f t="shared" si="7"/>
        <v>1611.6000000000001</v>
      </c>
    </row>
    <row r="255" spans="1:13" x14ac:dyDescent="0.3">
      <c r="A255">
        <v>254</v>
      </c>
      <c r="B255" t="s">
        <v>344</v>
      </c>
      <c r="C255" s="1">
        <v>43079</v>
      </c>
      <c r="D255" s="1">
        <v>43082</v>
      </c>
      <c r="E255" t="s">
        <v>2120</v>
      </c>
      <c r="F255" t="s">
        <v>345</v>
      </c>
      <c r="G255" t="s">
        <v>346</v>
      </c>
      <c r="H255" t="s">
        <v>6</v>
      </c>
      <c r="I255" t="s">
        <v>2114</v>
      </c>
      <c r="J255" t="s">
        <v>2110</v>
      </c>
      <c r="K255">
        <v>361.92</v>
      </c>
      <c r="L255">
        <f t="shared" si="6"/>
        <v>36192</v>
      </c>
      <c r="M255">
        <f t="shared" si="7"/>
        <v>7238.4000000000005</v>
      </c>
    </row>
    <row r="256" spans="1:13" x14ac:dyDescent="0.3">
      <c r="A256">
        <v>255</v>
      </c>
      <c r="B256" t="s">
        <v>347</v>
      </c>
      <c r="C256" s="1">
        <v>42702</v>
      </c>
      <c r="D256" s="1">
        <v>42708</v>
      </c>
      <c r="E256" t="s">
        <v>2118</v>
      </c>
      <c r="F256" t="s">
        <v>348</v>
      </c>
      <c r="G256" t="s">
        <v>349</v>
      </c>
      <c r="H256" t="s">
        <v>10</v>
      </c>
      <c r="I256" t="s">
        <v>2117</v>
      </c>
      <c r="J256" t="s">
        <v>2109</v>
      </c>
      <c r="K256">
        <v>12.132</v>
      </c>
      <c r="L256">
        <f t="shared" si="6"/>
        <v>1213.2</v>
      </c>
      <c r="M256">
        <f t="shared" si="7"/>
        <v>242.64000000000001</v>
      </c>
    </row>
    <row r="257" spans="1:13" x14ac:dyDescent="0.3">
      <c r="A257">
        <v>256</v>
      </c>
      <c r="B257" t="s">
        <v>347</v>
      </c>
      <c r="C257" s="1">
        <v>42702</v>
      </c>
      <c r="D257" s="1">
        <v>42708</v>
      </c>
      <c r="E257" t="s">
        <v>2118</v>
      </c>
      <c r="F257" t="s">
        <v>348</v>
      </c>
      <c r="G257" t="s">
        <v>349</v>
      </c>
      <c r="H257" t="s">
        <v>10</v>
      </c>
      <c r="I257" t="s">
        <v>2117</v>
      </c>
      <c r="J257" t="s">
        <v>2110</v>
      </c>
      <c r="K257">
        <v>82.367999999999995</v>
      </c>
      <c r="L257">
        <f t="shared" si="6"/>
        <v>8236.7999999999993</v>
      </c>
      <c r="M257">
        <f t="shared" si="7"/>
        <v>1647.36</v>
      </c>
    </row>
    <row r="258" spans="1:13" x14ac:dyDescent="0.3">
      <c r="A258">
        <v>257</v>
      </c>
      <c r="B258" t="s">
        <v>347</v>
      </c>
      <c r="C258" s="1">
        <v>42702</v>
      </c>
      <c r="D258" s="1">
        <v>42708</v>
      </c>
      <c r="E258" t="s">
        <v>2118</v>
      </c>
      <c r="F258" t="s">
        <v>348</v>
      </c>
      <c r="G258" t="s">
        <v>349</v>
      </c>
      <c r="H258" t="s">
        <v>10</v>
      </c>
      <c r="I258" t="s">
        <v>2117</v>
      </c>
      <c r="J258" t="s">
        <v>2110</v>
      </c>
      <c r="K258">
        <v>53.92</v>
      </c>
      <c r="L258">
        <f t="shared" ref="L258:L321" si="8">K258*100</f>
        <v>5392</v>
      </c>
      <c r="M258">
        <f t="shared" si="7"/>
        <v>1078.4000000000001</v>
      </c>
    </row>
    <row r="259" spans="1:13" x14ac:dyDescent="0.3">
      <c r="A259">
        <v>258</v>
      </c>
      <c r="B259" t="s">
        <v>347</v>
      </c>
      <c r="C259" s="1">
        <v>42702</v>
      </c>
      <c r="D259" s="1">
        <v>42708</v>
      </c>
      <c r="E259" t="s">
        <v>2118</v>
      </c>
      <c r="F259" t="s">
        <v>348</v>
      </c>
      <c r="G259" t="s">
        <v>349</v>
      </c>
      <c r="H259" t="s">
        <v>10</v>
      </c>
      <c r="I259" t="s">
        <v>2117</v>
      </c>
      <c r="J259" t="s">
        <v>2111</v>
      </c>
      <c r="K259">
        <v>647.904</v>
      </c>
      <c r="L259">
        <f t="shared" si="8"/>
        <v>64790.400000000001</v>
      </c>
      <c r="M259">
        <f t="shared" ref="M259:M322" si="9">L259*0.2</f>
        <v>12958.080000000002</v>
      </c>
    </row>
    <row r="260" spans="1:13" x14ac:dyDescent="0.3">
      <c r="A260">
        <v>259</v>
      </c>
      <c r="B260" t="s">
        <v>350</v>
      </c>
      <c r="C260" s="1">
        <v>43435</v>
      </c>
      <c r="D260" s="1">
        <v>43437</v>
      </c>
      <c r="E260" t="s">
        <v>2119</v>
      </c>
      <c r="F260" t="s">
        <v>351</v>
      </c>
      <c r="G260" t="s">
        <v>352</v>
      </c>
      <c r="H260" t="s">
        <v>6</v>
      </c>
      <c r="I260" t="s">
        <v>2114</v>
      </c>
      <c r="J260" t="s">
        <v>2111</v>
      </c>
      <c r="K260">
        <v>20.37</v>
      </c>
      <c r="L260">
        <f t="shared" si="8"/>
        <v>2037</v>
      </c>
      <c r="M260">
        <f t="shared" si="9"/>
        <v>407.40000000000003</v>
      </c>
    </row>
    <row r="261" spans="1:13" x14ac:dyDescent="0.3">
      <c r="A261">
        <v>260</v>
      </c>
      <c r="B261" t="s">
        <v>350</v>
      </c>
      <c r="C261" s="1">
        <v>43435</v>
      </c>
      <c r="D261" s="1">
        <v>43437</v>
      </c>
      <c r="E261" t="s">
        <v>2119</v>
      </c>
      <c r="F261" t="s">
        <v>351</v>
      </c>
      <c r="G261" t="s">
        <v>352</v>
      </c>
      <c r="H261" t="s">
        <v>6</v>
      </c>
      <c r="I261" t="s">
        <v>2114</v>
      </c>
      <c r="J261" t="s">
        <v>2110</v>
      </c>
      <c r="K261">
        <v>221.55</v>
      </c>
      <c r="L261">
        <f t="shared" si="8"/>
        <v>22155</v>
      </c>
      <c r="M261">
        <f t="shared" si="9"/>
        <v>4431</v>
      </c>
    </row>
    <row r="262" spans="1:13" x14ac:dyDescent="0.3">
      <c r="A262">
        <v>261</v>
      </c>
      <c r="B262" t="s">
        <v>350</v>
      </c>
      <c r="C262" s="1">
        <v>43435</v>
      </c>
      <c r="D262" s="1">
        <v>43437</v>
      </c>
      <c r="E262" t="s">
        <v>2119</v>
      </c>
      <c r="F262" t="s">
        <v>351</v>
      </c>
      <c r="G262" t="s">
        <v>352</v>
      </c>
      <c r="H262" t="s">
        <v>6</v>
      </c>
      <c r="I262" t="s">
        <v>2114</v>
      </c>
      <c r="J262" t="s">
        <v>2110</v>
      </c>
      <c r="K262">
        <v>17.52</v>
      </c>
      <c r="L262">
        <f t="shared" si="8"/>
        <v>1752</v>
      </c>
      <c r="M262">
        <f t="shared" si="9"/>
        <v>350.40000000000003</v>
      </c>
    </row>
    <row r="263" spans="1:13" x14ac:dyDescent="0.3">
      <c r="A263">
        <v>262</v>
      </c>
      <c r="B263" t="s">
        <v>353</v>
      </c>
      <c r="C263" s="1">
        <v>43259</v>
      </c>
      <c r="D263" s="1">
        <v>43263</v>
      </c>
      <c r="E263" t="s">
        <v>2118</v>
      </c>
      <c r="F263" t="s">
        <v>354</v>
      </c>
      <c r="G263" t="s">
        <v>355</v>
      </c>
      <c r="H263" t="s">
        <v>10</v>
      </c>
      <c r="I263" t="s">
        <v>2117</v>
      </c>
      <c r="J263" t="s">
        <v>2110</v>
      </c>
      <c r="K263">
        <v>1.6240000000000001</v>
      </c>
      <c r="L263">
        <f t="shared" si="8"/>
        <v>162.4</v>
      </c>
      <c r="M263">
        <f t="shared" si="9"/>
        <v>32.480000000000004</v>
      </c>
    </row>
    <row r="264" spans="1:13" x14ac:dyDescent="0.3">
      <c r="A264">
        <v>263</v>
      </c>
      <c r="B264" t="s">
        <v>356</v>
      </c>
      <c r="C264" s="1">
        <v>42266</v>
      </c>
      <c r="D264" s="1">
        <v>42268</v>
      </c>
      <c r="E264" t="s">
        <v>2119</v>
      </c>
      <c r="F264" t="s">
        <v>357</v>
      </c>
      <c r="G264" t="s">
        <v>358</v>
      </c>
      <c r="H264" t="s">
        <v>10</v>
      </c>
      <c r="I264" t="s">
        <v>2117</v>
      </c>
      <c r="J264" t="s">
        <v>2111</v>
      </c>
      <c r="K264">
        <v>3059.982</v>
      </c>
      <c r="L264">
        <f t="shared" si="8"/>
        <v>305998.2</v>
      </c>
      <c r="M264">
        <f t="shared" si="9"/>
        <v>61199.640000000007</v>
      </c>
    </row>
    <row r="265" spans="1:13" x14ac:dyDescent="0.3">
      <c r="A265">
        <v>264</v>
      </c>
      <c r="B265" t="s">
        <v>356</v>
      </c>
      <c r="C265" s="1">
        <v>42266</v>
      </c>
      <c r="D265" s="1">
        <v>42268</v>
      </c>
      <c r="E265" t="s">
        <v>2119</v>
      </c>
      <c r="F265" t="s">
        <v>357</v>
      </c>
      <c r="G265" t="s">
        <v>358</v>
      </c>
      <c r="H265" t="s">
        <v>10</v>
      </c>
      <c r="I265" t="s">
        <v>2117</v>
      </c>
      <c r="J265" t="s">
        <v>2111</v>
      </c>
      <c r="K265">
        <v>2519.9580000000001</v>
      </c>
      <c r="L265">
        <f t="shared" si="8"/>
        <v>251995.80000000002</v>
      </c>
      <c r="M265">
        <f t="shared" si="9"/>
        <v>50399.16</v>
      </c>
    </row>
    <row r="266" spans="1:13" x14ac:dyDescent="0.3">
      <c r="A266">
        <v>265</v>
      </c>
      <c r="B266" t="s">
        <v>359</v>
      </c>
      <c r="C266" s="1">
        <v>42892</v>
      </c>
      <c r="D266" s="1">
        <v>42899</v>
      </c>
      <c r="E266" t="s">
        <v>2118</v>
      </c>
      <c r="F266" t="s">
        <v>360</v>
      </c>
      <c r="G266" t="s">
        <v>361</v>
      </c>
      <c r="H266" t="s">
        <v>6</v>
      </c>
      <c r="I266" t="s">
        <v>2117</v>
      </c>
      <c r="J266" t="s">
        <v>2111</v>
      </c>
      <c r="K266">
        <v>328.22399999999999</v>
      </c>
      <c r="L266">
        <f t="shared" si="8"/>
        <v>32822.400000000001</v>
      </c>
      <c r="M266">
        <f t="shared" si="9"/>
        <v>6564.4800000000005</v>
      </c>
    </row>
    <row r="267" spans="1:13" x14ac:dyDescent="0.3">
      <c r="A267">
        <v>266</v>
      </c>
      <c r="B267" t="s">
        <v>362</v>
      </c>
      <c r="C267" s="1">
        <v>42684</v>
      </c>
      <c r="D267" s="1">
        <v>42689</v>
      </c>
      <c r="E267" t="s">
        <v>2118</v>
      </c>
      <c r="F267" t="s">
        <v>363</v>
      </c>
      <c r="G267" t="s">
        <v>364</v>
      </c>
      <c r="H267" t="s">
        <v>6</v>
      </c>
      <c r="I267" t="s">
        <v>2112</v>
      </c>
      <c r="J267" t="s">
        <v>2111</v>
      </c>
      <c r="K267">
        <v>79.900000000000006</v>
      </c>
      <c r="L267">
        <f t="shared" si="8"/>
        <v>7990.0000000000009</v>
      </c>
      <c r="M267">
        <f t="shared" si="9"/>
        <v>1598.0000000000002</v>
      </c>
    </row>
    <row r="268" spans="1:13" x14ac:dyDescent="0.3">
      <c r="A268">
        <v>267</v>
      </c>
      <c r="B268" t="s">
        <v>365</v>
      </c>
      <c r="C268" s="1">
        <v>43267</v>
      </c>
      <c r="D268" s="1">
        <v>43271</v>
      </c>
      <c r="E268" t="s">
        <v>2118</v>
      </c>
      <c r="F268" t="s">
        <v>366</v>
      </c>
      <c r="G268" t="s">
        <v>367</v>
      </c>
      <c r="H268" t="s">
        <v>10</v>
      </c>
      <c r="I268" t="s">
        <v>2115</v>
      </c>
      <c r="J268" t="s">
        <v>2110</v>
      </c>
      <c r="K268">
        <v>14.016</v>
      </c>
      <c r="L268">
        <f t="shared" si="8"/>
        <v>1401.6</v>
      </c>
      <c r="M268">
        <f t="shared" si="9"/>
        <v>280.32</v>
      </c>
    </row>
    <row r="269" spans="1:13" x14ac:dyDescent="0.3">
      <c r="A269">
        <v>268</v>
      </c>
      <c r="B269" t="s">
        <v>368</v>
      </c>
      <c r="C269" s="1">
        <v>42757</v>
      </c>
      <c r="D269" s="1">
        <v>42763</v>
      </c>
      <c r="E269" t="s">
        <v>2118</v>
      </c>
      <c r="F269" t="s">
        <v>124</v>
      </c>
      <c r="G269" t="s">
        <v>125</v>
      </c>
      <c r="H269" t="s">
        <v>6</v>
      </c>
      <c r="I269" t="s">
        <v>2114</v>
      </c>
      <c r="J269" t="s">
        <v>2110</v>
      </c>
      <c r="K269">
        <v>7.56</v>
      </c>
      <c r="L269">
        <f t="shared" si="8"/>
        <v>756</v>
      </c>
      <c r="M269">
        <f t="shared" si="9"/>
        <v>151.20000000000002</v>
      </c>
    </row>
    <row r="270" spans="1:13" x14ac:dyDescent="0.3">
      <c r="A270">
        <v>269</v>
      </c>
      <c r="B270" t="s">
        <v>369</v>
      </c>
      <c r="C270" s="1">
        <v>43443</v>
      </c>
      <c r="D270" s="1">
        <v>43447</v>
      </c>
      <c r="E270" t="s">
        <v>2118</v>
      </c>
      <c r="F270" t="s">
        <v>370</v>
      </c>
      <c r="G270" t="s">
        <v>371</v>
      </c>
      <c r="H270" t="s">
        <v>10</v>
      </c>
      <c r="I270" t="s">
        <v>2114</v>
      </c>
      <c r="J270" t="s">
        <v>2110</v>
      </c>
      <c r="K270">
        <v>37.207999999999998</v>
      </c>
      <c r="L270">
        <f t="shared" si="8"/>
        <v>3720.7999999999997</v>
      </c>
      <c r="M270">
        <f t="shared" si="9"/>
        <v>744.16</v>
      </c>
    </row>
    <row r="271" spans="1:13" x14ac:dyDescent="0.3">
      <c r="A271">
        <v>270</v>
      </c>
      <c r="B271" t="s">
        <v>369</v>
      </c>
      <c r="C271" s="1">
        <v>43443</v>
      </c>
      <c r="D271" s="1">
        <v>43447</v>
      </c>
      <c r="E271" t="s">
        <v>2118</v>
      </c>
      <c r="F271" t="s">
        <v>370</v>
      </c>
      <c r="G271" t="s">
        <v>371</v>
      </c>
      <c r="H271" t="s">
        <v>10</v>
      </c>
      <c r="I271" t="s">
        <v>2114</v>
      </c>
      <c r="J271" t="s">
        <v>2110</v>
      </c>
      <c r="K271">
        <v>57.576000000000001</v>
      </c>
      <c r="L271">
        <f t="shared" si="8"/>
        <v>5757.6</v>
      </c>
      <c r="M271">
        <f t="shared" si="9"/>
        <v>1151.5200000000002</v>
      </c>
    </row>
    <row r="272" spans="1:13" x14ac:dyDescent="0.3">
      <c r="A272">
        <v>271</v>
      </c>
      <c r="B272" t="s">
        <v>372</v>
      </c>
      <c r="C272" s="1">
        <v>43462</v>
      </c>
      <c r="D272" s="1">
        <v>43467</v>
      </c>
      <c r="E272" t="s">
        <v>2119</v>
      </c>
      <c r="F272" t="s">
        <v>373</v>
      </c>
      <c r="G272" t="s">
        <v>374</v>
      </c>
      <c r="H272" t="s">
        <v>10</v>
      </c>
      <c r="I272" t="s">
        <v>2112</v>
      </c>
      <c r="J272" t="s">
        <v>2110</v>
      </c>
      <c r="K272">
        <v>725.84</v>
      </c>
      <c r="L272">
        <f t="shared" si="8"/>
        <v>72584</v>
      </c>
      <c r="M272">
        <f t="shared" si="9"/>
        <v>14516.800000000001</v>
      </c>
    </row>
    <row r="273" spans="1:13" x14ac:dyDescent="0.3">
      <c r="A273">
        <v>272</v>
      </c>
      <c r="B273" t="s">
        <v>375</v>
      </c>
      <c r="C273" s="1">
        <v>42581</v>
      </c>
      <c r="D273" s="1">
        <v>42582</v>
      </c>
      <c r="E273" t="s">
        <v>2120</v>
      </c>
      <c r="F273" t="s">
        <v>208</v>
      </c>
      <c r="G273" t="s">
        <v>209</v>
      </c>
      <c r="H273" t="s">
        <v>6</v>
      </c>
      <c r="I273" t="s">
        <v>2112</v>
      </c>
      <c r="J273" t="s">
        <v>2111</v>
      </c>
      <c r="K273">
        <v>209.93</v>
      </c>
      <c r="L273">
        <f t="shared" si="8"/>
        <v>20993</v>
      </c>
      <c r="M273">
        <f t="shared" si="9"/>
        <v>4198.6000000000004</v>
      </c>
    </row>
    <row r="274" spans="1:13" x14ac:dyDescent="0.3">
      <c r="A274">
        <v>273</v>
      </c>
      <c r="B274" t="s">
        <v>375</v>
      </c>
      <c r="C274" s="1">
        <v>42581</v>
      </c>
      <c r="D274" s="1">
        <v>42582</v>
      </c>
      <c r="E274" t="s">
        <v>2120</v>
      </c>
      <c r="F274" t="s">
        <v>208</v>
      </c>
      <c r="G274" t="s">
        <v>209</v>
      </c>
      <c r="H274" t="s">
        <v>6</v>
      </c>
      <c r="I274" t="s">
        <v>2112</v>
      </c>
      <c r="J274" t="s">
        <v>2109</v>
      </c>
      <c r="K274">
        <v>5.28</v>
      </c>
      <c r="L274">
        <f t="shared" si="8"/>
        <v>528</v>
      </c>
      <c r="M274">
        <f t="shared" si="9"/>
        <v>105.60000000000001</v>
      </c>
    </row>
    <row r="275" spans="1:13" x14ac:dyDescent="0.3">
      <c r="A275">
        <v>274</v>
      </c>
      <c r="B275" t="s">
        <v>375</v>
      </c>
      <c r="C275" s="1">
        <v>42581</v>
      </c>
      <c r="D275" s="1">
        <v>42582</v>
      </c>
      <c r="E275" t="s">
        <v>2120</v>
      </c>
      <c r="F275" t="s">
        <v>208</v>
      </c>
      <c r="G275" t="s">
        <v>209</v>
      </c>
      <c r="H275" t="s">
        <v>6</v>
      </c>
      <c r="I275" t="s">
        <v>2112</v>
      </c>
      <c r="J275" t="s">
        <v>2110</v>
      </c>
      <c r="K275">
        <v>10.92</v>
      </c>
      <c r="L275">
        <f t="shared" si="8"/>
        <v>1092</v>
      </c>
      <c r="M275">
        <f t="shared" si="9"/>
        <v>218.4</v>
      </c>
    </row>
    <row r="276" spans="1:13" x14ac:dyDescent="0.3">
      <c r="A276">
        <v>275</v>
      </c>
      <c r="B276" t="s">
        <v>376</v>
      </c>
      <c r="C276" s="1">
        <v>43359</v>
      </c>
      <c r="D276" s="1">
        <v>43360</v>
      </c>
      <c r="E276" t="s">
        <v>2120</v>
      </c>
      <c r="F276" t="s">
        <v>377</v>
      </c>
      <c r="G276" t="s">
        <v>378</v>
      </c>
      <c r="H276" t="s">
        <v>10</v>
      </c>
      <c r="I276" t="s">
        <v>2112</v>
      </c>
      <c r="J276" t="s">
        <v>2110</v>
      </c>
      <c r="K276">
        <v>8.82</v>
      </c>
      <c r="L276">
        <f t="shared" si="8"/>
        <v>882</v>
      </c>
      <c r="M276">
        <f t="shared" si="9"/>
        <v>176.4</v>
      </c>
    </row>
    <row r="277" spans="1:13" x14ac:dyDescent="0.3">
      <c r="A277">
        <v>276</v>
      </c>
      <c r="B277" t="s">
        <v>376</v>
      </c>
      <c r="C277" s="1">
        <v>43359</v>
      </c>
      <c r="D277" s="1">
        <v>43360</v>
      </c>
      <c r="E277" t="s">
        <v>2120</v>
      </c>
      <c r="F277" t="s">
        <v>377</v>
      </c>
      <c r="G277" t="s">
        <v>378</v>
      </c>
      <c r="H277" t="s">
        <v>10</v>
      </c>
      <c r="I277" t="s">
        <v>2112</v>
      </c>
      <c r="J277" t="s">
        <v>2110</v>
      </c>
      <c r="K277">
        <v>5.98</v>
      </c>
      <c r="L277">
        <f t="shared" si="8"/>
        <v>598</v>
      </c>
      <c r="M277">
        <f t="shared" si="9"/>
        <v>119.60000000000001</v>
      </c>
    </row>
    <row r="278" spans="1:13" x14ac:dyDescent="0.3">
      <c r="A278">
        <v>277</v>
      </c>
      <c r="B278" t="s">
        <v>379</v>
      </c>
      <c r="C278" s="1">
        <v>43386</v>
      </c>
      <c r="D278" s="1">
        <v>43390</v>
      </c>
      <c r="E278" t="s">
        <v>2118</v>
      </c>
      <c r="F278" t="s">
        <v>380</v>
      </c>
      <c r="G278" t="s">
        <v>381</v>
      </c>
      <c r="H278" t="s">
        <v>10</v>
      </c>
      <c r="I278" t="s">
        <v>2114</v>
      </c>
      <c r="J278" t="s">
        <v>2110</v>
      </c>
      <c r="K278">
        <v>11.648</v>
      </c>
      <c r="L278">
        <f t="shared" si="8"/>
        <v>1164.8</v>
      </c>
      <c r="M278">
        <f t="shared" si="9"/>
        <v>232.96</v>
      </c>
    </row>
    <row r="279" spans="1:13" x14ac:dyDescent="0.3">
      <c r="A279">
        <v>278</v>
      </c>
      <c r="B279" t="s">
        <v>379</v>
      </c>
      <c r="C279" s="1">
        <v>43386</v>
      </c>
      <c r="D279" s="1">
        <v>43390</v>
      </c>
      <c r="E279" t="s">
        <v>2118</v>
      </c>
      <c r="F279" t="s">
        <v>380</v>
      </c>
      <c r="G279" t="s">
        <v>381</v>
      </c>
      <c r="H279" t="s">
        <v>10</v>
      </c>
      <c r="I279" t="s">
        <v>2114</v>
      </c>
      <c r="J279" t="s">
        <v>2110</v>
      </c>
      <c r="K279">
        <v>18.175999999999998</v>
      </c>
      <c r="L279">
        <f t="shared" si="8"/>
        <v>1817.6</v>
      </c>
      <c r="M279">
        <f t="shared" si="9"/>
        <v>363.52</v>
      </c>
    </row>
    <row r="280" spans="1:13" x14ac:dyDescent="0.3">
      <c r="A280">
        <v>279</v>
      </c>
      <c r="B280" t="s">
        <v>379</v>
      </c>
      <c r="C280" s="1">
        <v>43386</v>
      </c>
      <c r="D280" s="1">
        <v>43390</v>
      </c>
      <c r="E280" t="s">
        <v>2118</v>
      </c>
      <c r="F280" t="s">
        <v>380</v>
      </c>
      <c r="G280" t="s">
        <v>381</v>
      </c>
      <c r="H280" t="s">
        <v>10</v>
      </c>
      <c r="I280" t="s">
        <v>2114</v>
      </c>
      <c r="J280" t="s">
        <v>2110</v>
      </c>
      <c r="K280">
        <v>59.712000000000003</v>
      </c>
      <c r="L280">
        <f t="shared" si="8"/>
        <v>5971.2000000000007</v>
      </c>
      <c r="M280">
        <f t="shared" si="9"/>
        <v>1194.2400000000002</v>
      </c>
    </row>
    <row r="281" spans="1:13" x14ac:dyDescent="0.3">
      <c r="A281">
        <v>280</v>
      </c>
      <c r="B281" t="s">
        <v>379</v>
      </c>
      <c r="C281" s="1">
        <v>43386</v>
      </c>
      <c r="D281" s="1">
        <v>43390</v>
      </c>
      <c r="E281" t="s">
        <v>2118</v>
      </c>
      <c r="F281" t="s">
        <v>380</v>
      </c>
      <c r="G281" t="s">
        <v>381</v>
      </c>
      <c r="H281" t="s">
        <v>10</v>
      </c>
      <c r="I281" t="s">
        <v>2114</v>
      </c>
      <c r="J281" t="s">
        <v>2110</v>
      </c>
      <c r="K281">
        <v>24.84</v>
      </c>
      <c r="L281">
        <f t="shared" si="8"/>
        <v>2484</v>
      </c>
      <c r="M281">
        <f t="shared" si="9"/>
        <v>496.8</v>
      </c>
    </row>
    <row r="282" spans="1:13" x14ac:dyDescent="0.3">
      <c r="A282">
        <v>281</v>
      </c>
      <c r="B282" t="s">
        <v>382</v>
      </c>
      <c r="C282" s="1">
        <v>42639</v>
      </c>
      <c r="D282" s="1">
        <v>42641</v>
      </c>
      <c r="E282" t="s">
        <v>2119</v>
      </c>
      <c r="F282" t="s">
        <v>178</v>
      </c>
      <c r="G282" t="s">
        <v>179</v>
      </c>
      <c r="H282" t="s">
        <v>6</v>
      </c>
      <c r="I282" t="s">
        <v>2117</v>
      </c>
      <c r="J282" t="s">
        <v>2110</v>
      </c>
      <c r="K282">
        <v>2.08</v>
      </c>
      <c r="L282">
        <f t="shared" si="8"/>
        <v>208</v>
      </c>
      <c r="M282">
        <f t="shared" si="9"/>
        <v>41.6</v>
      </c>
    </row>
    <row r="283" spans="1:13" x14ac:dyDescent="0.3">
      <c r="A283">
        <v>282</v>
      </c>
      <c r="B283" t="s">
        <v>382</v>
      </c>
      <c r="C283" s="1">
        <v>42639</v>
      </c>
      <c r="D283" s="1">
        <v>42641</v>
      </c>
      <c r="E283" t="s">
        <v>2119</v>
      </c>
      <c r="F283" t="s">
        <v>178</v>
      </c>
      <c r="G283" t="s">
        <v>179</v>
      </c>
      <c r="H283" t="s">
        <v>6</v>
      </c>
      <c r="I283" t="s">
        <v>2117</v>
      </c>
      <c r="J283" t="s">
        <v>2111</v>
      </c>
      <c r="K283">
        <v>1114.4000000000001</v>
      </c>
      <c r="L283">
        <f t="shared" si="8"/>
        <v>111440.00000000001</v>
      </c>
      <c r="M283">
        <f t="shared" si="9"/>
        <v>22288.000000000004</v>
      </c>
    </row>
    <row r="284" spans="1:13" x14ac:dyDescent="0.3">
      <c r="A284">
        <v>283</v>
      </c>
      <c r="B284" t="s">
        <v>383</v>
      </c>
      <c r="C284" s="1">
        <v>42676</v>
      </c>
      <c r="D284" s="1">
        <v>42680</v>
      </c>
      <c r="E284" t="s">
        <v>2118</v>
      </c>
      <c r="F284" t="s">
        <v>384</v>
      </c>
      <c r="G284" t="s">
        <v>385</v>
      </c>
      <c r="H284" t="s">
        <v>6</v>
      </c>
      <c r="I284" t="s">
        <v>2112</v>
      </c>
      <c r="J284" t="s">
        <v>2109</v>
      </c>
      <c r="K284">
        <v>1038.8399999999999</v>
      </c>
      <c r="L284">
        <f t="shared" si="8"/>
        <v>103883.99999999999</v>
      </c>
      <c r="M284">
        <f t="shared" si="9"/>
        <v>20776.8</v>
      </c>
    </row>
    <row r="285" spans="1:13" x14ac:dyDescent="0.3">
      <c r="A285">
        <v>284</v>
      </c>
      <c r="B285" t="s">
        <v>386</v>
      </c>
      <c r="C285" s="1">
        <v>42639</v>
      </c>
      <c r="D285" s="1">
        <v>42645</v>
      </c>
      <c r="E285" t="s">
        <v>2118</v>
      </c>
      <c r="F285" t="s">
        <v>49</v>
      </c>
      <c r="G285" t="s">
        <v>50</v>
      </c>
      <c r="H285" t="s">
        <v>6</v>
      </c>
      <c r="I285" t="s">
        <v>2112</v>
      </c>
      <c r="J285" t="s">
        <v>2110</v>
      </c>
      <c r="K285">
        <v>141.76</v>
      </c>
      <c r="L285">
        <f t="shared" si="8"/>
        <v>14176</v>
      </c>
      <c r="M285">
        <f t="shared" si="9"/>
        <v>2835.2000000000003</v>
      </c>
    </row>
    <row r="286" spans="1:13" x14ac:dyDescent="0.3">
      <c r="A286">
        <v>285</v>
      </c>
      <c r="B286" t="s">
        <v>386</v>
      </c>
      <c r="C286" s="1">
        <v>42639</v>
      </c>
      <c r="D286" s="1">
        <v>42645</v>
      </c>
      <c r="E286" t="s">
        <v>2118</v>
      </c>
      <c r="F286" t="s">
        <v>49</v>
      </c>
      <c r="G286" t="s">
        <v>50</v>
      </c>
      <c r="H286" t="s">
        <v>6</v>
      </c>
      <c r="I286" t="s">
        <v>2112</v>
      </c>
      <c r="J286" t="s">
        <v>2111</v>
      </c>
      <c r="K286">
        <v>239.8</v>
      </c>
      <c r="L286">
        <f t="shared" si="8"/>
        <v>23980</v>
      </c>
      <c r="M286">
        <f t="shared" si="9"/>
        <v>4796</v>
      </c>
    </row>
    <row r="287" spans="1:13" x14ac:dyDescent="0.3">
      <c r="A287">
        <v>286</v>
      </c>
      <c r="B287" t="s">
        <v>386</v>
      </c>
      <c r="C287" s="1">
        <v>42639</v>
      </c>
      <c r="D287" s="1">
        <v>42645</v>
      </c>
      <c r="E287" t="s">
        <v>2118</v>
      </c>
      <c r="F287" t="s">
        <v>49</v>
      </c>
      <c r="G287" t="s">
        <v>50</v>
      </c>
      <c r="H287" t="s">
        <v>6</v>
      </c>
      <c r="I287" t="s">
        <v>2112</v>
      </c>
      <c r="J287" t="s">
        <v>2110</v>
      </c>
      <c r="K287">
        <v>31.103999999999999</v>
      </c>
      <c r="L287">
        <f t="shared" si="8"/>
        <v>3110.4</v>
      </c>
      <c r="M287">
        <f t="shared" si="9"/>
        <v>622.08000000000004</v>
      </c>
    </row>
    <row r="288" spans="1:13" x14ac:dyDescent="0.3">
      <c r="A288">
        <v>287</v>
      </c>
      <c r="B288" t="s">
        <v>387</v>
      </c>
      <c r="C288" s="1">
        <v>43087</v>
      </c>
      <c r="D288" s="1">
        <v>43089</v>
      </c>
      <c r="E288" t="s">
        <v>2119</v>
      </c>
      <c r="F288" t="s">
        <v>388</v>
      </c>
      <c r="G288" t="s">
        <v>389</v>
      </c>
      <c r="H288" t="s">
        <v>10</v>
      </c>
      <c r="I288" t="s">
        <v>2115</v>
      </c>
      <c r="J288" t="s">
        <v>2110</v>
      </c>
      <c r="K288">
        <v>254.05799999999999</v>
      </c>
      <c r="L288">
        <f t="shared" si="8"/>
        <v>25405.8</v>
      </c>
      <c r="M288">
        <f t="shared" si="9"/>
        <v>5081.16</v>
      </c>
    </row>
    <row r="289" spans="1:13" x14ac:dyDescent="0.3">
      <c r="A289">
        <v>288</v>
      </c>
      <c r="B289" t="s">
        <v>387</v>
      </c>
      <c r="C289" s="1">
        <v>43087</v>
      </c>
      <c r="D289" s="1">
        <v>43089</v>
      </c>
      <c r="E289" t="s">
        <v>2119</v>
      </c>
      <c r="F289" t="s">
        <v>388</v>
      </c>
      <c r="G289" t="s">
        <v>389</v>
      </c>
      <c r="H289" t="s">
        <v>10</v>
      </c>
      <c r="I289" t="s">
        <v>2115</v>
      </c>
      <c r="J289" t="s">
        <v>2110</v>
      </c>
      <c r="K289">
        <v>194.52799999999999</v>
      </c>
      <c r="L289">
        <f t="shared" si="8"/>
        <v>19452.8</v>
      </c>
      <c r="M289">
        <f t="shared" si="9"/>
        <v>3890.56</v>
      </c>
    </row>
    <row r="290" spans="1:13" x14ac:dyDescent="0.3">
      <c r="A290">
        <v>289</v>
      </c>
      <c r="B290" t="s">
        <v>387</v>
      </c>
      <c r="C290" s="1">
        <v>43087</v>
      </c>
      <c r="D290" s="1">
        <v>43089</v>
      </c>
      <c r="E290" t="s">
        <v>2119</v>
      </c>
      <c r="F290" t="s">
        <v>388</v>
      </c>
      <c r="G290" t="s">
        <v>389</v>
      </c>
      <c r="H290" t="s">
        <v>10</v>
      </c>
      <c r="I290" t="s">
        <v>2115</v>
      </c>
      <c r="J290" t="s">
        <v>2110</v>
      </c>
      <c r="K290">
        <v>961.48</v>
      </c>
      <c r="L290">
        <f t="shared" si="8"/>
        <v>96148</v>
      </c>
      <c r="M290">
        <f t="shared" si="9"/>
        <v>19229.600000000002</v>
      </c>
    </row>
    <row r="291" spans="1:13" x14ac:dyDescent="0.3">
      <c r="A291">
        <v>290</v>
      </c>
      <c r="B291" t="s">
        <v>390</v>
      </c>
      <c r="C291" s="1">
        <v>43059</v>
      </c>
      <c r="D291" s="1">
        <v>43063</v>
      </c>
      <c r="E291" t="s">
        <v>2119</v>
      </c>
      <c r="F291" t="s">
        <v>391</v>
      </c>
      <c r="G291" t="s">
        <v>392</v>
      </c>
      <c r="H291" t="s">
        <v>26</v>
      </c>
      <c r="I291" t="s">
        <v>2114</v>
      </c>
      <c r="J291" t="s">
        <v>2110</v>
      </c>
      <c r="K291">
        <v>19.096</v>
      </c>
      <c r="L291">
        <f t="shared" si="8"/>
        <v>1909.6</v>
      </c>
      <c r="M291">
        <f t="shared" si="9"/>
        <v>381.92</v>
      </c>
    </row>
    <row r="292" spans="1:13" x14ac:dyDescent="0.3">
      <c r="A292">
        <v>291</v>
      </c>
      <c r="B292" t="s">
        <v>390</v>
      </c>
      <c r="C292" s="1">
        <v>43059</v>
      </c>
      <c r="D292" s="1">
        <v>43063</v>
      </c>
      <c r="E292" t="s">
        <v>2119</v>
      </c>
      <c r="F292" t="s">
        <v>391</v>
      </c>
      <c r="G292" t="s">
        <v>392</v>
      </c>
      <c r="H292" t="s">
        <v>26</v>
      </c>
      <c r="I292" t="s">
        <v>2114</v>
      </c>
      <c r="J292" t="s">
        <v>2110</v>
      </c>
      <c r="K292">
        <v>18.495999999999999</v>
      </c>
      <c r="L292">
        <f t="shared" si="8"/>
        <v>1849.6</v>
      </c>
      <c r="M292">
        <f t="shared" si="9"/>
        <v>369.92</v>
      </c>
    </row>
    <row r="293" spans="1:13" x14ac:dyDescent="0.3">
      <c r="A293">
        <v>292</v>
      </c>
      <c r="B293" t="s">
        <v>390</v>
      </c>
      <c r="C293" s="1">
        <v>43059</v>
      </c>
      <c r="D293" s="1">
        <v>43063</v>
      </c>
      <c r="E293" t="s">
        <v>2119</v>
      </c>
      <c r="F293" t="s">
        <v>391</v>
      </c>
      <c r="G293" t="s">
        <v>392</v>
      </c>
      <c r="H293" t="s">
        <v>26</v>
      </c>
      <c r="I293" t="s">
        <v>2114</v>
      </c>
      <c r="J293" t="s">
        <v>2111</v>
      </c>
      <c r="K293">
        <v>255.98400000000001</v>
      </c>
      <c r="L293">
        <f t="shared" si="8"/>
        <v>25598.400000000001</v>
      </c>
      <c r="M293">
        <f t="shared" si="9"/>
        <v>5119.68</v>
      </c>
    </row>
    <row r="294" spans="1:13" x14ac:dyDescent="0.3">
      <c r="A294">
        <v>293</v>
      </c>
      <c r="B294" t="s">
        <v>390</v>
      </c>
      <c r="C294" s="1">
        <v>43059</v>
      </c>
      <c r="D294" s="1">
        <v>43063</v>
      </c>
      <c r="E294" t="s">
        <v>2119</v>
      </c>
      <c r="F294" t="s">
        <v>391</v>
      </c>
      <c r="G294" t="s">
        <v>392</v>
      </c>
      <c r="H294" t="s">
        <v>26</v>
      </c>
      <c r="I294" t="s">
        <v>2114</v>
      </c>
      <c r="J294" t="s">
        <v>2109</v>
      </c>
      <c r="K294">
        <v>86.97</v>
      </c>
      <c r="L294">
        <f t="shared" si="8"/>
        <v>8697</v>
      </c>
      <c r="M294">
        <f t="shared" si="9"/>
        <v>1739.4</v>
      </c>
    </row>
    <row r="295" spans="1:13" x14ac:dyDescent="0.3">
      <c r="A295">
        <v>294</v>
      </c>
      <c r="B295" t="s">
        <v>393</v>
      </c>
      <c r="C295" s="1">
        <v>42364</v>
      </c>
      <c r="D295" s="1">
        <v>42366</v>
      </c>
      <c r="E295" t="s">
        <v>2120</v>
      </c>
      <c r="F295" t="s">
        <v>394</v>
      </c>
      <c r="G295" t="s">
        <v>395</v>
      </c>
      <c r="H295" t="s">
        <v>10</v>
      </c>
      <c r="I295" t="s">
        <v>2112</v>
      </c>
      <c r="J295" t="s">
        <v>2109</v>
      </c>
      <c r="K295">
        <v>300.416</v>
      </c>
      <c r="L295">
        <f t="shared" si="8"/>
        <v>30041.599999999999</v>
      </c>
      <c r="M295">
        <f t="shared" si="9"/>
        <v>6008.32</v>
      </c>
    </row>
    <row r="296" spans="1:13" x14ac:dyDescent="0.3">
      <c r="A296">
        <v>295</v>
      </c>
      <c r="B296" t="s">
        <v>393</v>
      </c>
      <c r="C296" s="1">
        <v>42364</v>
      </c>
      <c r="D296" s="1">
        <v>42366</v>
      </c>
      <c r="E296" t="s">
        <v>2120</v>
      </c>
      <c r="F296" t="s">
        <v>394</v>
      </c>
      <c r="G296" t="s">
        <v>395</v>
      </c>
      <c r="H296" t="s">
        <v>10</v>
      </c>
      <c r="I296" t="s">
        <v>2112</v>
      </c>
      <c r="J296" t="s">
        <v>2109</v>
      </c>
      <c r="K296">
        <v>230.352</v>
      </c>
      <c r="L296">
        <f t="shared" si="8"/>
        <v>23035.200000000001</v>
      </c>
      <c r="M296">
        <f t="shared" si="9"/>
        <v>4607.04</v>
      </c>
    </row>
    <row r="297" spans="1:13" x14ac:dyDescent="0.3">
      <c r="A297">
        <v>296</v>
      </c>
      <c r="B297" t="s">
        <v>393</v>
      </c>
      <c r="C297" s="1">
        <v>42364</v>
      </c>
      <c r="D297" s="1">
        <v>42366</v>
      </c>
      <c r="E297" t="s">
        <v>2120</v>
      </c>
      <c r="F297" t="s">
        <v>394</v>
      </c>
      <c r="G297" t="s">
        <v>395</v>
      </c>
      <c r="H297" t="s">
        <v>10</v>
      </c>
      <c r="I297" t="s">
        <v>2112</v>
      </c>
      <c r="J297" t="s">
        <v>2109</v>
      </c>
      <c r="K297">
        <v>218.352</v>
      </c>
      <c r="L297">
        <f t="shared" si="8"/>
        <v>21835.200000000001</v>
      </c>
      <c r="M297">
        <f t="shared" si="9"/>
        <v>4367.04</v>
      </c>
    </row>
    <row r="298" spans="1:13" x14ac:dyDescent="0.3">
      <c r="A298">
        <v>297</v>
      </c>
      <c r="B298" t="s">
        <v>393</v>
      </c>
      <c r="C298" s="1">
        <v>42364</v>
      </c>
      <c r="D298" s="1">
        <v>42366</v>
      </c>
      <c r="E298" t="s">
        <v>2120</v>
      </c>
      <c r="F298" t="s">
        <v>394</v>
      </c>
      <c r="G298" t="s">
        <v>395</v>
      </c>
      <c r="H298" t="s">
        <v>10</v>
      </c>
      <c r="I298" t="s">
        <v>2112</v>
      </c>
      <c r="J298" t="s">
        <v>2110</v>
      </c>
      <c r="K298">
        <v>78.599999999999994</v>
      </c>
      <c r="L298">
        <f t="shared" si="8"/>
        <v>7859.9999999999991</v>
      </c>
      <c r="M298">
        <f t="shared" si="9"/>
        <v>1572</v>
      </c>
    </row>
    <row r="299" spans="1:13" x14ac:dyDescent="0.3">
      <c r="A299">
        <v>298</v>
      </c>
      <c r="B299" t="s">
        <v>393</v>
      </c>
      <c r="C299" s="1">
        <v>42364</v>
      </c>
      <c r="D299" s="1">
        <v>42366</v>
      </c>
      <c r="E299" t="s">
        <v>2120</v>
      </c>
      <c r="F299" t="s">
        <v>394</v>
      </c>
      <c r="G299" t="s">
        <v>395</v>
      </c>
      <c r="H299" t="s">
        <v>10</v>
      </c>
      <c r="I299" t="s">
        <v>2112</v>
      </c>
      <c r="J299" t="s">
        <v>2110</v>
      </c>
      <c r="K299">
        <v>27.552</v>
      </c>
      <c r="L299">
        <f t="shared" si="8"/>
        <v>2755.2</v>
      </c>
      <c r="M299">
        <f t="shared" si="9"/>
        <v>551.04</v>
      </c>
    </row>
    <row r="300" spans="1:13" x14ac:dyDescent="0.3">
      <c r="A300">
        <v>299</v>
      </c>
      <c r="B300" t="s">
        <v>396</v>
      </c>
      <c r="C300" s="1">
        <v>43036</v>
      </c>
      <c r="D300" s="1">
        <v>43042</v>
      </c>
      <c r="E300" t="s">
        <v>2118</v>
      </c>
      <c r="F300" t="s">
        <v>199</v>
      </c>
      <c r="G300" t="s">
        <v>200</v>
      </c>
      <c r="H300" t="s">
        <v>10</v>
      </c>
      <c r="I300" t="s">
        <v>2114</v>
      </c>
      <c r="J300" t="s">
        <v>2110</v>
      </c>
      <c r="K300">
        <v>32.4</v>
      </c>
      <c r="L300">
        <f t="shared" si="8"/>
        <v>3240</v>
      </c>
      <c r="M300">
        <f t="shared" si="9"/>
        <v>648</v>
      </c>
    </row>
    <row r="301" spans="1:13" x14ac:dyDescent="0.3">
      <c r="A301">
        <v>300</v>
      </c>
      <c r="B301" t="s">
        <v>396</v>
      </c>
      <c r="C301" s="1">
        <v>43036</v>
      </c>
      <c r="D301" s="1">
        <v>43042</v>
      </c>
      <c r="E301" t="s">
        <v>2118</v>
      </c>
      <c r="F301" t="s">
        <v>199</v>
      </c>
      <c r="G301" t="s">
        <v>200</v>
      </c>
      <c r="H301" t="s">
        <v>10</v>
      </c>
      <c r="I301" t="s">
        <v>2114</v>
      </c>
      <c r="J301" t="s">
        <v>2110</v>
      </c>
      <c r="K301">
        <v>1082.48</v>
      </c>
      <c r="L301">
        <f t="shared" si="8"/>
        <v>108248</v>
      </c>
      <c r="M301">
        <f t="shared" si="9"/>
        <v>21649.600000000002</v>
      </c>
    </row>
    <row r="302" spans="1:13" x14ac:dyDescent="0.3">
      <c r="A302">
        <v>301</v>
      </c>
      <c r="B302" t="s">
        <v>396</v>
      </c>
      <c r="C302" s="1">
        <v>43036</v>
      </c>
      <c r="D302" s="1">
        <v>43042</v>
      </c>
      <c r="E302" t="s">
        <v>2118</v>
      </c>
      <c r="F302" t="s">
        <v>199</v>
      </c>
      <c r="G302" t="s">
        <v>200</v>
      </c>
      <c r="H302" t="s">
        <v>10</v>
      </c>
      <c r="I302" t="s">
        <v>2114</v>
      </c>
      <c r="J302" t="s">
        <v>2110</v>
      </c>
      <c r="K302">
        <v>56.91</v>
      </c>
      <c r="L302">
        <f t="shared" si="8"/>
        <v>5691</v>
      </c>
      <c r="M302">
        <f t="shared" si="9"/>
        <v>1138.2</v>
      </c>
    </row>
    <row r="303" spans="1:13" x14ac:dyDescent="0.3">
      <c r="A303">
        <v>302</v>
      </c>
      <c r="B303" t="s">
        <v>396</v>
      </c>
      <c r="C303" s="1">
        <v>43036</v>
      </c>
      <c r="D303" s="1">
        <v>43042</v>
      </c>
      <c r="E303" t="s">
        <v>2118</v>
      </c>
      <c r="F303" t="s">
        <v>199</v>
      </c>
      <c r="G303" t="s">
        <v>200</v>
      </c>
      <c r="H303" t="s">
        <v>10</v>
      </c>
      <c r="I303" t="s">
        <v>2114</v>
      </c>
      <c r="J303" t="s">
        <v>2109</v>
      </c>
      <c r="K303">
        <v>77.599999999999994</v>
      </c>
      <c r="L303">
        <f t="shared" si="8"/>
        <v>7759.9999999999991</v>
      </c>
      <c r="M303">
        <f t="shared" si="9"/>
        <v>1552</v>
      </c>
    </row>
    <row r="304" spans="1:13" x14ac:dyDescent="0.3">
      <c r="A304">
        <v>303</v>
      </c>
      <c r="B304" t="s">
        <v>396</v>
      </c>
      <c r="C304" s="1">
        <v>43036</v>
      </c>
      <c r="D304" s="1">
        <v>43042</v>
      </c>
      <c r="E304" t="s">
        <v>2118</v>
      </c>
      <c r="F304" t="s">
        <v>199</v>
      </c>
      <c r="G304" t="s">
        <v>200</v>
      </c>
      <c r="H304" t="s">
        <v>10</v>
      </c>
      <c r="I304" t="s">
        <v>2114</v>
      </c>
      <c r="J304" t="s">
        <v>2110</v>
      </c>
      <c r="K304">
        <v>14.28</v>
      </c>
      <c r="L304">
        <f t="shared" si="8"/>
        <v>1428</v>
      </c>
      <c r="M304">
        <f t="shared" si="9"/>
        <v>285.60000000000002</v>
      </c>
    </row>
    <row r="305" spans="1:13" x14ac:dyDescent="0.3">
      <c r="A305">
        <v>304</v>
      </c>
      <c r="B305" t="s">
        <v>397</v>
      </c>
      <c r="C305" s="1">
        <v>43423</v>
      </c>
      <c r="D305" s="1">
        <v>43427</v>
      </c>
      <c r="E305" t="s">
        <v>2118</v>
      </c>
      <c r="F305" t="s">
        <v>314</v>
      </c>
      <c r="G305" t="s">
        <v>315</v>
      </c>
      <c r="H305" t="s">
        <v>6</v>
      </c>
      <c r="I305" t="s">
        <v>2117</v>
      </c>
      <c r="J305" t="s">
        <v>2109</v>
      </c>
      <c r="K305">
        <v>219.07499999999999</v>
      </c>
      <c r="L305">
        <f t="shared" si="8"/>
        <v>21907.5</v>
      </c>
      <c r="M305">
        <f t="shared" si="9"/>
        <v>4381.5</v>
      </c>
    </row>
    <row r="306" spans="1:13" x14ac:dyDescent="0.3">
      <c r="A306">
        <v>305</v>
      </c>
      <c r="B306" t="s">
        <v>398</v>
      </c>
      <c r="C306" s="1">
        <v>42494</v>
      </c>
      <c r="D306" s="1">
        <v>42499</v>
      </c>
      <c r="E306" t="s">
        <v>2119</v>
      </c>
      <c r="F306" t="s">
        <v>399</v>
      </c>
      <c r="G306" t="s">
        <v>400</v>
      </c>
      <c r="H306" t="s">
        <v>10</v>
      </c>
      <c r="I306" t="s">
        <v>2114</v>
      </c>
      <c r="J306" t="s">
        <v>2109</v>
      </c>
      <c r="K306">
        <v>26.8</v>
      </c>
      <c r="L306">
        <f t="shared" si="8"/>
        <v>2680</v>
      </c>
      <c r="M306">
        <f t="shared" si="9"/>
        <v>536</v>
      </c>
    </row>
    <row r="307" spans="1:13" x14ac:dyDescent="0.3">
      <c r="A307">
        <v>306</v>
      </c>
      <c r="B307" t="s">
        <v>401</v>
      </c>
      <c r="C307" s="1">
        <v>42368</v>
      </c>
      <c r="D307" s="1">
        <v>42373</v>
      </c>
      <c r="E307" t="s">
        <v>2118</v>
      </c>
      <c r="F307" t="s">
        <v>107</v>
      </c>
      <c r="G307" t="s">
        <v>108</v>
      </c>
      <c r="H307" t="s">
        <v>10</v>
      </c>
      <c r="I307" t="s">
        <v>2117</v>
      </c>
      <c r="J307" t="s">
        <v>2110</v>
      </c>
      <c r="K307">
        <v>9.84</v>
      </c>
      <c r="L307">
        <f t="shared" si="8"/>
        <v>984</v>
      </c>
      <c r="M307">
        <f t="shared" si="9"/>
        <v>196.8</v>
      </c>
    </row>
    <row r="308" spans="1:13" x14ac:dyDescent="0.3">
      <c r="A308">
        <v>307</v>
      </c>
      <c r="B308" t="s">
        <v>402</v>
      </c>
      <c r="C308" s="1">
        <v>42156</v>
      </c>
      <c r="D308" s="1">
        <v>42161</v>
      </c>
      <c r="E308" t="s">
        <v>2118</v>
      </c>
      <c r="F308" t="s">
        <v>403</v>
      </c>
      <c r="G308" t="s">
        <v>404</v>
      </c>
      <c r="H308" t="s">
        <v>26</v>
      </c>
      <c r="I308" t="s">
        <v>2114</v>
      </c>
      <c r="J308" t="s">
        <v>2110</v>
      </c>
      <c r="K308">
        <v>45.48</v>
      </c>
      <c r="L308">
        <f t="shared" si="8"/>
        <v>4548</v>
      </c>
      <c r="M308">
        <f t="shared" si="9"/>
        <v>909.6</v>
      </c>
    </row>
    <row r="309" spans="1:13" x14ac:dyDescent="0.3">
      <c r="A309">
        <v>308</v>
      </c>
      <c r="B309" t="s">
        <v>402</v>
      </c>
      <c r="C309" s="1">
        <v>42156</v>
      </c>
      <c r="D309" s="1">
        <v>42161</v>
      </c>
      <c r="E309" t="s">
        <v>2118</v>
      </c>
      <c r="F309" t="s">
        <v>403</v>
      </c>
      <c r="G309" t="s">
        <v>404</v>
      </c>
      <c r="H309" t="s">
        <v>26</v>
      </c>
      <c r="I309" t="s">
        <v>2114</v>
      </c>
      <c r="J309" t="s">
        <v>2110</v>
      </c>
      <c r="K309">
        <v>289.2</v>
      </c>
      <c r="L309">
        <f t="shared" si="8"/>
        <v>28920</v>
      </c>
      <c r="M309">
        <f t="shared" si="9"/>
        <v>5784</v>
      </c>
    </row>
    <row r="310" spans="1:13" x14ac:dyDescent="0.3">
      <c r="A310">
        <v>309</v>
      </c>
      <c r="B310" t="s">
        <v>405</v>
      </c>
      <c r="C310" s="1">
        <v>43205</v>
      </c>
      <c r="D310" s="1">
        <v>43207</v>
      </c>
      <c r="E310" t="s">
        <v>2120</v>
      </c>
      <c r="F310" t="s">
        <v>406</v>
      </c>
      <c r="G310" t="s">
        <v>407</v>
      </c>
      <c r="H310" t="s">
        <v>6</v>
      </c>
      <c r="I310" t="s">
        <v>2115</v>
      </c>
      <c r="J310" t="s">
        <v>2110</v>
      </c>
      <c r="K310">
        <v>4.8899999999999997</v>
      </c>
      <c r="L310">
        <f t="shared" si="8"/>
        <v>488.99999999999994</v>
      </c>
      <c r="M310">
        <f t="shared" si="9"/>
        <v>97.8</v>
      </c>
    </row>
    <row r="311" spans="1:13" x14ac:dyDescent="0.3">
      <c r="A311">
        <v>310</v>
      </c>
      <c r="B311" t="s">
        <v>408</v>
      </c>
      <c r="C311" s="1">
        <v>42990</v>
      </c>
      <c r="D311" s="1">
        <v>42992</v>
      </c>
      <c r="E311" t="s">
        <v>2119</v>
      </c>
      <c r="F311" t="s">
        <v>409</v>
      </c>
      <c r="G311" t="s">
        <v>410</v>
      </c>
      <c r="H311" t="s">
        <v>10</v>
      </c>
      <c r="I311" t="s">
        <v>2112</v>
      </c>
      <c r="J311" t="s">
        <v>2109</v>
      </c>
      <c r="K311">
        <v>15.135999999999999</v>
      </c>
      <c r="L311">
        <f t="shared" si="8"/>
        <v>1513.6</v>
      </c>
      <c r="M311">
        <f t="shared" si="9"/>
        <v>302.71999999999997</v>
      </c>
    </row>
    <row r="312" spans="1:13" x14ac:dyDescent="0.3">
      <c r="A312">
        <v>311</v>
      </c>
      <c r="B312" t="s">
        <v>408</v>
      </c>
      <c r="C312" s="1">
        <v>42990</v>
      </c>
      <c r="D312" s="1">
        <v>42992</v>
      </c>
      <c r="E312" t="s">
        <v>2119</v>
      </c>
      <c r="F312" t="s">
        <v>409</v>
      </c>
      <c r="G312" t="s">
        <v>410</v>
      </c>
      <c r="H312" t="s">
        <v>10</v>
      </c>
      <c r="I312" t="s">
        <v>2112</v>
      </c>
      <c r="J312" t="s">
        <v>2109</v>
      </c>
      <c r="K312">
        <v>466.76799999999997</v>
      </c>
      <c r="L312">
        <f t="shared" si="8"/>
        <v>46676.799999999996</v>
      </c>
      <c r="M312">
        <f t="shared" si="9"/>
        <v>9335.3599999999988</v>
      </c>
    </row>
    <row r="313" spans="1:13" x14ac:dyDescent="0.3">
      <c r="A313">
        <v>312</v>
      </c>
      <c r="B313" t="s">
        <v>408</v>
      </c>
      <c r="C313" s="1">
        <v>42990</v>
      </c>
      <c r="D313" s="1">
        <v>42992</v>
      </c>
      <c r="E313" t="s">
        <v>2119</v>
      </c>
      <c r="F313" t="s">
        <v>409</v>
      </c>
      <c r="G313" t="s">
        <v>410</v>
      </c>
      <c r="H313" t="s">
        <v>10</v>
      </c>
      <c r="I313" t="s">
        <v>2112</v>
      </c>
      <c r="J313" t="s">
        <v>2109</v>
      </c>
      <c r="K313">
        <v>15.231999999999999</v>
      </c>
      <c r="L313">
        <f t="shared" si="8"/>
        <v>1523.1999999999998</v>
      </c>
      <c r="M313">
        <f t="shared" si="9"/>
        <v>304.64</v>
      </c>
    </row>
    <row r="314" spans="1:13" x14ac:dyDescent="0.3">
      <c r="A314">
        <v>313</v>
      </c>
      <c r="B314" t="s">
        <v>408</v>
      </c>
      <c r="C314" s="1">
        <v>42990</v>
      </c>
      <c r="D314" s="1">
        <v>42992</v>
      </c>
      <c r="E314" t="s">
        <v>2119</v>
      </c>
      <c r="F314" t="s">
        <v>409</v>
      </c>
      <c r="G314" t="s">
        <v>410</v>
      </c>
      <c r="H314" t="s">
        <v>10</v>
      </c>
      <c r="I314" t="s">
        <v>2112</v>
      </c>
      <c r="J314" t="s">
        <v>2110</v>
      </c>
      <c r="K314">
        <v>6.2640000000000002</v>
      </c>
      <c r="L314">
        <f t="shared" si="8"/>
        <v>626.4</v>
      </c>
      <c r="M314">
        <f t="shared" si="9"/>
        <v>125.28</v>
      </c>
    </row>
    <row r="315" spans="1:13" x14ac:dyDescent="0.3">
      <c r="A315">
        <v>314</v>
      </c>
      <c r="B315" t="s">
        <v>411</v>
      </c>
      <c r="C315" s="1">
        <v>42274</v>
      </c>
      <c r="D315" s="1">
        <v>42280</v>
      </c>
      <c r="E315" t="s">
        <v>2118</v>
      </c>
      <c r="F315" t="s">
        <v>412</v>
      </c>
      <c r="G315" t="s">
        <v>413</v>
      </c>
      <c r="H315" t="s">
        <v>10</v>
      </c>
      <c r="I315" t="s">
        <v>2114</v>
      </c>
      <c r="J315" t="s">
        <v>2109</v>
      </c>
      <c r="K315">
        <v>87.54</v>
      </c>
      <c r="L315">
        <f t="shared" si="8"/>
        <v>8754</v>
      </c>
      <c r="M315">
        <f t="shared" si="9"/>
        <v>1750.8000000000002</v>
      </c>
    </row>
    <row r="316" spans="1:13" x14ac:dyDescent="0.3">
      <c r="A316">
        <v>315</v>
      </c>
      <c r="B316" t="s">
        <v>414</v>
      </c>
      <c r="C316" s="1">
        <v>42225</v>
      </c>
      <c r="D316" s="1">
        <v>42232</v>
      </c>
      <c r="E316" t="s">
        <v>2118</v>
      </c>
      <c r="F316" t="s">
        <v>415</v>
      </c>
      <c r="G316" t="s">
        <v>416</v>
      </c>
      <c r="H316" t="s">
        <v>10</v>
      </c>
      <c r="I316" t="s">
        <v>2115</v>
      </c>
      <c r="J316" t="s">
        <v>2111</v>
      </c>
      <c r="K316">
        <v>178.38399999999999</v>
      </c>
      <c r="L316">
        <f t="shared" si="8"/>
        <v>17838.399999999998</v>
      </c>
      <c r="M316">
        <f t="shared" si="9"/>
        <v>3567.68</v>
      </c>
    </row>
    <row r="317" spans="1:13" x14ac:dyDescent="0.3">
      <c r="A317">
        <v>316</v>
      </c>
      <c r="B317" t="s">
        <v>414</v>
      </c>
      <c r="C317" s="1">
        <v>42225</v>
      </c>
      <c r="D317" s="1">
        <v>42232</v>
      </c>
      <c r="E317" t="s">
        <v>2118</v>
      </c>
      <c r="F317" t="s">
        <v>415</v>
      </c>
      <c r="G317" t="s">
        <v>416</v>
      </c>
      <c r="H317" t="s">
        <v>10</v>
      </c>
      <c r="I317" t="s">
        <v>2115</v>
      </c>
      <c r="J317" t="s">
        <v>2110</v>
      </c>
      <c r="K317">
        <v>15.552</v>
      </c>
      <c r="L317">
        <f t="shared" si="8"/>
        <v>1555.2</v>
      </c>
      <c r="M317">
        <f t="shared" si="9"/>
        <v>311.04000000000002</v>
      </c>
    </row>
    <row r="318" spans="1:13" x14ac:dyDescent="0.3">
      <c r="A318">
        <v>317</v>
      </c>
      <c r="B318" t="s">
        <v>417</v>
      </c>
      <c r="C318" s="1">
        <v>42366</v>
      </c>
      <c r="D318" s="1">
        <v>42368</v>
      </c>
      <c r="E318" t="s">
        <v>2120</v>
      </c>
      <c r="F318" t="s">
        <v>418</v>
      </c>
      <c r="G318" t="s">
        <v>419</v>
      </c>
      <c r="H318" t="s">
        <v>10</v>
      </c>
      <c r="I318" t="s">
        <v>2114</v>
      </c>
      <c r="J318" t="s">
        <v>2110</v>
      </c>
      <c r="K318">
        <v>99.135999999999996</v>
      </c>
      <c r="L318">
        <f t="shared" si="8"/>
        <v>9913.6</v>
      </c>
      <c r="M318">
        <f t="shared" si="9"/>
        <v>1982.7200000000003</v>
      </c>
    </row>
    <row r="319" spans="1:13" x14ac:dyDescent="0.3">
      <c r="A319">
        <v>318</v>
      </c>
      <c r="B319" t="s">
        <v>420</v>
      </c>
      <c r="C319" s="1">
        <v>42312</v>
      </c>
      <c r="D319" s="1">
        <v>42317</v>
      </c>
      <c r="E319" t="s">
        <v>2118</v>
      </c>
      <c r="F319" t="s">
        <v>421</v>
      </c>
      <c r="G319" t="s">
        <v>422</v>
      </c>
      <c r="H319" t="s">
        <v>26</v>
      </c>
      <c r="I319" t="s">
        <v>2114</v>
      </c>
      <c r="J319" t="s">
        <v>2109</v>
      </c>
      <c r="K319">
        <v>135.88200000000001</v>
      </c>
      <c r="L319">
        <f t="shared" si="8"/>
        <v>13588.2</v>
      </c>
      <c r="M319">
        <f t="shared" si="9"/>
        <v>2717.6400000000003</v>
      </c>
    </row>
    <row r="320" spans="1:13" x14ac:dyDescent="0.3">
      <c r="A320">
        <v>319</v>
      </c>
      <c r="B320" t="s">
        <v>420</v>
      </c>
      <c r="C320" s="1">
        <v>42312</v>
      </c>
      <c r="D320" s="1">
        <v>42317</v>
      </c>
      <c r="E320" t="s">
        <v>2118</v>
      </c>
      <c r="F320" t="s">
        <v>421</v>
      </c>
      <c r="G320" t="s">
        <v>422</v>
      </c>
      <c r="H320" t="s">
        <v>26</v>
      </c>
      <c r="I320" t="s">
        <v>2114</v>
      </c>
      <c r="J320" t="s">
        <v>2111</v>
      </c>
      <c r="K320">
        <v>3991.98</v>
      </c>
      <c r="L320">
        <f t="shared" si="8"/>
        <v>399198</v>
      </c>
      <c r="M320">
        <f t="shared" si="9"/>
        <v>79839.600000000006</v>
      </c>
    </row>
    <row r="321" spans="1:13" x14ac:dyDescent="0.3">
      <c r="A321">
        <v>320</v>
      </c>
      <c r="B321" t="s">
        <v>420</v>
      </c>
      <c r="C321" s="1">
        <v>42312</v>
      </c>
      <c r="D321" s="1">
        <v>42317</v>
      </c>
      <c r="E321" t="s">
        <v>2118</v>
      </c>
      <c r="F321" t="s">
        <v>421</v>
      </c>
      <c r="G321" t="s">
        <v>422</v>
      </c>
      <c r="H321" t="s">
        <v>26</v>
      </c>
      <c r="I321" t="s">
        <v>2114</v>
      </c>
      <c r="J321" t="s">
        <v>2111</v>
      </c>
      <c r="K321">
        <v>275.94</v>
      </c>
      <c r="L321">
        <f t="shared" si="8"/>
        <v>27594</v>
      </c>
      <c r="M321">
        <f t="shared" si="9"/>
        <v>5518.8</v>
      </c>
    </row>
    <row r="322" spans="1:13" x14ac:dyDescent="0.3">
      <c r="A322">
        <v>321</v>
      </c>
      <c r="B322" t="s">
        <v>420</v>
      </c>
      <c r="C322" s="1">
        <v>42312</v>
      </c>
      <c r="D322" s="1">
        <v>42317</v>
      </c>
      <c r="E322" t="s">
        <v>2118</v>
      </c>
      <c r="F322" t="s">
        <v>421</v>
      </c>
      <c r="G322" t="s">
        <v>422</v>
      </c>
      <c r="H322" t="s">
        <v>26</v>
      </c>
      <c r="I322" t="s">
        <v>2114</v>
      </c>
      <c r="J322" t="s">
        <v>2111</v>
      </c>
      <c r="K322">
        <v>360</v>
      </c>
      <c r="L322">
        <f t="shared" ref="L322:L385" si="10">K322*100</f>
        <v>36000</v>
      </c>
      <c r="M322">
        <f t="shared" si="9"/>
        <v>7200</v>
      </c>
    </row>
    <row r="323" spans="1:13" x14ac:dyDescent="0.3">
      <c r="A323">
        <v>322</v>
      </c>
      <c r="B323" t="s">
        <v>420</v>
      </c>
      <c r="C323" s="1">
        <v>42312</v>
      </c>
      <c r="D323" s="1">
        <v>42317</v>
      </c>
      <c r="E323" t="s">
        <v>2118</v>
      </c>
      <c r="F323" t="s">
        <v>421</v>
      </c>
      <c r="G323" t="s">
        <v>422</v>
      </c>
      <c r="H323" t="s">
        <v>26</v>
      </c>
      <c r="I323" t="s">
        <v>2114</v>
      </c>
      <c r="J323" t="s">
        <v>2110</v>
      </c>
      <c r="K323">
        <v>43.57</v>
      </c>
      <c r="L323">
        <f t="shared" si="10"/>
        <v>4357</v>
      </c>
      <c r="M323">
        <f t="shared" ref="M323:M386" si="11">L323*0.2</f>
        <v>871.40000000000009</v>
      </c>
    </row>
    <row r="324" spans="1:13" x14ac:dyDescent="0.3">
      <c r="A324">
        <v>323</v>
      </c>
      <c r="B324" t="s">
        <v>423</v>
      </c>
      <c r="C324" s="1">
        <v>42266</v>
      </c>
      <c r="D324" s="1">
        <v>42271</v>
      </c>
      <c r="E324" t="s">
        <v>2118</v>
      </c>
      <c r="F324" t="s">
        <v>424</v>
      </c>
      <c r="G324" t="s">
        <v>425</v>
      </c>
      <c r="H324" t="s">
        <v>10</v>
      </c>
      <c r="I324" t="s">
        <v>2112</v>
      </c>
      <c r="J324" t="s">
        <v>2110</v>
      </c>
      <c r="K324">
        <v>7.16</v>
      </c>
      <c r="L324">
        <f t="shared" si="10"/>
        <v>716</v>
      </c>
      <c r="M324">
        <f t="shared" si="11"/>
        <v>143.20000000000002</v>
      </c>
    </row>
    <row r="325" spans="1:13" x14ac:dyDescent="0.3">
      <c r="A325">
        <v>324</v>
      </c>
      <c r="B325" t="s">
        <v>426</v>
      </c>
      <c r="C325" s="1">
        <v>42848</v>
      </c>
      <c r="D325" s="1">
        <v>42852</v>
      </c>
      <c r="E325" t="s">
        <v>2118</v>
      </c>
      <c r="F325" t="s">
        <v>427</v>
      </c>
      <c r="G325" t="s">
        <v>428</v>
      </c>
      <c r="H325" t="s">
        <v>10</v>
      </c>
      <c r="I325" t="s">
        <v>2112</v>
      </c>
      <c r="J325" t="s">
        <v>2110</v>
      </c>
      <c r="K325">
        <v>251.52</v>
      </c>
      <c r="L325">
        <f t="shared" si="10"/>
        <v>25152</v>
      </c>
      <c r="M325">
        <f t="shared" si="11"/>
        <v>5030.4000000000005</v>
      </c>
    </row>
    <row r="326" spans="1:13" x14ac:dyDescent="0.3">
      <c r="A326">
        <v>325</v>
      </c>
      <c r="B326" t="s">
        <v>426</v>
      </c>
      <c r="C326" s="1">
        <v>42848</v>
      </c>
      <c r="D326" s="1">
        <v>42852</v>
      </c>
      <c r="E326" t="s">
        <v>2118</v>
      </c>
      <c r="F326" t="s">
        <v>427</v>
      </c>
      <c r="G326" t="s">
        <v>428</v>
      </c>
      <c r="H326" t="s">
        <v>10</v>
      </c>
      <c r="I326" t="s">
        <v>2112</v>
      </c>
      <c r="J326" t="s">
        <v>2111</v>
      </c>
      <c r="K326">
        <v>99.99</v>
      </c>
      <c r="L326">
        <f t="shared" si="10"/>
        <v>9999</v>
      </c>
      <c r="M326">
        <f t="shared" si="11"/>
        <v>1999.8000000000002</v>
      </c>
    </row>
    <row r="327" spans="1:13" x14ac:dyDescent="0.3">
      <c r="A327">
        <v>326</v>
      </c>
      <c r="B327" t="s">
        <v>429</v>
      </c>
      <c r="C327" s="1">
        <v>43407</v>
      </c>
      <c r="D327" s="1">
        <v>43409</v>
      </c>
      <c r="E327" t="s">
        <v>2119</v>
      </c>
      <c r="F327" t="s">
        <v>430</v>
      </c>
      <c r="G327" t="s">
        <v>431</v>
      </c>
      <c r="H327" t="s">
        <v>10</v>
      </c>
      <c r="I327" t="s">
        <v>2115</v>
      </c>
      <c r="J327" t="s">
        <v>2109</v>
      </c>
      <c r="K327">
        <v>15.992000000000001</v>
      </c>
      <c r="L327">
        <f t="shared" si="10"/>
        <v>1599.2</v>
      </c>
      <c r="M327">
        <f t="shared" si="11"/>
        <v>319.84000000000003</v>
      </c>
    </row>
    <row r="328" spans="1:13" x14ac:dyDescent="0.3">
      <c r="A328">
        <v>327</v>
      </c>
      <c r="B328" t="s">
        <v>432</v>
      </c>
      <c r="C328" s="1">
        <v>42977</v>
      </c>
      <c r="D328" s="1">
        <v>42979</v>
      </c>
      <c r="E328" t="s">
        <v>2120</v>
      </c>
      <c r="F328" t="s">
        <v>433</v>
      </c>
      <c r="G328" t="s">
        <v>434</v>
      </c>
      <c r="H328" t="s">
        <v>6</v>
      </c>
      <c r="I328" t="s">
        <v>2114</v>
      </c>
      <c r="J328" t="s">
        <v>2111</v>
      </c>
      <c r="K328">
        <v>290.89800000000002</v>
      </c>
      <c r="L328">
        <f t="shared" si="10"/>
        <v>29089.800000000003</v>
      </c>
      <c r="M328">
        <f t="shared" si="11"/>
        <v>5817.9600000000009</v>
      </c>
    </row>
    <row r="329" spans="1:13" x14ac:dyDescent="0.3">
      <c r="A329">
        <v>328</v>
      </c>
      <c r="B329" t="s">
        <v>432</v>
      </c>
      <c r="C329" s="1">
        <v>42977</v>
      </c>
      <c r="D329" s="1">
        <v>42979</v>
      </c>
      <c r="E329" t="s">
        <v>2120</v>
      </c>
      <c r="F329" t="s">
        <v>433</v>
      </c>
      <c r="G329" t="s">
        <v>434</v>
      </c>
      <c r="H329" t="s">
        <v>6</v>
      </c>
      <c r="I329" t="s">
        <v>2114</v>
      </c>
      <c r="J329" t="s">
        <v>2110</v>
      </c>
      <c r="K329">
        <v>54.223999999999997</v>
      </c>
      <c r="L329">
        <f t="shared" si="10"/>
        <v>5422.4</v>
      </c>
      <c r="M329">
        <f t="shared" si="11"/>
        <v>1084.48</v>
      </c>
    </row>
    <row r="330" spans="1:13" x14ac:dyDescent="0.3">
      <c r="A330">
        <v>329</v>
      </c>
      <c r="B330" t="s">
        <v>432</v>
      </c>
      <c r="C330" s="1">
        <v>42977</v>
      </c>
      <c r="D330" s="1">
        <v>42979</v>
      </c>
      <c r="E330" t="s">
        <v>2120</v>
      </c>
      <c r="F330" t="s">
        <v>433</v>
      </c>
      <c r="G330" t="s">
        <v>434</v>
      </c>
      <c r="H330" t="s">
        <v>6</v>
      </c>
      <c r="I330" t="s">
        <v>2114</v>
      </c>
      <c r="J330" t="s">
        <v>2109</v>
      </c>
      <c r="K330">
        <v>786.74400000000003</v>
      </c>
      <c r="L330">
        <f t="shared" si="10"/>
        <v>78674.400000000009</v>
      </c>
      <c r="M330">
        <f t="shared" si="11"/>
        <v>15734.880000000003</v>
      </c>
    </row>
    <row r="331" spans="1:13" x14ac:dyDescent="0.3">
      <c r="A331">
        <v>330</v>
      </c>
      <c r="B331" t="s">
        <v>432</v>
      </c>
      <c r="C331" s="1">
        <v>42977</v>
      </c>
      <c r="D331" s="1">
        <v>42979</v>
      </c>
      <c r="E331" t="s">
        <v>2120</v>
      </c>
      <c r="F331" t="s">
        <v>433</v>
      </c>
      <c r="G331" t="s">
        <v>434</v>
      </c>
      <c r="H331" t="s">
        <v>6</v>
      </c>
      <c r="I331" t="s">
        <v>2114</v>
      </c>
      <c r="J331" t="s">
        <v>2110</v>
      </c>
      <c r="K331">
        <v>100.24</v>
      </c>
      <c r="L331">
        <f t="shared" si="10"/>
        <v>10024</v>
      </c>
      <c r="M331">
        <f t="shared" si="11"/>
        <v>2004.8000000000002</v>
      </c>
    </row>
    <row r="332" spans="1:13" x14ac:dyDescent="0.3">
      <c r="A332">
        <v>331</v>
      </c>
      <c r="B332" t="s">
        <v>432</v>
      </c>
      <c r="C332" s="1">
        <v>42977</v>
      </c>
      <c r="D332" s="1">
        <v>42979</v>
      </c>
      <c r="E332" t="s">
        <v>2120</v>
      </c>
      <c r="F332" t="s">
        <v>433</v>
      </c>
      <c r="G332" t="s">
        <v>434</v>
      </c>
      <c r="H332" t="s">
        <v>6</v>
      </c>
      <c r="I332" t="s">
        <v>2114</v>
      </c>
      <c r="J332" t="s">
        <v>2110</v>
      </c>
      <c r="K332">
        <v>37.764000000000003</v>
      </c>
      <c r="L332">
        <f t="shared" si="10"/>
        <v>3776.4</v>
      </c>
      <c r="M332">
        <f t="shared" si="11"/>
        <v>755.28000000000009</v>
      </c>
    </row>
    <row r="333" spans="1:13" x14ac:dyDescent="0.3">
      <c r="A333">
        <v>332</v>
      </c>
      <c r="B333" t="s">
        <v>435</v>
      </c>
      <c r="C333" s="1">
        <v>42850</v>
      </c>
      <c r="D333" s="1">
        <v>42854</v>
      </c>
      <c r="E333" t="s">
        <v>2119</v>
      </c>
      <c r="F333" t="s">
        <v>436</v>
      </c>
      <c r="G333" t="s">
        <v>437</v>
      </c>
      <c r="H333" t="s">
        <v>6</v>
      </c>
      <c r="I333" t="s">
        <v>2114</v>
      </c>
      <c r="J333" t="s">
        <v>2111</v>
      </c>
      <c r="K333">
        <v>82.8</v>
      </c>
      <c r="L333">
        <f t="shared" si="10"/>
        <v>8280</v>
      </c>
      <c r="M333">
        <f t="shared" si="11"/>
        <v>1656</v>
      </c>
    </row>
    <row r="334" spans="1:13" x14ac:dyDescent="0.3">
      <c r="A334">
        <v>333</v>
      </c>
      <c r="B334" t="s">
        <v>435</v>
      </c>
      <c r="C334" s="1">
        <v>42850</v>
      </c>
      <c r="D334" s="1">
        <v>42854</v>
      </c>
      <c r="E334" t="s">
        <v>2119</v>
      </c>
      <c r="F334" t="s">
        <v>436</v>
      </c>
      <c r="G334" t="s">
        <v>437</v>
      </c>
      <c r="H334" t="s">
        <v>6</v>
      </c>
      <c r="I334" t="s">
        <v>2114</v>
      </c>
      <c r="J334" t="s">
        <v>2110</v>
      </c>
      <c r="K334">
        <v>20.724</v>
      </c>
      <c r="L334">
        <f t="shared" si="10"/>
        <v>2072.4</v>
      </c>
      <c r="M334">
        <f t="shared" si="11"/>
        <v>414.48</v>
      </c>
    </row>
    <row r="335" spans="1:13" x14ac:dyDescent="0.3">
      <c r="A335">
        <v>334</v>
      </c>
      <c r="B335" t="s">
        <v>435</v>
      </c>
      <c r="C335" s="1">
        <v>42850</v>
      </c>
      <c r="D335" s="1">
        <v>42854</v>
      </c>
      <c r="E335" t="s">
        <v>2119</v>
      </c>
      <c r="F335" t="s">
        <v>436</v>
      </c>
      <c r="G335" t="s">
        <v>437</v>
      </c>
      <c r="H335" t="s">
        <v>6</v>
      </c>
      <c r="I335" t="s">
        <v>2114</v>
      </c>
      <c r="J335" t="s">
        <v>2110</v>
      </c>
      <c r="K335">
        <v>4.8959999999999999</v>
      </c>
      <c r="L335">
        <f t="shared" si="10"/>
        <v>489.59999999999997</v>
      </c>
      <c r="M335">
        <f t="shared" si="11"/>
        <v>97.92</v>
      </c>
    </row>
    <row r="336" spans="1:13" x14ac:dyDescent="0.3">
      <c r="A336">
        <v>335</v>
      </c>
      <c r="B336" t="s">
        <v>438</v>
      </c>
      <c r="C336" s="1">
        <v>42614</v>
      </c>
      <c r="D336" s="1">
        <v>42617</v>
      </c>
      <c r="E336" t="s">
        <v>2119</v>
      </c>
      <c r="F336" t="s">
        <v>439</v>
      </c>
      <c r="G336" t="s">
        <v>440</v>
      </c>
      <c r="H336" t="s">
        <v>6</v>
      </c>
      <c r="I336" t="s">
        <v>2112</v>
      </c>
      <c r="J336" t="s">
        <v>2110</v>
      </c>
      <c r="K336">
        <v>4.7519999999999998</v>
      </c>
      <c r="L336">
        <f t="shared" si="10"/>
        <v>475.2</v>
      </c>
      <c r="M336">
        <f t="shared" si="11"/>
        <v>95.04</v>
      </c>
    </row>
    <row r="337" spans="1:13" x14ac:dyDescent="0.3">
      <c r="A337">
        <v>336</v>
      </c>
      <c r="B337" t="s">
        <v>438</v>
      </c>
      <c r="C337" s="1">
        <v>42614</v>
      </c>
      <c r="D337" s="1">
        <v>42617</v>
      </c>
      <c r="E337" t="s">
        <v>2119</v>
      </c>
      <c r="F337" t="s">
        <v>439</v>
      </c>
      <c r="G337" t="s">
        <v>440</v>
      </c>
      <c r="H337" t="s">
        <v>6</v>
      </c>
      <c r="I337" t="s">
        <v>2112</v>
      </c>
      <c r="J337" t="s">
        <v>2111</v>
      </c>
      <c r="K337">
        <v>959.98400000000004</v>
      </c>
      <c r="L337">
        <f t="shared" si="10"/>
        <v>95998.400000000009</v>
      </c>
      <c r="M337">
        <f t="shared" si="11"/>
        <v>19199.680000000004</v>
      </c>
    </row>
    <row r="338" spans="1:13" x14ac:dyDescent="0.3">
      <c r="A338">
        <v>337</v>
      </c>
      <c r="B338" t="s">
        <v>438</v>
      </c>
      <c r="C338" s="1">
        <v>42614</v>
      </c>
      <c r="D338" s="1">
        <v>42617</v>
      </c>
      <c r="E338" t="s">
        <v>2119</v>
      </c>
      <c r="F338" t="s">
        <v>439</v>
      </c>
      <c r="G338" t="s">
        <v>440</v>
      </c>
      <c r="H338" t="s">
        <v>6</v>
      </c>
      <c r="I338" t="s">
        <v>2112</v>
      </c>
      <c r="J338" t="s">
        <v>2110</v>
      </c>
      <c r="K338">
        <v>14.368</v>
      </c>
      <c r="L338">
        <f t="shared" si="10"/>
        <v>1436.8</v>
      </c>
      <c r="M338">
        <f t="shared" si="11"/>
        <v>287.36</v>
      </c>
    </row>
    <row r="339" spans="1:13" x14ac:dyDescent="0.3">
      <c r="A339">
        <v>338</v>
      </c>
      <c r="B339" t="s">
        <v>441</v>
      </c>
      <c r="C339" s="1">
        <v>42197</v>
      </c>
      <c r="D339" s="1">
        <v>42202</v>
      </c>
      <c r="E339" t="s">
        <v>2118</v>
      </c>
      <c r="F339" t="s">
        <v>442</v>
      </c>
      <c r="G339" t="s">
        <v>443</v>
      </c>
      <c r="H339" t="s">
        <v>10</v>
      </c>
      <c r="I339" t="s">
        <v>2112</v>
      </c>
      <c r="J339" t="s">
        <v>2110</v>
      </c>
      <c r="K339">
        <v>7.7119999999999997</v>
      </c>
      <c r="L339">
        <f t="shared" si="10"/>
        <v>771.19999999999993</v>
      </c>
      <c r="M339">
        <f t="shared" si="11"/>
        <v>154.24</v>
      </c>
    </row>
    <row r="340" spans="1:13" x14ac:dyDescent="0.3">
      <c r="A340">
        <v>339</v>
      </c>
      <c r="B340" t="s">
        <v>441</v>
      </c>
      <c r="C340" s="1">
        <v>42197</v>
      </c>
      <c r="D340" s="1">
        <v>42202</v>
      </c>
      <c r="E340" t="s">
        <v>2118</v>
      </c>
      <c r="F340" t="s">
        <v>442</v>
      </c>
      <c r="G340" t="s">
        <v>443</v>
      </c>
      <c r="H340" t="s">
        <v>10</v>
      </c>
      <c r="I340" t="s">
        <v>2112</v>
      </c>
      <c r="J340" t="s">
        <v>2109</v>
      </c>
      <c r="K340">
        <v>698.35199999999998</v>
      </c>
      <c r="L340">
        <f t="shared" si="10"/>
        <v>69835.199999999997</v>
      </c>
      <c r="M340">
        <f t="shared" si="11"/>
        <v>13967.04</v>
      </c>
    </row>
    <row r="341" spans="1:13" x14ac:dyDescent="0.3">
      <c r="A341">
        <v>340</v>
      </c>
      <c r="B341" t="s">
        <v>444</v>
      </c>
      <c r="C341" s="1">
        <v>42543</v>
      </c>
      <c r="D341" s="1">
        <v>42547</v>
      </c>
      <c r="E341" t="s">
        <v>2119</v>
      </c>
      <c r="F341" t="s">
        <v>333</v>
      </c>
      <c r="G341" t="s">
        <v>334</v>
      </c>
      <c r="H341" t="s">
        <v>6</v>
      </c>
      <c r="I341" t="s">
        <v>2112</v>
      </c>
      <c r="J341" t="s">
        <v>2110</v>
      </c>
      <c r="K341">
        <v>4.96</v>
      </c>
      <c r="L341">
        <f t="shared" si="10"/>
        <v>496</v>
      </c>
      <c r="M341">
        <f t="shared" si="11"/>
        <v>99.2</v>
      </c>
    </row>
    <row r="342" spans="1:13" x14ac:dyDescent="0.3">
      <c r="A342">
        <v>341</v>
      </c>
      <c r="B342" t="s">
        <v>445</v>
      </c>
      <c r="C342" s="1">
        <v>42107</v>
      </c>
      <c r="D342" s="1">
        <v>42111</v>
      </c>
      <c r="E342" t="s">
        <v>2119</v>
      </c>
      <c r="F342" t="s">
        <v>199</v>
      </c>
      <c r="G342" t="s">
        <v>200</v>
      </c>
      <c r="H342" t="s">
        <v>10</v>
      </c>
      <c r="I342" t="s">
        <v>2114</v>
      </c>
      <c r="J342" t="s">
        <v>2110</v>
      </c>
      <c r="K342">
        <v>17.856000000000002</v>
      </c>
      <c r="L342">
        <f t="shared" si="10"/>
        <v>1785.6000000000001</v>
      </c>
      <c r="M342">
        <f t="shared" si="11"/>
        <v>357.12000000000006</v>
      </c>
    </row>
    <row r="343" spans="1:13" x14ac:dyDescent="0.3">
      <c r="A343">
        <v>342</v>
      </c>
      <c r="B343" t="s">
        <v>445</v>
      </c>
      <c r="C343" s="1">
        <v>42107</v>
      </c>
      <c r="D343" s="1">
        <v>42111</v>
      </c>
      <c r="E343" t="s">
        <v>2119</v>
      </c>
      <c r="F343" t="s">
        <v>199</v>
      </c>
      <c r="G343" t="s">
        <v>200</v>
      </c>
      <c r="H343" t="s">
        <v>10</v>
      </c>
      <c r="I343" t="s">
        <v>2114</v>
      </c>
      <c r="J343" t="s">
        <v>2110</v>
      </c>
      <c r="K343">
        <v>509.97</v>
      </c>
      <c r="L343">
        <f t="shared" si="10"/>
        <v>50997</v>
      </c>
      <c r="M343">
        <f t="shared" si="11"/>
        <v>10199.400000000001</v>
      </c>
    </row>
    <row r="344" spans="1:13" x14ac:dyDescent="0.3">
      <c r="A344">
        <v>343</v>
      </c>
      <c r="B344" t="s">
        <v>445</v>
      </c>
      <c r="C344" s="1">
        <v>42107</v>
      </c>
      <c r="D344" s="1">
        <v>42111</v>
      </c>
      <c r="E344" t="s">
        <v>2119</v>
      </c>
      <c r="F344" t="s">
        <v>199</v>
      </c>
      <c r="G344" t="s">
        <v>200</v>
      </c>
      <c r="H344" t="s">
        <v>10</v>
      </c>
      <c r="I344" t="s">
        <v>2114</v>
      </c>
      <c r="J344" t="s">
        <v>2110</v>
      </c>
      <c r="K344">
        <v>30.992000000000001</v>
      </c>
      <c r="L344">
        <f t="shared" si="10"/>
        <v>3099.2000000000003</v>
      </c>
      <c r="M344">
        <f t="shared" si="11"/>
        <v>619.84000000000015</v>
      </c>
    </row>
    <row r="345" spans="1:13" x14ac:dyDescent="0.3">
      <c r="A345">
        <v>344</v>
      </c>
      <c r="B345" t="s">
        <v>445</v>
      </c>
      <c r="C345" s="1">
        <v>42107</v>
      </c>
      <c r="D345" s="1">
        <v>42111</v>
      </c>
      <c r="E345" t="s">
        <v>2119</v>
      </c>
      <c r="F345" t="s">
        <v>199</v>
      </c>
      <c r="G345" t="s">
        <v>200</v>
      </c>
      <c r="H345" t="s">
        <v>10</v>
      </c>
      <c r="I345" t="s">
        <v>2114</v>
      </c>
      <c r="J345" t="s">
        <v>2111</v>
      </c>
      <c r="K345">
        <v>71.927999999999997</v>
      </c>
      <c r="L345">
        <f t="shared" si="10"/>
        <v>7192.7999999999993</v>
      </c>
      <c r="M345">
        <f t="shared" si="11"/>
        <v>1438.56</v>
      </c>
    </row>
    <row r="346" spans="1:13" x14ac:dyDescent="0.3">
      <c r="A346">
        <v>345</v>
      </c>
      <c r="B346" t="s">
        <v>446</v>
      </c>
      <c r="C346" s="1">
        <v>42724</v>
      </c>
      <c r="D346" s="1">
        <v>42728</v>
      </c>
      <c r="E346" t="s">
        <v>2118</v>
      </c>
      <c r="F346" t="s">
        <v>247</v>
      </c>
      <c r="G346" t="s">
        <v>248</v>
      </c>
      <c r="H346" t="s">
        <v>6</v>
      </c>
      <c r="I346" t="s">
        <v>2117</v>
      </c>
      <c r="J346" t="s">
        <v>2110</v>
      </c>
      <c r="K346">
        <v>88.8</v>
      </c>
      <c r="L346">
        <f t="shared" si="10"/>
        <v>8880</v>
      </c>
      <c r="M346">
        <f t="shared" si="11"/>
        <v>1776</v>
      </c>
    </row>
    <row r="347" spans="1:13" x14ac:dyDescent="0.3">
      <c r="A347">
        <v>346</v>
      </c>
      <c r="B347" t="s">
        <v>447</v>
      </c>
      <c r="C347" s="1">
        <v>43266</v>
      </c>
      <c r="D347" s="1">
        <v>43270</v>
      </c>
      <c r="E347" t="s">
        <v>2118</v>
      </c>
      <c r="F347" t="s">
        <v>448</v>
      </c>
      <c r="G347" t="s">
        <v>449</v>
      </c>
      <c r="H347" t="s">
        <v>6</v>
      </c>
      <c r="I347" t="s">
        <v>2112</v>
      </c>
      <c r="J347" t="s">
        <v>2111</v>
      </c>
      <c r="K347">
        <v>47.975999999999999</v>
      </c>
      <c r="L347">
        <f t="shared" si="10"/>
        <v>4797.6000000000004</v>
      </c>
      <c r="M347">
        <f t="shared" si="11"/>
        <v>959.5200000000001</v>
      </c>
    </row>
    <row r="348" spans="1:13" x14ac:dyDescent="0.3">
      <c r="A348">
        <v>347</v>
      </c>
      <c r="B348" t="s">
        <v>450</v>
      </c>
      <c r="C348" s="1">
        <v>43289</v>
      </c>
      <c r="D348" s="1">
        <v>43293</v>
      </c>
      <c r="E348" t="s">
        <v>2118</v>
      </c>
      <c r="F348" t="s">
        <v>451</v>
      </c>
      <c r="G348" t="s">
        <v>452</v>
      </c>
      <c r="H348" t="s">
        <v>6</v>
      </c>
      <c r="I348" t="s">
        <v>2114</v>
      </c>
      <c r="J348" t="s">
        <v>2110</v>
      </c>
      <c r="K348">
        <v>7.56</v>
      </c>
      <c r="L348">
        <f t="shared" si="10"/>
        <v>756</v>
      </c>
      <c r="M348">
        <f t="shared" si="11"/>
        <v>151.20000000000002</v>
      </c>
    </row>
    <row r="349" spans="1:13" x14ac:dyDescent="0.3">
      <c r="A349">
        <v>348</v>
      </c>
      <c r="B349" t="s">
        <v>450</v>
      </c>
      <c r="C349" s="1">
        <v>43289</v>
      </c>
      <c r="D349" s="1">
        <v>43293</v>
      </c>
      <c r="E349" t="s">
        <v>2118</v>
      </c>
      <c r="F349" t="s">
        <v>451</v>
      </c>
      <c r="G349" t="s">
        <v>452</v>
      </c>
      <c r="H349" t="s">
        <v>6</v>
      </c>
      <c r="I349" t="s">
        <v>2114</v>
      </c>
      <c r="J349" t="s">
        <v>2110</v>
      </c>
      <c r="K349">
        <v>24.56</v>
      </c>
      <c r="L349">
        <f t="shared" si="10"/>
        <v>2456</v>
      </c>
      <c r="M349">
        <f t="shared" si="11"/>
        <v>491.20000000000005</v>
      </c>
    </row>
    <row r="350" spans="1:13" x14ac:dyDescent="0.3">
      <c r="A350">
        <v>349</v>
      </c>
      <c r="B350" t="s">
        <v>450</v>
      </c>
      <c r="C350" s="1">
        <v>43289</v>
      </c>
      <c r="D350" s="1">
        <v>43293</v>
      </c>
      <c r="E350" t="s">
        <v>2118</v>
      </c>
      <c r="F350" t="s">
        <v>451</v>
      </c>
      <c r="G350" t="s">
        <v>452</v>
      </c>
      <c r="H350" t="s">
        <v>6</v>
      </c>
      <c r="I350" t="s">
        <v>2114</v>
      </c>
      <c r="J350" t="s">
        <v>2110</v>
      </c>
      <c r="K350">
        <v>12.96</v>
      </c>
      <c r="L350">
        <f t="shared" si="10"/>
        <v>1296</v>
      </c>
      <c r="M350">
        <f t="shared" si="11"/>
        <v>259.2</v>
      </c>
    </row>
    <row r="351" spans="1:13" x14ac:dyDescent="0.3">
      <c r="A351">
        <v>350</v>
      </c>
      <c r="B351" t="s">
        <v>453</v>
      </c>
      <c r="C351" s="1">
        <v>42979</v>
      </c>
      <c r="D351" s="1">
        <v>42981</v>
      </c>
      <c r="E351" t="s">
        <v>2120</v>
      </c>
      <c r="F351" t="s">
        <v>454</v>
      </c>
      <c r="G351" t="s">
        <v>455</v>
      </c>
      <c r="H351" t="s">
        <v>26</v>
      </c>
      <c r="I351" t="s">
        <v>2114</v>
      </c>
      <c r="J351" t="s">
        <v>2111</v>
      </c>
      <c r="K351">
        <v>6.79</v>
      </c>
      <c r="L351">
        <f t="shared" si="10"/>
        <v>679</v>
      </c>
      <c r="M351">
        <f t="shared" si="11"/>
        <v>135.80000000000001</v>
      </c>
    </row>
    <row r="352" spans="1:13" x14ac:dyDescent="0.3">
      <c r="A352">
        <v>351</v>
      </c>
      <c r="B352" t="s">
        <v>453</v>
      </c>
      <c r="C352" s="1">
        <v>42979</v>
      </c>
      <c r="D352" s="1">
        <v>42981</v>
      </c>
      <c r="E352" t="s">
        <v>2120</v>
      </c>
      <c r="F352" t="s">
        <v>454</v>
      </c>
      <c r="G352" t="s">
        <v>455</v>
      </c>
      <c r="H352" t="s">
        <v>26</v>
      </c>
      <c r="I352" t="s">
        <v>2114</v>
      </c>
      <c r="J352" t="s">
        <v>2110</v>
      </c>
      <c r="K352">
        <v>24.56</v>
      </c>
      <c r="L352">
        <f t="shared" si="10"/>
        <v>2456</v>
      </c>
      <c r="M352">
        <f t="shared" si="11"/>
        <v>491.20000000000005</v>
      </c>
    </row>
    <row r="353" spans="1:13" x14ac:dyDescent="0.3">
      <c r="A353">
        <v>352</v>
      </c>
      <c r="B353" t="s">
        <v>453</v>
      </c>
      <c r="C353" s="1">
        <v>42979</v>
      </c>
      <c r="D353" s="1">
        <v>42981</v>
      </c>
      <c r="E353" t="s">
        <v>2120</v>
      </c>
      <c r="F353" t="s">
        <v>454</v>
      </c>
      <c r="G353" t="s">
        <v>455</v>
      </c>
      <c r="H353" t="s">
        <v>26</v>
      </c>
      <c r="I353" t="s">
        <v>2114</v>
      </c>
      <c r="J353" t="s">
        <v>2110</v>
      </c>
      <c r="K353">
        <v>3.048</v>
      </c>
      <c r="L353">
        <f t="shared" si="10"/>
        <v>304.8</v>
      </c>
      <c r="M353">
        <f t="shared" si="11"/>
        <v>60.960000000000008</v>
      </c>
    </row>
    <row r="354" spans="1:13" x14ac:dyDescent="0.3">
      <c r="A354">
        <v>353</v>
      </c>
      <c r="B354" t="s">
        <v>453</v>
      </c>
      <c r="C354" s="1">
        <v>42979</v>
      </c>
      <c r="D354" s="1">
        <v>42981</v>
      </c>
      <c r="E354" t="s">
        <v>2120</v>
      </c>
      <c r="F354" t="s">
        <v>454</v>
      </c>
      <c r="G354" t="s">
        <v>455</v>
      </c>
      <c r="H354" t="s">
        <v>26</v>
      </c>
      <c r="I354" t="s">
        <v>2114</v>
      </c>
      <c r="J354" t="s">
        <v>2110</v>
      </c>
      <c r="K354">
        <v>49.12</v>
      </c>
      <c r="L354">
        <f t="shared" si="10"/>
        <v>4912</v>
      </c>
      <c r="M354">
        <f t="shared" si="11"/>
        <v>982.40000000000009</v>
      </c>
    </row>
    <row r="355" spans="1:13" x14ac:dyDescent="0.3">
      <c r="A355">
        <v>354</v>
      </c>
      <c r="B355" t="s">
        <v>453</v>
      </c>
      <c r="C355" s="1">
        <v>42979</v>
      </c>
      <c r="D355" s="1">
        <v>42981</v>
      </c>
      <c r="E355" t="s">
        <v>2120</v>
      </c>
      <c r="F355" t="s">
        <v>454</v>
      </c>
      <c r="G355" t="s">
        <v>455</v>
      </c>
      <c r="H355" t="s">
        <v>26</v>
      </c>
      <c r="I355" t="s">
        <v>2114</v>
      </c>
      <c r="J355" t="s">
        <v>2110</v>
      </c>
      <c r="K355">
        <v>4355.1679999999997</v>
      </c>
      <c r="L355">
        <f t="shared" si="10"/>
        <v>435516.8</v>
      </c>
      <c r="M355">
        <f t="shared" si="11"/>
        <v>87103.360000000001</v>
      </c>
    </row>
    <row r="356" spans="1:13" x14ac:dyDescent="0.3">
      <c r="A356">
        <v>355</v>
      </c>
      <c r="B356" t="s">
        <v>456</v>
      </c>
      <c r="C356" s="1">
        <v>42833</v>
      </c>
      <c r="D356" s="1">
        <v>42838</v>
      </c>
      <c r="E356" t="s">
        <v>2118</v>
      </c>
      <c r="F356" t="s">
        <v>457</v>
      </c>
      <c r="G356" t="s">
        <v>458</v>
      </c>
      <c r="H356" t="s">
        <v>6</v>
      </c>
      <c r="I356" t="s">
        <v>2114</v>
      </c>
      <c r="J356" t="s">
        <v>2109</v>
      </c>
      <c r="K356">
        <v>388.70400000000001</v>
      </c>
      <c r="L356">
        <f t="shared" si="10"/>
        <v>38870.400000000001</v>
      </c>
      <c r="M356">
        <f t="shared" si="11"/>
        <v>7774.0800000000008</v>
      </c>
    </row>
    <row r="357" spans="1:13" x14ac:dyDescent="0.3">
      <c r="A357">
        <v>356</v>
      </c>
      <c r="B357" t="s">
        <v>456</v>
      </c>
      <c r="C357" s="1">
        <v>42833</v>
      </c>
      <c r="D357" s="1">
        <v>42838</v>
      </c>
      <c r="E357" t="s">
        <v>2118</v>
      </c>
      <c r="F357" t="s">
        <v>457</v>
      </c>
      <c r="G357" t="s">
        <v>458</v>
      </c>
      <c r="H357" t="s">
        <v>6</v>
      </c>
      <c r="I357" t="s">
        <v>2114</v>
      </c>
      <c r="J357" t="s">
        <v>2110</v>
      </c>
      <c r="K357">
        <v>8.26</v>
      </c>
      <c r="L357">
        <f t="shared" si="10"/>
        <v>826</v>
      </c>
      <c r="M357">
        <f t="shared" si="11"/>
        <v>165.20000000000002</v>
      </c>
    </row>
    <row r="358" spans="1:13" x14ac:dyDescent="0.3">
      <c r="A358">
        <v>357</v>
      </c>
      <c r="B358" t="s">
        <v>456</v>
      </c>
      <c r="C358" s="1">
        <v>42833</v>
      </c>
      <c r="D358" s="1">
        <v>42838</v>
      </c>
      <c r="E358" t="s">
        <v>2118</v>
      </c>
      <c r="F358" t="s">
        <v>457</v>
      </c>
      <c r="G358" t="s">
        <v>458</v>
      </c>
      <c r="H358" t="s">
        <v>6</v>
      </c>
      <c r="I358" t="s">
        <v>2114</v>
      </c>
      <c r="J358" t="s">
        <v>2110</v>
      </c>
      <c r="K358">
        <v>17.04</v>
      </c>
      <c r="L358">
        <f t="shared" si="10"/>
        <v>1704</v>
      </c>
      <c r="M358">
        <f t="shared" si="11"/>
        <v>340.8</v>
      </c>
    </row>
    <row r="359" spans="1:13" x14ac:dyDescent="0.3">
      <c r="A359">
        <v>358</v>
      </c>
      <c r="B359" t="s">
        <v>456</v>
      </c>
      <c r="C359" s="1">
        <v>42833</v>
      </c>
      <c r="D359" s="1">
        <v>42838</v>
      </c>
      <c r="E359" t="s">
        <v>2118</v>
      </c>
      <c r="F359" t="s">
        <v>457</v>
      </c>
      <c r="G359" t="s">
        <v>458</v>
      </c>
      <c r="H359" t="s">
        <v>6</v>
      </c>
      <c r="I359" t="s">
        <v>2114</v>
      </c>
      <c r="J359" t="s">
        <v>2110</v>
      </c>
      <c r="K359">
        <v>34.4</v>
      </c>
      <c r="L359">
        <f t="shared" si="10"/>
        <v>3440</v>
      </c>
      <c r="M359">
        <f t="shared" si="11"/>
        <v>688</v>
      </c>
    </row>
    <row r="360" spans="1:13" x14ac:dyDescent="0.3">
      <c r="A360">
        <v>359</v>
      </c>
      <c r="B360" t="s">
        <v>459</v>
      </c>
      <c r="C360" s="1">
        <v>42848</v>
      </c>
      <c r="D360" s="1">
        <v>42853</v>
      </c>
      <c r="E360" t="s">
        <v>2118</v>
      </c>
      <c r="F360" t="s">
        <v>299</v>
      </c>
      <c r="G360" t="s">
        <v>300</v>
      </c>
      <c r="H360" t="s">
        <v>10</v>
      </c>
      <c r="I360" t="s">
        <v>2115</v>
      </c>
      <c r="J360" t="s">
        <v>2110</v>
      </c>
      <c r="K360">
        <v>36.24</v>
      </c>
      <c r="L360">
        <f t="shared" si="10"/>
        <v>3624</v>
      </c>
      <c r="M360">
        <f t="shared" si="11"/>
        <v>724.80000000000007</v>
      </c>
    </row>
    <row r="361" spans="1:13" x14ac:dyDescent="0.3">
      <c r="A361">
        <v>360</v>
      </c>
      <c r="B361" t="s">
        <v>460</v>
      </c>
      <c r="C361" s="1">
        <v>43167</v>
      </c>
      <c r="D361" s="1">
        <v>43170</v>
      </c>
      <c r="E361" t="s">
        <v>2120</v>
      </c>
      <c r="F361" t="s">
        <v>461</v>
      </c>
      <c r="G361" t="s">
        <v>462</v>
      </c>
      <c r="H361" t="s">
        <v>10</v>
      </c>
      <c r="I361" t="s">
        <v>2115</v>
      </c>
      <c r="J361" t="s">
        <v>2110</v>
      </c>
      <c r="K361">
        <v>647.84</v>
      </c>
      <c r="L361">
        <f t="shared" si="10"/>
        <v>64784</v>
      </c>
      <c r="M361">
        <f t="shared" si="11"/>
        <v>12956.800000000001</v>
      </c>
    </row>
    <row r="362" spans="1:13" x14ac:dyDescent="0.3">
      <c r="A362">
        <v>361</v>
      </c>
      <c r="B362" t="s">
        <v>460</v>
      </c>
      <c r="C362" s="1">
        <v>43167</v>
      </c>
      <c r="D362" s="1">
        <v>43170</v>
      </c>
      <c r="E362" t="s">
        <v>2120</v>
      </c>
      <c r="F362" t="s">
        <v>461</v>
      </c>
      <c r="G362" t="s">
        <v>462</v>
      </c>
      <c r="H362" t="s">
        <v>10</v>
      </c>
      <c r="I362" t="s">
        <v>2115</v>
      </c>
      <c r="J362" t="s">
        <v>2110</v>
      </c>
      <c r="K362">
        <v>20.7</v>
      </c>
      <c r="L362">
        <f t="shared" si="10"/>
        <v>2070</v>
      </c>
      <c r="M362">
        <f t="shared" si="11"/>
        <v>414</v>
      </c>
    </row>
    <row r="363" spans="1:13" x14ac:dyDescent="0.3">
      <c r="A363">
        <v>362</v>
      </c>
      <c r="B363" t="s">
        <v>463</v>
      </c>
      <c r="C363" s="1">
        <v>43368</v>
      </c>
      <c r="D363" s="1">
        <v>43374</v>
      </c>
      <c r="E363" t="s">
        <v>2118</v>
      </c>
      <c r="F363" t="s">
        <v>464</v>
      </c>
      <c r="G363" t="s">
        <v>465</v>
      </c>
      <c r="H363" t="s">
        <v>6</v>
      </c>
      <c r="I363" t="s">
        <v>2114</v>
      </c>
      <c r="J363" t="s">
        <v>2110</v>
      </c>
      <c r="K363">
        <v>20.7</v>
      </c>
      <c r="L363">
        <f t="shared" si="10"/>
        <v>2070</v>
      </c>
      <c r="M363">
        <f t="shared" si="11"/>
        <v>414</v>
      </c>
    </row>
    <row r="364" spans="1:13" x14ac:dyDescent="0.3">
      <c r="A364">
        <v>363</v>
      </c>
      <c r="B364" t="s">
        <v>463</v>
      </c>
      <c r="C364" s="1">
        <v>43368</v>
      </c>
      <c r="D364" s="1">
        <v>43374</v>
      </c>
      <c r="E364" t="s">
        <v>2118</v>
      </c>
      <c r="F364" t="s">
        <v>464</v>
      </c>
      <c r="G364" t="s">
        <v>465</v>
      </c>
      <c r="H364" t="s">
        <v>6</v>
      </c>
      <c r="I364" t="s">
        <v>2114</v>
      </c>
      <c r="J364" t="s">
        <v>2109</v>
      </c>
      <c r="K364">
        <v>488.64600000000002</v>
      </c>
      <c r="L364">
        <f t="shared" si="10"/>
        <v>48864.6</v>
      </c>
      <c r="M364">
        <f t="shared" si="11"/>
        <v>9772.92</v>
      </c>
    </row>
    <row r="365" spans="1:13" x14ac:dyDescent="0.3">
      <c r="A365">
        <v>364</v>
      </c>
      <c r="B365" t="s">
        <v>463</v>
      </c>
      <c r="C365" s="1">
        <v>43368</v>
      </c>
      <c r="D365" s="1">
        <v>43374</v>
      </c>
      <c r="E365" t="s">
        <v>2118</v>
      </c>
      <c r="F365" t="s">
        <v>464</v>
      </c>
      <c r="G365" t="s">
        <v>465</v>
      </c>
      <c r="H365" t="s">
        <v>6</v>
      </c>
      <c r="I365" t="s">
        <v>2114</v>
      </c>
      <c r="J365" t="s">
        <v>2110</v>
      </c>
      <c r="K365">
        <v>5.56</v>
      </c>
      <c r="L365">
        <f t="shared" si="10"/>
        <v>556</v>
      </c>
      <c r="M365">
        <f t="shared" si="11"/>
        <v>111.2</v>
      </c>
    </row>
    <row r="366" spans="1:13" x14ac:dyDescent="0.3">
      <c r="A366">
        <v>365</v>
      </c>
      <c r="B366" t="s">
        <v>463</v>
      </c>
      <c r="C366" s="1">
        <v>43368</v>
      </c>
      <c r="D366" s="1">
        <v>43374</v>
      </c>
      <c r="E366" t="s">
        <v>2118</v>
      </c>
      <c r="F366" t="s">
        <v>464</v>
      </c>
      <c r="G366" t="s">
        <v>465</v>
      </c>
      <c r="H366" t="s">
        <v>6</v>
      </c>
      <c r="I366" t="s">
        <v>2114</v>
      </c>
      <c r="J366" t="s">
        <v>2109</v>
      </c>
      <c r="K366">
        <v>47.12</v>
      </c>
      <c r="L366">
        <f t="shared" si="10"/>
        <v>4712</v>
      </c>
      <c r="M366">
        <f t="shared" si="11"/>
        <v>942.40000000000009</v>
      </c>
    </row>
    <row r="367" spans="1:13" x14ac:dyDescent="0.3">
      <c r="A367">
        <v>366</v>
      </c>
      <c r="B367" t="s">
        <v>466</v>
      </c>
      <c r="C367" s="1">
        <v>42271</v>
      </c>
      <c r="D367" s="1">
        <v>42276</v>
      </c>
      <c r="E367" t="s">
        <v>2118</v>
      </c>
      <c r="F367" t="s">
        <v>467</v>
      </c>
      <c r="G367" t="s">
        <v>468</v>
      </c>
      <c r="H367" t="s">
        <v>6</v>
      </c>
      <c r="I367" t="s">
        <v>2112</v>
      </c>
      <c r="J367" t="s">
        <v>2110</v>
      </c>
      <c r="K367">
        <v>211.96</v>
      </c>
      <c r="L367">
        <f t="shared" si="10"/>
        <v>21196</v>
      </c>
      <c r="M367">
        <f t="shared" si="11"/>
        <v>4239.2</v>
      </c>
    </row>
    <row r="368" spans="1:13" x14ac:dyDescent="0.3">
      <c r="A368">
        <v>367</v>
      </c>
      <c r="B368" t="s">
        <v>469</v>
      </c>
      <c r="C368" s="1">
        <v>43029</v>
      </c>
      <c r="D368" s="1">
        <v>43029</v>
      </c>
      <c r="E368" t="s">
        <v>2120</v>
      </c>
      <c r="F368" t="s">
        <v>470</v>
      </c>
      <c r="G368" t="s">
        <v>471</v>
      </c>
      <c r="H368" t="s">
        <v>10</v>
      </c>
      <c r="I368" t="s">
        <v>2114</v>
      </c>
      <c r="J368" t="s">
        <v>2110</v>
      </c>
      <c r="K368">
        <v>23.2</v>
      </c>
      <c r="L368">
        <f t="shared" si="10"/>
        <v>2320</v>
      </c>
      <c r="M368">
        <f t="shared" si="11"/>
        <v>464</v>
      </c>
    </row>
    <row r="369" spans="1:13" x14ac:dyDescent="0.3">
      <c r="A369">
        <v>368</v>
      </c>
      <c r="B369" t="s">
        <v>469</v>
      </c>
      <c r="C369" s="1">
        <v>43029</v>
      </c>
      <c r="D369" s="1">
        <v>43029</v>
      </c>
      <c r="E369" t="s">
        <v>2120</v>
      </c>
      <c r="F369" t="s">
        <v>470</v>
      </c>
      <c r="G369" t="s">
        <v>471</v>
      </c>
      <c r="H369" t="s">
        <v>10</v>
      </c>
      <c r="I369" t="s">
        <v>2114</v>
      </c>
      <c r="J369" t="s">
        <v>2110</v>
      </c>
      <c r="K369">
        <v>7.36</v>
      </c>
      <c r="L369">
        <f t="shared" si="10"/>
        <v>736</v>
      </c>
      <c r="M369">
        <f t="shared" si="11"/>
        <v>147.20000000000002</v>
      </c>
    </row>
    <row r="370" spans="1:13" x14ac:dyDescent="0.3">
      <c r="A370">
        <v>369</v>
      </c>
      <c r="B370" t="s">
        <v>469</v>
      </c>
      <c r="C370" s="1">
        <v>43029</v>
      </c>
      <c r="D370" s="1">
        <v>43029</v>
      </c>
      <c r="E370" t="s">
        <v>2120</v>
      </c>
      <c r="F370" t="s">
        <v>470</v>
      </c>
      <c r="G370" t="s">
        <v>471</v>
      </c>
      <c r="H370" t="s">
        <v>10</v>
      </c>
      <c r="I370" t="s">
        <v>2114</v>
      </c>
      <c r="J370" t="s">
        <v>2110</v>
      </c>
      <c r="K370">
        <v>104.79</v>
      </c>
      <c r="L370">
        <f t="shared" si="10"/>
        <v>10479</v>
      </c>
      <c r="M370">
        <f t="shared" si="11"/>
        <v>2095.8000000000002</v>
      </c>
    </row>
    <row r="371" spans="1:13" x14ac:dyDescent="0.3">
      <c r="A371">
        <v>370</v>
      </c>
      <c r="B371" t="s">
        <v>469</v>
      </c>
      <c r="C371" s="1">
        <v>43029</v>
      </c>
      <c r="D371" s="1">
        <v>43029</v>
      </c>
      <c r="E371" t="s">
        <v>2120</v>
      </c>
      <c r="F371" t="s">
        <v>470</v>
      </c>
      <c r="G371" t="s">
        <v>471</v>
      </c>
      <c r="H371" t="s">
        <v>10</v>
      </c>
      <c r="I371" t="s">
        <v>2114</v>
      </c>
      <c r="J371" t="s">
        <v>2109</v>
      </c>
      <c r="K371">
        <v>1043.92</v>
      </c>
      <c r="L371">
        <f t="shared" si="10"/>
        <v>104392</v>
      </c>
      <c r="M371">
        <f t="shared" si="11"/>
        <v>20878.400000000001</v>
      </c>
    </row>
    <row r="372" spans="1:13" x14ac:dyDescent="0.3">
      <c r="A372">
        <v>371</v>
      </c>
      <c r="B372" t="s">
        <v>472</v>
      </c>
      <c r="C372" s="1">
        <v>43249</v>
      </c>
      <c r="D372" s="1">
        <v>43255</v>
      </c>
      <c r="E372" t="s">
        <v>2118</v>
      </c>
      <c r="F372" t="s">
        <v>473</v>
      </c>
      <c r="G372" t="s">
        <v>474</v>
      </c>
      <c r="H372" t="s">
        <v>6</v>
      </c>
      <c r="I372" t="s">
        <v>2117</v>
      </c>
      <c r="J372" t="s">
        <v>2110</v>
      </c>
      <c r="K372">
        <v>25.92</v>
      </c>
      <c r="L372">
        <f t="shared" si="10"/>
        <v>2592</v>
      </c>
      <c r="M372">
        <f t="shared" si="11"/>
        <v>518.4</v>
      </c>
    </row>
    <row r="373" spans="1:13" x14ac:dyDescent="0.3">
      <c r="A373">
        <v>372</v>
      </c>
      <c r="B373" t="s">
        <v>472</v>
      </c>
      <c r="C373" s="1">
        <v>43249</v>
      </c>
      <c r="D373" s="1">
        <v>43255</v>
      </c>
      <c r="E373" t="s">
        <v>2118</v>
      </c>
      <c r="F373" t="s">
        <v>473</v>
      </c>
      <c r="G373" t="s">
        <v>474</v>
      </c>
      <c r="H373" t="s">
        <v>6</v>
      </c>
      <c r="I373" t="s">
        <v>2117</v>
      </c>
      <c r="J373" t="s">
        <v>2110</v>
      </c>
      <c r="K373">
        <v>53.423999999999999</v>
      </c>
      <c r="L373">
        <f t="shared" si="10"/>
        <v>5342.4</v>
      </c>
      <c r="M373">
        <f t="shared" si="11"/>
        <v>1068.48</v>
      </c>
    </row>
    <row r="374" spans="1:13" x14ac:dyDescent="0.3">
      <c r="A374">
        <v>373</v>
      </c>
      <c r="B374" t="s">
        <v>475</v>
      </c>
      <c r="C374" s="1">
        <v>42208</v>
      </c>
      <c r="D374" s="1">
        <v>42212</v>
      </c>
      <c r="E374" t="s">
        <v>2118</v>
      </c>
      <c r="F374" t="s">
        <v>476</v>
      </c>
      <c r="G374" t="s">
        <v>477</v>
      </c>
      <c r="H374" t="s">
        <v>6</v>
      </c>
      <c r="I374" t="s">
        <v>2112</v>
      </c>
      <c r="J374" t="s">
        <v>2110</v>
      </c>
      <c r="K374">
        <v>8.16</v>
      </c>
      <c r="L374">
        <f t="shared" si="10"/>
        <v>816</v>
      </c>
      <c r="M374">
        <f t="shared" si="11"/>
        <v>163.20000000000002</v>
      </c>
    </row>
    <row r="375" spans="1:13" x14ac:dyDescent="0.3">
      <c r="A375">
        <v>374</v>
      </c>
      <c r="B375" t="s">
        <v>475</v>
      </c>
      <c r="C375" s="1">
        <v>42208</v>
      </c>
      <c r="D375" s="1">
        <v>42212</v>
      </c>
      <c r="E375" t="s">
        <v>2118</v>
      </c>
      <c r="F375" t="s">
        <v>476</v>
      </c>
      <c r="G375" t="s">
        <v>477</v>
      </c>
      <c r="H375" t="s">
        <v>6</v>
      </c>
      <c r="I375" t="s">
        <v>2112</v>
      </c>
      <c r="J375" t="s">
        <v>2111</v>
      </c>
      <c r="K375">
        <v>1023.936</v>
      </c>
      <c r="L375">
        <f t="shared" si="10"/>
        <v>102393.60000000001</v>
      </c>
      <c r="M375">
        <f t="shared" si="11"/>
        <v>20478.72</v>
      </c>
    </row>
    <row r="376" spans="1:13" x14ac:dyDescent="0.3">
      <c r="A376">
        <v>375</v>
      </c>
      <c r="B376" t="s">
        <v>475</v>
      </c>
      <c r="C376" s="1">
        <v>42208</v>
      </c>
      <c r="D376" s="1">
        <v>42212</v>
      </c>
      <c r="E376" t="s">
        <v>2118</v>
      </c>
      <c r="F376" t="s">
        <v>476</v>
      </c>
      <c r="G376" t="s">
        <v>477</v>
      </c>
      <c r="H376" t="s">
        <v>6</v>
      </c>
      <c r="I376" t="s">
        <v>2112</v>
      </c>
      <c r="J376" t="s">
        <v>2110</v>
      </c>
      <c r="K376">
        <v>9.24</v>
      </c>
      <c r="L376">
        <f t="shared" si="10"/>
        <v>924</v>
      </c>
      <c r="M376">
        <f t="shared" si="11"/>
        <v>184.8</v>
      </c>
    </row>
    <row r="377" spans="1:13" x14ac:dyDescent="0.3">
      <c r="A377">
        <v>376</v>
      </c>
      <c r="B377" t="s">
        <v>475</v>
      </c>
      <c r="C377" s="1">
        <v>42208</v>
      </c>
      <c r="D377" s="1">
        <v>42212</v>
      </c>
      <c r="E377" t="s">
        <v>2118</v>
      </c>
      <c r="F377" t="s">
        <v>476</v>
      </c>
      <c r="G377" t="s">
        <v>477</v>
      </c>
      <c r="H377" t="s">
        <v>6</v>
      </c>
      <c r="I377" t="s">
        <v>2112</v>
      </c>
      <c r="J377" t="s">
        <v>2111</v>
      </c>
      <c r="K377">
        <v>479.04</v>
      </c>
      <c r="L377">
        <f t="shared" si="10"/>
        <v>47904</v>
      </c>
      <c r="M377">
        <f t="shared" si="11"/>
        <v>9580.8000000000011</v>
      </c>
    </row>
    <row r="378" spans="1:13" x14ac:dyDescent="0.3">
      <c r="A378">
        <v>377</v>
      </c>
      <c r="B378" t="s">
        <v>478</v>
      </c>
      <c r="C378" s="1">
        <v>43006</v>
      </c>
      <c r="D378" s="1">
        <v>43009</v>
      </c>
      <c r="E378" t="s">
        <v>2120</v>
      </c>
      <c r="F378" t="s">
        <v>479</v>
      </c>
      <c r="G378" t="s">
        <v>480</v>
      </c>
      <c r="H378" t="s">
        <v>10</v>
      </c>
      <c r="I378" t="s">
        <v>2117</v>
      </c>
      <c r="J378" t="s">
        <v>2110</v>
      </c>
      <c r="K378">
        <v>99.135999999999996</v>
      </c>
      <c r="L378">
        <f t="shared" si="10"/>
        <v>9913.6</v>
      </c>
      <c r="M378">
        <f t="shared" si="11"/>
        <v>1982.7200000000003</v>
      </c>
    </row>
    <row r="379" spans="1:13" x14ac:dyDescent="0.3">
      <c r="A379">
        <v>378</v>
      </c>
      <c r="B379" t="s">
        <v>481</v>
      </c>
      <c r="C379" s="1">
        <v>43339</v>
      </c>
      <c r="D379" s="1">
        <v>43344</v>
      </c>
      <c r="E379" t="s">
        <v>2118</v>
      </c>
      <c r="F379" t="s">
        <v>482</v>
      </c>
      <c r="G379" t="s">
        <v>483</v>
      </c>
      <c r="H379" t="s">
        <v>10</v>
      </c>
      <c r="I379" t="s">
        <v>2114</v>
      </c>
      <c r="J379" t="s">
        <v>2109</v>
      </c>
      <c r="K379">
        <v>1488.424</v>
      </c>
      <c r="L379">
        <f t="shared" si="10"/>
        <v>148842.4</v>
      </c>
      <c r="M379">
        <f t="shared" si="11"/>
        <v>29768.48</v>
      </c>
    </row>
    <row r="380" spans="1:13" x14ac:dyDescent="0.3">
      <c r="A380">
        <v>379</v>
      </c>
      <c r="B380" t="s">
        <v>484</v>
      </c>
      <c r="C380" s="1">
        <v>42488</v>
      </c>
      <c r="D380" s="1">
        <v>42495</v>
      </c>
      <c r="E380" t="s">
        <v>2118</v>
      </c>
      <c r="F380" t="s">
        <v>485</v>
      </c>
      <c r="G380" t="s">
        <v>486</v>
      </c>
      <c r="H380" t="s">
        <v>6</v>
      </c>
      <c r="I380" t="s">
        <v>2117</v>
      </c>
      <c r="J380" t="s">
        <v>2110</v>
      </c>
      <c r="K380">
        <v>8.6519999999999992</v>
      </c>
      <c r="L380">
        <f t="shared" si="10"/>
        <v>865.19999999999993</v>
      </c>
      <c r="M380">
        <f t="shared" si="11"/>
        <v>173.04</v>
      </c>
    </row>
    <row r="381" spans="1:13" x14ac:dyDescent="0.3">
      <c r="A381">
        <v>380</v>
      </c>
      <c r="B381" t="s">
        <v>484</v>
      </c>
      <c r="C381" s="1">
        <v>42488</v>
      </c>
      <c r="D381" s="1">
        <v>42495</v>
      </c>
      <c r="E381" t="s">
        <v>2118</v>
      </c>
      <c r="F381" t="s">
        <v>485</v>
      </c>
      <c r="G381" t="s">
        <v>486</v>
      </c>
      <c r="H381" t="s">
        <v>6</v>
      </c>
      <c r="I381" t="s">
        <v>2117</v>
      </c>
      <c r="J381" t="s">
        <v>2110</v>
      </c>
      <c r="K381">
        <v>23.832000000000001</v>
      </c>
      <c r="L381">
        <f t="shared" si="10"/>
        <v>2383.2000000000003</v>
      </c>
      <c r="M381">
        <f t="shared" si="11"/>
        <v>476.6400000000001</v>
      </c>
    </row>
    <row r="382" spans="1:13" x14ac:dyDescent="0.3">
      <c r="A382">
        <v>381</v>
      </c>
      <c r="B382" t="s">
        <v>484</v>
      </c>
      <c r="C382" s="1">
        <v>42488</v>
      </c>
      <c r="D382" s="1">
        <v>42495</v>
      </c>
      <c r="E382" t="s">
        <v>2118</v>
      </c>
      <c r="F382" t="s">
        <v>485</v>
      </c>
      <c r="G382" t="s">
        <v>486</v>
      </c>
      <c r="H382" t="s">
        <v>6</v>
      </c>
      <c r="I382" t="s">
        <v>2117</v>
      </c>
      <c r="J382" t="s">
        <v>2110</v>
      </c>
      <c r="K382">
        <v>12.176</v>
      </c>
      <c r="L382">
        <f t="shared" si="10"/>
        <v>1217.5999999999999</v>
      </c>
      <c r="M382">
        <f t="shared" si="11"/>
        <v>243.51999999999998</v>
      </c>
    </row>
    <row r="383" spans="1:13" x14ac:dyDescent="0.3">
      <c r="A383">
        <v>382</v>
      </c>
      <c r="B383" t="s">
        <v>487</v>
      </c>
      <c r="C383" s="1">
        <v>43036</v>
      </c>
      <c r="D383" s="1">
        <v>43037</v>
      </c>
      <c r="E383" t="s">
        <v>2120</v>
      </c>
      <c r="F383" t="s">
        <v>488</v>
      </c>
      <c r="G383" t="s">
        <v>489</v>
      </c>
      <c r="H383" t="s">
        <v>10</v>
      </c>
      <c r="I383" t="s">
        <v>2112</v>
      </c>
      <c r="J383" t="s">
        <v>2110</v>
      </c>
      <c r="K383">
        <v>50.96</v>
      </c>
      <c r="L383">
        <f t="shared" si="10"/>
        <v>5096</v>
      </c>
      <c r="M383">
        <f t="shared" si="11"/>
        <v>1019.2</v>
      </c>
    </row>
    <row r="384" spans="1:13" x14ac:dyDescent="0.3">
      <c r="A384">
        <v>383</v>
      </c>
      <c r="B384" t="s">
        <v>487</v>
      </c>
      <c r="C384" s="1">
        <v>43036</v>
      </c>
      <c r="D384" s="1">
        <v>43037</v>
      </c>
      <c r="E384" t="s">
        <v>2120</v>
      </c>
      <c r="F384" t="s">
        <v>488</v>
      </c>
      <c r="G384" t="s">
        <v>489</v>
      </c>
      <c r="H384" t="s">
        <v>10</v>
      </c>
      <c r="I384" t="s">
        <v>2112</v>
      </c>
      <c r="J384" t="s">
        <v>2110</v>
      </c>
      <c r="K384">
        <v>49.536000000000001</v>
      </c>
      <c r="L384">
        <f t="shared" si="10"/>
        <v>4953.6000000000004</v>
      </c>
      <c r="M384">
        <f t="shared" si="11"/>
        <v>990.72000000000014</v>
      </c>
    </row>
    <row r="385" spans="1:13" x14ac:dyDescent="0.3">
      <c r="A385">
        <v>384</v>
      </c>
      <c r="B385" t="s">
        <v>490</v>
      </c>
      <c r="C385" s="1">
        <v>42547</v>
      </c>
      <c r="D385" s="1">
        <v>42550</v>
      </c>
      <c r="E385" t="s">
        <v>2119</v>
      </c>
      <c r="F385" t="s">
        <v>491</v>
      </c>
      <c r="G385" t="s">
        <v>492</v>
      </c>
      <c r="H385" t="s">
        <v>10</v>
      </c>
      <c r="I385" t="s">
        <v>2117</v>
      </c>
      <c r="J385" t="s">
        <v>2111</v>
      </c>
      <c r="K385">
        <v>41.9</v>
      </c>
      <c r="L385">
        <f t="shared" si="10"/>
        <v>4190</v>
      </c>
      <c r="M385">
        <f t="shared" si="11"/>
        <v>838</v>
      </c>
    </row>
    <row r="386" spans="1:13" x14ac:dyDescent="0.3">
      <c r="A386">
        <v>385</v>
      </c>
      <c r="B386" t="s">
        <v>493</v>
      </c>
      <c r="C386" s="1">
        <v>42701</v>
      </c>
      <c r="D386" s="1">
        <v>42706</v>
      </c>
      <c r="E386" t="s">
        <v>2118</v>
      </c>
      <c r="F386" t="s">
        <v>494</v>
      </c>
      <c r="G386" t="s">
        <v>495</v>
      </c>
      <c r="H386" t="s">
        <v>6</v>
      </c>
      <c r="I386" t="s">
        <v>2115</v>
      </c>
      <c r="J386" t="s">
        <v>2109</v>
      </c>
      <c r="K386">
        <v>375.45749999999998</v>
      </c>
      <c r="L386">
        <f t="shared" ref="L386:L449" si="12">K386*100</f>
        <v>37545.75</v>
      </c>
      <c r="M386">
        <f t="shared" si="11"/>
        <v>7509.1500000000005</v>
      </c>
    </row>
    <row r="387" spans="1:13" x14ac:dyDescent="0.3">
      <c r="A387">
        <v>386</v>
      </c>
      <c r="B387" t="s">
        <v>493</v>
      </c>
      <c r="C387" s="1">
        <v>42701</v>
      </c>
      <c r="D387" s="1">
        <v>42706</v>
      </c>
      <c r="E387" t="s">
        <v>2118</v>
      </c>
      <c r="F387" t="s">
        <v>494</v>
      </c>
      <c r="G387" t="s">
        <v>495</v>
      </c>
      <c r="H387" t="s">
        <v>6</v>
      </c>
      <c r="I387" t="s">
        <v>2115</v>
      </c>
      <c r="J387" t="s">
        <v>2111</v>
      </c>
      <c r="K387">
        <v>83.975999999999999</v>
      </c>
      <c r="L387">
        <f t="shared" si="12"/>
        <v>8397.6</v>
      </c>
      <c r="M387">
        <f t="shared" ref="M387:M450" si="13">L387*0.2</f>
        <v>1679.5200000000002</v>
      </c>
    </row>
    <row r="388" spans="1:13" x14ac:dyDescent="0.3">
      <c r="A388">
        <v>387</v>
      </c>
      <c r="B388" t="s">
        <v>496</v>
      </c>
      <c r="C388" s="1">
        <v>42707</v>
      </c>
      <c r="D388" s="1">
        <v>42711</v>
      </c>
      <c r="E388" t="s">
        <v>2118</v>
      </c>
      <c r="F388" t="s">
        <v>497</v>
      </c>
      <c r="G388" t="s">
        <v>498</v>
      </c>
      <c r="H388" t="s">
        <v>10</v>
      </c>
      <c r="I388" t="s">
        <v>2114</v>
      </c>
      <c r="J388" t="s">
        <v>2111</v>
      </c>
      <c r="K388">
        <v>482.34</v>
      </c>
      <c r="L388">
        <f t="shared" si="12"/>
        <v>48234</v>
      </c>
      <c r="M388">
        <f t="shared" si="13"/>
        <v>9646.8000000000011</v>
      </c>
    </row>
    <row r="389" spans="1:13" x14ac:dyDescent="0.3">
      <c r="A389">
        <v>388</v>
      </c>
      <c r="B389" t="s">
        <v>496</v>
      </c>
      <c r="C389" s="1">
        <v>42707</v>
      </c>
      <c r="D389" s="1">
        <v>42711</v>
      </c>
      <c r="E389" t="s">
        <v>2118</v>
      </c>
      <c r="F389" t="s">
        <v>497</v>
      </c>
      <c r="G389" t="s">
        <v>498</v>
      </c>
      <c r="H389" t="s">
        <v>10</v>
      </c>
      <c r="I389" t="s">
        <v>2114</v>
      </c>
      <c r="J389" t="s">
        <v>2109</v>
      </c>
      <c r="K389">
        <v>2.96</v>
      </c>
      <c r="L389">
        <f t="shared" si="12"/>
        <v>296</v>
      </c>
      <c r="M389">
        <f t="shared" si="13"/>
        <v>59.2</v>
      </c>
    </row>
    <row r="390" spans="1:13" x14ac:dyDescent="0.3">
      <c r="A390">
        <v>389</v>
      </c>
      <c r="B390" t="s">
        <v>499</v>
      </c>
      <c r="C390" s="1">
        <v>42332</v>
      </c>
      <c r="D390" s="1">
        <v>42334</v>
      </c>
      <c r="E390" t="s">
        <v>2120</v>
      </c>
      <c r="F390" t="s">
        <v>500</v>
      </c>
      <c r="G390" t="s">
        <v>501</v>
      </c>
      <c r="H390" t="s">
        <v>6</v>
      </c>
      <c r="I390" t="s">
        <v>2114</v>
      </c>
      <c r="J390" t="s">
        <v>2110</v>
      </c>
      <c r="K390">
        <v>2.6240000000000001</v>
      </c>
      <c r="L390">
        <f t="shared" si="12"/>
        <v>262.40000000000003</v>
      </c>
      <c r="M390">
        <f t="shared" si="13"/>
        <v>52.480000000000011</v>
      </c>
    </row>
    <row r="391" spans="1:13" x14ac:dyDescent="0.3">
      <c r="A391">
        <v>390</v>
      </c>
      <c r="B391" t="s">
        <v>502</v>
      </c>
      <c r="C391" s="1">
        <v>43445</v>
      </c>
      <c r="D391" s="1">
        <v>43449</v>
      </c>
      <c r="E391" t="s">
        <v>2118</v>
      </c>
      <c r="F391" t="s">
        <v>503</v>
      </c>
      <c r="G391" t="s">
        <v>504</v>
      </c>
      <c r="H391" t="s">
        <v>6</v>
      </c>
      <c r="I391" t="s">
        <v>2114</v>
      </c>
      <c r="J391" t="s">
        <v>2110</v>
      </c>
      <c r="K391">
        <v>23.36</v>
      </c>
      <c r="L391">
        <f t="shared" si="12"/>
        <v>2336</v>
      </c>
      <c r="M391">
        <f t="shared" si="13"/>
        <v>467.20000000000005</v>
      </c>
    </row>
    <row r="392" spans="1:13" x14ac:dyDescent="0.3">
      <c r="A392">
        <v>391</v>
      </c>
      <c r="B392" t="s">
        <v>502</v>
      </c>
      <c r="C392" s="1">
        <v>43445</v>
      </c>
      <c r="D392" s="1">
        <v>43449</v>
      </c>
      <c r="E392" t="s">
        <v>2118</v>
      </c>
      <c r="F392" t="s">
        <v>503</v>
      </c>
      <c r="G392" t="s">
        <v>504</v>
      </c>
      <c r="H392" t="s">
        <v>6</v>
      </c>
      <c r="I392" t="s">
        <v>2114</v>
      </c>
      <c r="J392" t="s">
        <v>2111</v>
      </c>
      <c r="K392">
        <v>39.979999999999997</v>
      </c>
      <c r="L392">
        <f t="shared" si="12"/>
        <v>3997.9999999999995</v>
      </c>
      <c r="M392">
        <f t="shared" si="13"/>
        <v>799.59999999999991</v>
      </c>
    </row>
    <row r="393" spans="1:13" x14ac:dyDescent="0.3">
      <c r="A393">
        <v>392</v>
      </c>
      <c r="B393" t="s">
        <v>505</v>
      </c>
      <c r="C393" s="1">
        <v>42268</v>
      </c>
      <c r="D393" s="1">
        <v>42270</v>
      </c>
      <c r="E393" t="s">
        <v>2119</v>
      </c>
      <c r="F393" t="s">
        <v>506</v>
      </c>
      <c r="G393" t="s">
        <v>507</v>
      </c>
      <c r="H393" t="s">
        <v>6</v>
      </c>
      <c r="I393" t="s">
        <v>2112</v>
      </c>
      <c r="J393" t="s">
        <v>2111</v>
      </c>
      <c r="K393">
        <v>246.38399999999999</v>
      </c>
      <c r="L393">
        <f t="shared" si="12"/>
        <v>24638.399999999998</v>
      </c>
      <c r="M393">
        <f t="shared" si="13"/>
        <v>4927.68</v>
      </c>
    </row>
    <row r="394" spans="1:13" x14ac:dyDescent="0.3">
      <c r="A394">
        <v>393</v>
      </c>
      <c r="B394" t="s">
        <v>505</v>
      </c>
      <c r="C394" s="1">
        <v>42268</v>
      </c>
      <c r="D394" s="1">
        <v>42270</v>
      </c>
      <c r="E394" t="s">
        <v>2119</v>
      </c>
      <c r="F394" t="s">
        <v>506</v>
      </c>
      <c r="G394" t="s">
        <v>507</v>
      </c>
      <c r="H394" t="s">
        <v>6</v>
      </c>
      <c r="I394" t="s">
        <v>2112</v>
      </c>
      <c r="J394" t="s">
        <v>2111</v>
      </c>
      <c r="K394">
        <v>1799.97</v>
      </c>
      <c r="L394">
        <f t="shared" si="12"/>
        <v>179997</v>
      </c>
      <c r="M394">
        <f t="shared" si="13"/>
        <v>35999.4</v>
      </c>
    </row>
    <row r="395" spans="1:13" x14ac:dyDescent="0.3">
      <c r="A395">
        <v>394</v>
      </c>
      <c r="B395" t="s">
        <v>508</v>
      </c>
      <c r="C395" s="1">
        <v>42162</v>
      </c>
      <c r="D395" s="1">
        <v>42165</v>
      </c>
      <c r="E395" t="s">
        <v>2119</v>
      </c>
      <c r="F395" t="s">
        <v>509</v>
      </c>
      <c r="G395" t="s">
        <v>510</v>
      </c>
      <c r="H395" t="s">
        <v>10</v>
      </c>
      <c r="I395" t="s">
        <v>2117</v>
      </c>
      <c r="J395" t="s">
        <v>2110</v>
      </c>
      <c r="K395">
        <v>12.462</v>
      </c>
      <c r="L395">
        <f t="shared" si="12"/>
        <v>1246.2</v>
      </c>
      <c r="M395">
        <f t="shared" si="13"/>
        <v>249.24</v>
      </c>
    </row>
    <row r="396" spans="1:13" x14ac:dyDescent="0.3">
      <c r="A396">
        <v>395</v>
      </c>
      <c r="B396" t="s">
        <v>511</v>
      </c>
      <c r="C396" s="1">
        <v>43281</v>
      </c>
      <c r="D396" s="1">
        <v>43286</v>
      </c>
      <c r="E396" t="s">
        <v>2118</v>
      </c>
      <c r="F396" t="s">
        <v>512</v>
      </c>
      <c r="G396" t="s">
        <v>513</v>
      </c>
      <c r="H396" t="s">
        <v>26</v>
      </c>
      <c r="I396" t="s">
        <v>2112</v>
      </c>
      <c r="J396" t="s">
        <v>2110</v>
      </c>
      <c r="K396">
        <v>75.792000000000002</v>
      </c>
      <c r="L396">
        <f t="shared" si="12"/>
        <v>7579.2</v>
      </c>
      <c r="M396">
        <f t="shared" si="13"/>
        <v>1515.8400000000001</v>
      </c>
    </row>
    <row r="397" spans="1:13" x14ac:dyDescent="0.3">
      <c r="A397">
        <v>396</v>
      </c>
      <c r="B397" t="s">
        <v>514</v>
      </c>
      <c r="C397" s="1">
        <v>43390</v>
      </c>
      <c r="D397" s="1">
        <v>43392</v>
      </c>
      <c r="E397" t="s">
        <v>2119</v>
      </c>
      <c r="F397" t="s">
        <v>515</v>
      </c>
      <c r="G397" t="s">
        <v>516</v>
      </c>
      <c r="H397" t="s">
        <v>10</v>
      </c>
      <c r="I397" t="s">
        <v>2114</v>
      </c>
      <c r="J397" t="s">
        <v>2110</v>
      </c>
      <c r="K397">
        <v>49.96</v>
      </c>
      <c r="L397">
        <f t="shared" si="12"/>
        <v>4996</v>
      </c>
      <c r="M397">
        <f t="shared" si="13"/>
        <v>999.2</v>
      </c>
    </row>
    <row r="398" spans="1:13" x14ac:dyDescent="0.3">
      <c r="A398">
        <v>397</v>
      </c>
      <c r="B398" t="s">
        <v>514</v>
      </c>
      <c r="C398" s="1">
        <v>43390</v>
      </c>
      <c r="D398" s="1">
        <v>43392</v>
      </c>
      <c r="E398" t="s">
        <v>2119</v>
      </c>
      <c r="F398" t="s">
        <v>515</v>
      </c>
      <c r="G398" t="s">
        <v>516</v>
      </c>
      <c r="H398" t="s">
        <v>10</v>
      </c>
      <c r="I398" t="s">
        <v>2114</v>
      </c>
      <c r="J398" t="s">
        <v>2110</v>
      </c>
      <c r="K398">
        <v>12.96</v>
      </c>
      <c r="L398">
        <f t="shared" si="12"/>
        <v>1296</v>
      </c>
      <c r="M398">
        <f t="shared" si="13"/>
        <v>259.2</v>
      </c>
    </row>
    <row r="399" spans="1:13" x14ac:dyDescent="0.3">
      <c r="A399">
        <v>398</v>
      </c>
      <c r="B399" t="s">
        <v>517</v>
      </c>
      <c r="C399" s="1">
        <v>42674</v>
      </c>
      <c r="D399" s="1">
        <v>42678</v>
      </c>
      <c r="E399" t="s">
        <v>2118</v>
      </c>
      <c r="F399" t="s">
        <v>24</v>
      </c>
      <c r="G399" t="s">
        <v>25</v>
      </c>
      <c r="H399" t="s">
        <v>26</v>
      </c>
      <c r="I399" t="s">
        <v>2117</v>
      </c>
      <c r="J399" t="s">
        <v>2110</v>
      </c>
      <c r="K399">
        <v>70.12</v>
      </c>
      <c r="L399">
        <f t="shared" si="12"/>
        <v>7012</v>
      </c>
      <c r="M399">
        <f t="shared" si="13"/>
        <v>1402.4</v>
      </c>
    </row>
    <row r="400" spans="1:13" x14ac:dyDescent="0.3">
      <c r="A400">
        <v>399</v>
      </c>
      <c r="B400" t="s">
        <v>518</v>
      </c>
      <c r="C400" s="1">
        <v>42986</v>
      </c>
      <c r="D400" s="1">
        <v>42988</v>
      </c>
      <c r="E400" t="s">
        <v>2119</v>
      </c>
      <c r="F400" t="s">
        <v>519</v>
      </c>
      <c r="G400" t="s">
        <v>520</v>
      </c>
      <c r="H400" t="s">
        <v>6</v>
      </c>
      <c r="I400" t="s">
        <v>2117</v>
      </c>
      <c r="J400" t="s">
        <v>2110</v>
      </c>
      <c r="K400">
        <v>35.951999999999998</v>
      </c>
      <c r="L400">
        <f t="shared" si="12"/>
        <v>3595.2</v>
      </c>
      <c r="M400">
        <f t="shared" si="13"/>
        <v>719.04</v>
      </c>
    </row>
    <row r="401" spans="1:13" x14ac:dyDescent="0.3">
      <c r="A401">
        <v>400</v>
      </c>
      <c r="B401" t="s">
        <v>518</v>
      </c>
      <c r="C401" s="1">
        <v>42986</v>
      </c>
      <c r="D401" s="1">
        <v>42988</v>
      </c>
      <c r="E401" t="s">
        <v>2119</v>
      </c>
      <c r="F401" t="s">
        <v>519</v>
      </c>
      <c r="G401" t="s">
        <v>520</v>
      </c>
      <c r="H401" t="s">
        <v>6</v>
      </c>
      <c r="I401" t="s">
        <v>2117</v>
      </c>
      <c r="J401" t="s">
        <v>2109</v>
      </c>
      <c r="K401">
        <v>2396.2656000000002</v>
      </c>
      <c r="L401">
        <f t="shared" si="12"/>
        <v>239626.56000000003</v>
      </c>
      <c r="M401">
        <f t="shared" si="13"/>
        <v>47925.312000000005</v>
      </c>
    </row>
    <row r="402" spans="1:13" x14ac:dyDescent="0.3">
      <c r="A402">
        <v>401</v>
      </c>
      <c r="B402" t="s">
        <v>518</v>
      </c>
      <c r="C402" s="1">
        <v>42986</v>
      </c>
      <c r="D402" s="1">
        <v>42988</v>
      </c>
      <c r="E402" t="s">
        <v>2119</v>
      </c>
      <c r="F402" t="s">
        <v>519</v>
      </c>
      <c r="G402" t="s">
        <v>520</v>
      </c>
      <c r="H402" t="s">
        <v>6</v>
      </c>
      <c r="I402" t="s">
        <v>2117</v>
      </c>
      <c r="J402" t="s">
        <v>2110</v>
      </c>
      <c r="K402">
        <v>131.136</v>
      </c>
      <c r="L402">
        <f t="shared" si="12"/>
        <v>13113.6</v>
      </c>
      <c r="M402">
        <f t="shared" si="13"/>
        <v>2622.7200000000003</v>
      </c>
    </row>
    <row r="403" spans="1:13" x14ac:dyDescent="0.3">
      <c r="A403">
        <v>402</v>
      </c>
      <c r="B403" t="s">
        <v>518</v>
      </c>
      <c r="C403" s="1">
        <v>42986</v>
      </c>
      <c r="D403" s="1">
        <v>42988</v>
      </c>
      <c r="E403" t="s">
        <v>2119</v>
      </c>
      <c r="F403" t="s">
        <v>519</v>
      </c>
      <c r="G403" t="s">
        <v>520</v>
      </c>
      <c r="H403" t="s">
        <v>6</v>
      </c>
      <c r="I403" t="s">
        <v>2117</v>
      </c>
      <c r="J403" t="s">
        <v>2111</v>
      </c>
      <c r="K403">
        <v>57.584000000000003</v>
      </c>
      <c r="L403">
        <f t="shared" si="12"/>
        <v>5758.4000000000005</v>
      </c>
      <c r="M403">
        <f t="shared" si="13"/>
        <v>1151.68</v>
      </c>
    </row>
    <row r="404" spans="1:13" x14ac:dyDescent="0.3">
      <c r="A404">
        <v>403</v>
      </c>
      <c r="B404" t="s">
        <v>521</v>
      </c>
      <c r="C404" s="1">
        <v>42362</v>
      </c>
      <c r="D404" s="1">
        <v>42364</v>
      </c>
      <c r="E404" t="s">
        <v>2120</v>
      </c>
      <c r="F404" t="s">
        <v>522</v>
      </c>
      <c r="G404" t="s">
        <v>523</v>
      </c>
      <c r="H404" t="s">
        <v>6</v>
      </c>
      <c r="I404" t="s">
        <v>2115</v>
      </c>
      <c r="J404" t="s">
        <v>2110</v>
      </c>
      <c r="K404">
        <v>9.5679999999999996</v>
      </c>
      <c r="L404">
        <f t="shared" si="12"/>
        <v>956.8</v>
      </c>
      <c r="M404">
        <f t="shared" si="13"/>
        <v>191.36</v>
      </c>
    </row>
    <row r="405" spans="1:13" x14ac:dyDescent="0.3">
      <c r="A405">
        <v>404</v>
      </c>
      <c r="B405" t="s">
        <v>524</v>
      </c>
      <c r="C405" s="1">
        <v>42110</v>
      </c>
      <c r="D405" s="1">
        <v>42114</v>
      </c>
      <c r="E405" t="s">
        <v>2118</v>
      </c>
      <c r="F405" t="s">
        <v>220</v>
      </c>
      <c r="G405" t="s">
        <v>221</v>
      </c>
      <c r="H405" t="s">
        <v>10</v>
      </c>
      <c r="I405" t="s">
        <v>2115</v>
      </c>
      <c r="J405" t="s">
        <v>2110</v>
      </c>
      <c r="K405">
        <v>39.072000000000003</v>
      </c>
      <c r="L405">
        <f t="shared" si="12"/>
        <v>3907.2000000000003</v>
      </c>
      <c r="M405">
        <f t="shared" si="13"/>
        <v>781.44</v>
      </c>
    </row>
    <row r="406" spans="1:13" x14ac:dyDescent="0.3">
      <c r="A406">
        <v>405</v>
      </c>
      <c r="B406" t="s">
        <v>525</v>
      </c>
      <c r="C406" s="1">
        <v>43458</v>
      </c>
      <c r="D406" s="1">
        <v>43463</v>
      </c>
      <c r="E406" t="s">
        <v>2118</v>
      </c>
      <c r="F406" t="s">
        <v>526</v>
      </c>
      <c r="G406" t="s">
        <v>527</v>
      </c>
      <c r="H406" t="s">
        <v>6</v>
      </c>
      <c r="I406" t="s">
        <v>2114</v>
      </c>
      <c r="J406" t="s">
        <v>2110</v>
      </c>
      <c r="K406">
        <v>35.909999999999997</v>
      </c>
      <c r="L406">
        <f t="shared" si="12"/>
        <v>3590.9999999999995</v>
      </c>
      <c r="M406">
        <f t="shared" si="13"/>
        <v>718.19999999999993</v>
      </c>
    </row>
    <row r="407" spans="1:13" x14ac:dyDescent="0.3">
      <c r="A407">
        <v>406</v>
      </c>
      <c r="B407" t="s">
        <v>528</v>
      </c>
      <c r="C407" s="1">
        <v>43442</v>
      </c>
      <c r="D407" s="1">
        <v>43446</v>
      </c>
      <c r="E407" t="s">
        <v>2118</v>
      </c>
      <c r="F407" t="s">
        <v>529</v>
      </c>
      <c r="G407" t="s">
        <v>530</v>
      </c>
      <c r="H407" t="s">
        <v>6</v>
      </c>
      <c r="I407" t="s">
        <v>2112</v>
      </c>
      <c r="J407" t="s">
        <v>2111</v>
      </c>
      <c r="K407">
        <v>179.95</v>
      </c>
      <c r="L407">
        <f t="shared" si="12"/>
        <v>17995</v>
      </c>
      <c r="M407">
        <f t="shared" si="13"/>
        <v>3599</v>
      </c>
    </row>
    <row r="408" spans="1:13" x14ac:dyDescent="0.3">
      <c r="A408">
        <v>407</v>
      </c>
      <c r="B408" t="s">
        <v>528</v>
      </c>
      <c r="C408" s="1">
        <v>43442</v>
      </c>
      <c r="D408" s="1">
        <v>43446</v>
      </c>
      <c r="E408" t="s">
        <v>2118</v>
      </c>
      <c r="F408" t="s">
        <v>529</v>
      </c>
      <c r="G408" t="s">
        <v>530</v>
      </c>
      <c r="H408" t="s">
        <v>6</v>
      </c>
      <c r="I408" t="s">
        <v>2112</v>
      </c>
      <c r="J408" t="s">
        <v>2111</v>
      </c>
      <c r="K408">
        <v>1199.9760000000001</v>
      </c>
      <c r="L408">
        <f t="shared" si="12"/>
        <v>119997.6</v>
      </c>
      <c r="M408">
        <f t="shared" si="13"/>
        <v>23999.520000000004</v>
      </c>
    </row>
    <row r="409" spans="1:13" x14ac:dyDescent="0.3">
      <c r="A409">
        <v>408</v>
      </c>
      <c r="B409" t="s">
        <v>528</v>
      </c>
      <c r="C409" s="1">
        <v>43442</v>
      </c>
      <c r="D409" s="1">
        <v>43446</v>
      </c>
      <c r="E409" t="s">
        <v>2118</v>
      </c>
      <c r="F409" t="s">
        <v>529</v>
      </c>
      <c r="G409" t="s">
        <v>530</v>
      </c>
      <c r="H409" t="s">
        <v>6</v>
      </c>
      <c r="I409" t="s">
        <v>2112</v>
      </c>
      <c r="J409" t="s">
        <v>2110</v>
      </c>
      <c r="K409">
        <v>27.15</v>
      </c>
      <c r="L409">
        <f t="shared" si="12"/>
        <v>2715</v>
      </c>
      <c r="M409">
        <f t="shared" si="13"/>
        <v>543</v>
      </c>
    </row>
    <row r="410" spans="1:13" x14ac:dyDescent="0.3">
      <c r="A410">
        <v>409</v>
      </c>
      <c r="B410" t="s">
        <v>528</v>
      </c>
      <c r="C410" s="1">
        <v>43442</v>
      </c>
      <c r="D410" s="1">
        <v>43446</v>
      </c>
      <c r="E410" t="s">
        <v>2118</v>
      </c>
      <c r="F410" t="s">
        <v>529</v>
      </c>
      <c r="G410" t="s">
        <v>530</v>
      </c>
      <c r="H410" t="s">
        <v>6</v>
      </c>
      <c r="I410" t="s">
        <v>2112</v>
      </c>
      <c r="J410" t="s">
        <v>2109</v>
      </c>
      <c r="K410">
        <v>1004.024</v>
      </c>
      <c r="L410">
        <f t="shared" si="12"/>
        <v>100402.4</v>
      </c>
      <c r="M410">
        <f t="shared" si="13"/>
        <v>20080.48</v>
      </c>
    </row>
    <row r="411" spans="1:13" x14ac:dyDescent="0.3">
      <c r="A411">
        <v>410</v>
      </c>
      <c r="B411" t="s">
        <v>528</v>
      </c>
      <c r="C411" s="1">
        <v>43442</v>
      </c>
      <c r="D411" s="1">
        <v>43446</v>
      </c>
      <c r="E411" t="s">
        <v>2118</v>
      </c>
      <c r="F411" t="s">
        <v>529</v>
      </c>
      <c r="G411" t="s">
        <v>530</v>
      </c>
      <c r="H411" t="s">
        <v>6</v>
      </c>
      <c r="I411" t="s">
        <v>2112</v>
      </c>
      <c r="J411" t="s">
        <v>2110</v>
      </c>
      <c r="K411">
        <v>9.68</v>
      </c>
      <c r="L411">
        <f t="shared" si="12"/>
        <v>968</v>
      </c>
      <c r="M411">
        <f t="shared" si="13"/>
        <v>193.60000000000002</v>
      </c>
    </row>
    <row r="412" spans="1:13" x14ac:dyDescent="0.3">
      <c r="A412">
        <v>411</v>
      </c>
      <c r="B412" t="s">
        <v>528</v>
      </c>
      <c r="C412" s="1">
        <v>43442</v>
      </c>
      <c r="D412" s="1">
        <v>43446</v>
      </c>
      <c r="E412" t="s">
        <v>2118</v>
      </c>
      <c r="F412" t="s">
        <v>529</v>
      </c>
      <c r="G412" t="s">
        <v>530</v>
      </c>
      <c r="H412" t="s">
        <v>6</v>
      </c>
      <c r="I412" t="s">
        <v>2112</v>
      </c>
      <c r="J412" t="s">
        <v>2110</v>
      </c>
      <c r="K412">
        <v>28.35</v>
      </c>
      <c r="L412">
        <f t="shared" si="12"/>
        <v>2835</v>
      </c>
      <c r="M412">
        <f t="shared" si="13"/>
        <v>567</v>
      </c>
    </row>
    <row r="413" spans="1:13" x14ac:dyDescent="0.3">
      <c r="A413">
        <v>412</v>
      </c>
      <c r="B413" t="s">
        <v>528</v>
      </c>
      <c r="C413" s="1">
        <v>43442</v>
      </c>
      <c r="D413" s="1">
        <v>43446</v>
      </c>
      <c r="E413" t="s">
        <v>2118</v>
      </c>
      <c r="F413" t="s">
        <v>529</v>
      </c>
      <c r="G413" t="s">
        <v>530</v>
      </c>
      <c r="H413" t="s">
        <v>6</v>
      </c>
      <c r="I413" t="s">
        <v>2112</v>
      </c>
      <c r="J413" t="s">
        <v>2110</v>
      </c>
      <c r="K413">
        <v>55.98</v>
      </c>
      <c r="L413">
        <f t="shared" si="12"/>
        <v>5598</v>
      </c>
      <c r="M413">
        <f t="shared" si="13"/>
        <v>1119.6000000000001</v>
      </c>
    </row>
    <row r="414" spans="1:13" x14ac:dyDescent="0.3">
      <c r="A414">
        <v>413</v>
      </c>
      <c r="B414" t="s">
        <v>528</v>
      </c>
      <c r="C414" s="1">
        <v>43442</v>
      </c>
      <c r="D414" s="1">
        <v>43446</v>
      </c>
      <c r="E414" t="s">
        <v>2118</v>
      </c>
      <c r="F414" t="s">
        <v>529</v>
      </c>
      <c r="G414" t="s">
        <v>530</v>
      </c>
      <c r="H414" t="s">
        <v>6</v>
      </c>
      <c r="I414" t="s">
        <v>2112</v>
      </c>
      <c r="J414" t="s">
        <v>2109</v>
      </c>
      <c r="K414">
        <v>1336.829</v>
      </c>
      <c r="L414">
        <f t="shared" si="12"/>
        <v>133682.9</v>
      </c>
      <c r="M414">
        <f t="shared" si="13"/>
        <v>26736.58</v>
      </c>
    </row>
    <row r="415" spans="1:13" x14ac:dyDescent="0.3">
      <c r="A415">
        <v>414</v>
      </c>
      <c r="B415" t="s">
        <v>528</v>
      </c>
      <c r="C415" s="1">
        <v>43442</v>
      </c>
      <c r="D415" s="1">
        <v>43446</v>
      </c>
      <c r="E415" t="s">
        <v>2118</v>
      </c>
      <c r="F415" t="s">
        <v>529</v>
      </c>
      <c r="G415" t="s">
        <v>530</v>
      </c>
      <c r="H415" t="s">
        <v>6</v>
      </c>
      <c r="I415" t="s">
        <v>2112</v>
      </c>
      <c r="J415" t="s">
        <v>2109</v>
      </c>
      <c r="K415">
        <v>113.568</v>
      </c>
      <c r="L415">
        <f t="shared" si="12"/>
        <v>11356.8</v>
      </c>
      <c r="M415">
        <f t="shared" si="13"/>
        <v>2271.36</v>
      </c>
    </row>
    <row r="416" spans="1:13" x14ac:dyDescent="0.3">
      <c r="A416">
        <v>415</v>
      </c>
      <c r="B416" t="s">
        <v>531</v>
      </c>
      <c r="C416" s="1">
        <v>43407</v>
      </c>
      <c r="D416" s="1">
        <v>43411</v>
      </c>
      <c r="E416" t="s">
        <v>2118</v>
      </c>
      <c r="F416" t="s">
        <v>532</v>
      </c>
      <c r="G416" t="s">
        <v>533</v>
      </c>
      <c r="H416" t="s">
        <v>10</v>
      </c>
      <c r="I416" t="s">
        <v>2112</v>
      </c>
      <c r="J416" t="s">
        <v>2110</v>
      </c>
      <c r="K416">
        <v>139.86000000000001</v>
      </c>
      <c r="L416">
        <f t="shared" si="12"/>
        <v>13986.000000000002</v>
      </c>
      <c r="M416">
        <f t="shared" si="13"/>
        <v>2797.2000000000007</v>
      </c>
    </row>
    <row r="417" spans="1:13" x14ac:dyDescent="0.3">
      <c r="A417">
        <v>416</v>
      </c>
      <c r="B417" t="s">
        <v>531</v>
      </c>
      <c r="C417" s="1">
        <v>43407</v>
      </c>
      <c r="D417" s="1">
        <v>43411</v>
      </c>
      <c r="E417" t="s">
        <v>2118</v>
      </c>
      <c r="F417" t="s">
        <v>532</v>
      </c>
      <c r="G417" t="s">
        <v>533</v>
      </c>
      <c r="H417" t="s">
        <v>10</v>
      </c>
      <c r="I417" t="s">
        <v>2112</v>
      </c>
      <c r="J417" t="s">
        <v>2109</v>
      </c>
      <c r="K417">
        <v>307.13600000000002</v>
      </c>
      <c r="L417">
        <f t="shared" si="12"/>
        <v>30713.600000000002</v>
      </c>
      <c r="M417">
        <f t="shared" si="13"/>
        <v>6142.7200000000012</v>
      </c>
    </row>
    <row r="418" spans="1:13" x14ac:dyDescent="0.3">
      <c r="A418">
        <v>417</v>
      </c>
      <c r="B418" t="s">
        <v>534</v>
      </c>
      <c r="C418" s="1">
        <v>43275</v>
      </c>
      <c r="D418" s="1">
        <v>43279</v>
      </c>
      <c r="E418" t="s">
        <v>2118</v>
      </c>
      <c r="F418" t="s">
        <v>535</v>
      </c>
      <c r="G418" t="s">
        <v>536</v>
      </c>
      <c r="H418" t="s">
        <v>6</v>
      </c>
      <c r="I418" t="s">
        <v>2112</v>
      </c>
      <c r="J418" t="s">
        <v>2110</v>
      </c>
      <c r="K418">
        <v>95.92</v>
      </c>
      <c r="L418">
        <f t="shared" si="12"/>
        <v>9592</v>
      </c>
      <c r="M418">
        <f t="shared" si="13"/>
        <v>1918.4</v>
      </c>
    </row>
    <row r="419" spans="1:13" x14ac:dyDescent="0.3">
      <c r="A419">
        <v>418</v>
      </c>
      <c r="B419" t="s">
        <v>537</v>
      </c>
      <c r="C419" s="1">
        <v>42839</v>
      </c>
      <c r="D419" s="1">
        <v>42843</v>
      </c>
      <c r="E419" t="s">
        <v>2118</v>
      </c>
      <c r="F419" t="s">
        <v>538</v>
      </c>
      <c r="G419" t="s">
        <v>539</v>
      </c>
      <c r="H419" t="s">
        <v>6</v>
      </c>
      <c r="I419" t="s">
        <v>2112</v>
      </c>
      <c r="J419" t="s">
        <v>2109</v>
      </c>
      <c r="K419">
        <v>383.8</v>
      </c>
      <c r="L419">
        <f t="shared" si="12"/>
        <v>38380</v>
      </c>
      <c r="M419">
        <f t="shared" si="13"/>
        <v>7676</v>
      </c>
    </row>
    <row r="420" spans="1:13" x14ac:dyDescent="0.3">
      <c r="A420">
        <v>419</v>
      </c>
      <c r="B420" t="s">
        <v>540</v>
      </c>
      <c r="C420" s="1">
        <v>43410</v>
      </c>
      <c r="D420" s="1">
        <v>43414</v>
      </c>
      <c r="E420" t="s">
        <v>2118</v>
      </c>
      <c r="F420" t="s">
        <v>461</v>
      </c>
      <c r="G420" t="s">
        <v>462</v>
      </c>
      <c r="H420" t="s">
        <v>10</v>
      </c>
      <c r="I420" t="s">
        <v>2115</v>
      </c>
      <c r="J420" t="s">
        <v>2110</v>
      </c>
      <c r="K420">
        <v>5.78</v>
      </c>
      <c r="L420">
        <f t="shared" si="12"/>
        <v>578</v>
      </c>
      <c r="M420">
        <f t="shared" si="13"/>
        <v>115.60000000000001</v>
      </c>
    </row>
    <row r="421" spans="1:13" x14ac:dyDescent="0.3">
      <c r="A421">
        <v>420</v>
      </c>
      <c r="B421" t="s">
        <v>541</v>
      </c>
      <c r="C421" s="1">
        <v>43163</v>
      </c>
      <c r="D421" s="1">
        <v>43168</v>
      </c>
      <c r="E421" t="s">
        <v>2118</v>
      </c>
      <c r="F421" t="s">
        <v>418</v>
      </c>
      <c r="G421" t="s">
        <v>419</v>
      </c>
      <c r="H421" t="s">
        <v>10</v>
      </c>
      <c r="I421" t="s">
        <v>2112</v>
      </c>
      <c r="J421" t="s">
        <v>2110</v>
      </c>
      <c r="K421">
        <v>9.32</v>
      </c>
      <c r="L421">
        <f t="shared" si="12"/>
        <v>932</v>
      </c>
      <c r="M421">
        <f t="shared" si="13"/>
        <v>186.4</v>
      </c>
    </row>
    <row r="422" spans="1:13" x14ac:dyDescent="0.3">
      <c r="A422">
        <v>421</v>
      </c>
      <c r="B422" t="s">
        <v>541</v>
      </c>
      <c r="C422" s="1">
        <v>43163</v>
      </c>
      <c r="D422" s="1">
        <v>43168</v>
      </c>
      <c r="E422" t="s">
        <v>2118</v>
      </c>
      <c r="F422" t="s">
        <v>418</v>
      </c>
      <c r="G422" t="s">
        <v>419</v>
      </c>
      <c r="H422" t="s">
        <v>10</v>
      </c>
      <c r="I422" t="s">
        <v>2112</v>
      </c>
      <c r="J422" t="s">
        <v>2110</v>
      </c>
      <c r="K422">
        <v>15.25</v>
      </c>
      <c r="L422">
        <f t="shared" si="12"/>
        <v>1525</v>
      </c>
      <c r="M422">
        <f t="shared" si="13"/>
        <v>305</v>
      </c>
    </row>
    <row r="423" spans="1:13" x14ac:dyDescent="0.3">
      <c r="A423">
        <v>422</v>
      </c>
      <c r="B423" t="s">
        <v>542</v>
      </c>
      <c r="C423" s="1">
        <v>42177</v>
      </c>
      <c r="D423" s="1">
        <v>42180</v>
      </c>
      <c r="E423" t="s">
        <v>2120</v>
      </c>
      <c r="F423" t="s">
        <v>104</v>
      </c>
      <c r="G423" t="s">
        <v>105</v>
      </c>
      <c r="H423" t="s">
        <v>6</v>
      </c>
      <c r="I423" t="s">
        <v>2112</v>
      </c>
      <c r="J423" t="s">
        <v>2111</v>
      </c>
      <c r="K423">
        <v>196.75200000000001</v>
      </c>
      <c r="L423">
        <f t="shared" si="12"/>
        <v>19675.2</v>
      </c>
      <c r="M423">
        <f t="shared" si="13"/>
        <v>3935.0400000000004</v>
      </c>
    </row>
    <row r="424" spans="1:13" x14ac:dyDescent="0.3">
      <c r="A424">
        <v>423</v>
      </c>
      <c r="B424" t="s">
        <v>543</v>
      </c>
      <c r="C424" s="1">
        <v>43392</v>
      </c>
      <c r="D424" s="1">
        <v>43396</v>
      </c>
      <c r="E424" t="s">
        <v>2118</v>
      </c>
      <c r="F424" t="s">
        <v>544</v>
      </c>
      <c r="G424" t="s">
        <v>545</v>
      </c>
      <c r="H424" t="s">
        <v>10</v>
      </c>
      <c r="I424" t="s">
        <v>2114</v>
      </c>
      <c r="J424" t="s">
        <v>2109</v>
      </c>
      <c r="K424">
        <v>56.56</v>
      </c>
      <c r="L424">
        <f t="shared" si="12"/>
        <v>5656</v>
      </c>
      <c r="M424">
        <f t="shared" si="13"/>
        <v>1131.2</v>
      </c>
    </row>
    <row r="425" spans="1:13" x14ac:dyDescent="0.3">
      <c r="A425">
        <v>424</v>
      </c>
      <c r="B425" t="s">
        <v>543</v>
      </c>
      <c r="C425" s="1">
        <v>43392</v>
      </c>
      <c r="D425" s="1">
        <v>43396</v>
      </c>
      <c r="E425" t="s">
        <v>2118</v>
      </c>
      <c r="F425" t="s">
        <v>544</v>
      </c>
      <c r="G425" t="s">
        <v>545</v>
      </c>
      <c r="H425" t="s">
        <v>10</v>
      </c>
      <c r="I425" t="s">
        <v>2114</v>
      </c>
      <c r="J425" t="s">
        <v>2110</v>
      </c>
      <c r="K425">
        <v>32.700000000000003</v>
      </c>
      <c r="L425">
        <f t="shared" si="12"/>
        <v>3270.0000000000005</v>
      </c>
      <c r="M425">
        <f t="shared" si="13"/>
        <v>654.00000000000011</v>
      </c>
    </row>
    <row r="426" spans="1:13" x14ac:dyDescent="0.3">
      <c r="A426">
        <v>425</v>
      </c>
      <c r="B426" t="s">
        <v>546</v>
      </c>
      <c r="C426" s="1">
        <v>43333</v>
      </c>
      <c r="D426" s="1">
        <v>43335</v>
      </c>
      <c r="E426" t="s">
        <v>2119</v>
      </c>
      <c r="F426" t="s">
        <v>547</v>
      </c>
      <c r="G426" t="s">
        <v>548</v>
      </c>
      <c r="H426" t="s">
        <v>6</v>
      </c>
      <c r="I426" t="s">
        <v>2115</v>
      </c>
      <c r="J426" t="s">
        <v>2109</v>
      </c>
      <c r="K426">
        <v>866.4</v>
      </c>
      <c r="L426">
        <f t="shared" si="12"/>
        <v>86640</v>
      </c>
      <c r="M426">
        <f t="shared" si="13"/>
        <v>17328</v>
      </c>
    </row>
    <row r="427" spans="1:13" x14ac:dyDescent="0.3">
      <c r="A427">
        <v>426</v>
      </c>
      <c r="B427" t="s">
        <v>549</v>
      </c>
      <c r="C427" s="1">
        <v>43427</v>
      </c>
      <c r="D427" s="1">
        <v>43430</v>
      </c>
      <c r="E427" t="s">
        <v>2119</v>
      </c>
      <c r="F427" t="s">
        <v>82</v>
      </c>
      <c r="G427" t="s">
        <v>83</v>
      </c>
      <c r="H427" t="s">
        <v>10</v>
      </c>
      <c r="I427" t="s">
        <v>2117</v>
      </c>
      <c r="J427" t="s">
        <v>2109</v>
      </c>
      <c r="K427">
        <v>28.4</v>
      </c>
      <c r="L427">
        <f t="shared" si="12"/>
        <v>2840</v>
      </c>
      <c r="M427">
        <f t="shared" si="13"/>
        <v>568</v>
      </c>
    </row>
    <row r="428" spans="1:13" x14ac:dyDescent="0.3">
      <c r="A428">
        <v>427</v>
      </c>
      <c r="B428" t="s">
        <v>549</v>
      </c>
      <c r="C428" s="1">
        <v>43427</v>
      </c>
      <c r="D428" s="1">
        <v>43430</v>
      </c>
      <c r="E428" t="s">
        <v>2119</v>
      </c>
      <c r="F428" t="s">
        <v>82</v>
      </c>
      <c r="G428" t="s">
        <v>83</v>
      </c>
      <c r="H428" t="s">
        <v>10</v>
      </c>
      <c r="I428" t="s">
        <v>2117</v>
      </c>
      <c r="J428" t="s">
        <v>2110</v>
      </c>
      <c r="K428">
        <v>287.92</v>
      </c>
      <c r="L428">
        <f t="shared" si="12"/>
        <v>28792</v>
      </c>
      <c r="M428">
        <f t="shared" si="13"/>
        <v>5758.4000000000005</v>
      </c>
    </row>
    <row r="429" spans="1:13" x14ac:dyDescent="0.3">
      <c r="A429">
        <v>428</v>
      </c>
      <c r="B429" t="s">
        <v>550</v>
      </c>
      <c r="C429" s="1">
        <v>42259</v>
      </c>
      <c r="D429" s="1">
        <v>42260</v>
      </c>
      <c r="E429" t="s">
        <v>2120</v>
      </c>
      <c r="F429" t="s">
        <v>551</v>
      </c>
      <c r="G429" t="s">
        <v>552</v>
      </c>
      <c r="H429" t="s">
        <v>26</v>
      </c>
      <c r="I429" t="s">
        <v>2114</v>
      </c>
      <c r="J429" t="s">
        <v>2111</v>
      </c>
      <c r="K429">
        <v>69.989999999999995</v>
      </c>
      <c r="L429">
        <f t="shared" si="12"/>
        <v>6998.9999999999991</v>
      </c>
      <c r="M429">
        <f t="shared" si="13"/>
        <v>1399.8</v>
      </c>
    </row>
    <row r="430" spans="1:13" x14ac:dyDescent="0.3">
      <c r="A430">
        <v>429</v>
      </c>
      <c r="B430" t="s">
        <v>553</v>
      </c>
      <c r="C430" s="1">
        <v>43374</v>
      </c>
      <c r="D430" s="1">
        <v>43381</v>
      </c>
      <c r="E430" t="s">
        <v>2118</v>
      </c>
      <c r="F430" t="s">
        <v>554</v>
      </c>
      <c r="G430" t="s">
        <v>555</v>
      </c>
      <c r="H430" t="s">
        <v>10</v>
      </c>
      <c r="I430" t="s">
        <v>2117</v>
      </c>
      <c r="J430" t="s">
        <v>2110</v>
      </c>
      <c r="K430">
        <v>6.6719999999999997</v>
      </c>
      <c r="L430">
        <f t="shared" si="12"/>
        <v>667.19999999999993</v>
      </c>
      <c r="M430">
        <f t="shared" si="13"/>
        <v>133.44</v>
      </c>
    </row>
    <row r="431" spans="1:13" x14ac:dyDescent="0.3">
      <c r="A431">
        <v>430</v>
      </c>
      <c r="B431" t="s">
        <v>556</v>
      </c>
      <c r="C431" s="1">
        <v>42840</v>
      </c>
      <c r="D431" s="1">
        <v>42846</v>
      </c>
      <c r="E431" t="s">
        <v>2118</v>
      </c>
      <c r="F431" t="s">
        <v>557</v>
      </c>
      <c r="G431" t="s">
        <v>558</v>
      </c>
      <c r="H431" t="s">
        <v>26</v>
      </c>
      <c r="I431" t="s">
        <v>2115</v>
      </c>
      <c r="J431" t="s">
        <v>2110</v>
      </c>
      <c r="K431">
        <v>189.58799999999999</v>
      </c>
      <c r="L431">
        <f t="shared" si="12"/>
        <v>18958.8</v>
      </c>
      <c r="M431">
        <f t="shared" si="13"/>
        <v>3791.76</v>
      </c>
    </row>
    <row r="432" spans="1:13" x14ac:dyDescent="0.3">
      <c r="A432">
        <v>431</v>
      </c>
      <c r="B432" t="s">
        <v>556</v>
      </c>
      <c r="C432" s="1">
        <v>42840</v>
      </c>
      <c r="D432" s="1">
        <v>42846</v>
      </c>
      <c r="E432" t="s">
        <v>2118</v>
      </c>
      <c r="F432" t="s">
        <v>557</v>
      </c>
      <c r="G432" t="s">
        <v>558</v>
      </c>
      <c r="H432" t="s">
        <v>26</v>
      </c>
      <c r="I432" t="s">
        <v>2115</v>
      </c>
      <c r="J432" t="s">
        <v>2111</v>
      </c>
      <c r="K432">
        <v>408.74400000000003</v>
      </c>
      <c r="L432">
        <f t="shared" si="12"/>
        <v>40874.400000000001</v>
      </c>
      <c r="M432">
        <f t="shared" si="13"/>
        <v>8174.880000000001</v>
      </c>
    </row>
    <row r="433" spans="1:13" x14ac:dyDescent="0.3">
      <c r="A433">
        <v>432</v>
      </c>
      <c r="B433" t="s">
        <v>556</v>
      </c>
      <c r="C433" s="1">
        <v>42840</v>
      </c>
      <c r="D433" s="1">
        <v>42846</v>
      </c>
      <c r="E433" t="s">
        <v>2118</v>
      </c>
      <c r="F433" t="s">
        <v>557</v>
      </c>
      <c r="G433" t="s">
        <v>558</v>
      </c>
      <c r="H433" t="s">
        <v>26</v>
      </c>
      <c r="I433" t="s">
        <v>2115</v>
      </c>
      <c r="J433" t="s">
        <v>2111</v>
      </c>
      <c r="K433">
        <v>291.95999999999998</v>
      </c>
      <c r="L433">
        <f t="shared" si="12"/>
        <v>29195.999999999996</v>
      </c>
      <c r="M433">
        <f t="shared" si="13"/>
        <v>5839.2</v>
      </c>
    </row>
    <row r="434" spans="1:13" x14ac:dyDescent="0.3">
      <c r="A434">
        <v>433</v>
      </c>
      <c r="B434" t="s">
        <v>556</v>
      </c>
      <c r="C434" s="1">
        <v>42840</v>
      </c>
      <c r="D434" s="1">
        <v>42846</v>
      </c>
      <c r="E434" t="s">
        <v>2118</v>
      </c>
      <c r="F434" t="s">
        <v>557</v>
      </c>
      <c r="G434" t="s">
        <v>558</v>
      </c>
      <c r="H434" t="s">
        <v>26</v>
      </c>
      <c r="I434" t="s">
        <v>2115</v>
      </c>
      <c r="J434" t="s">
        <v>2110</v>
      </c>
      <c r="K434">
        <v>4.7679999999999998</v>
      </c>
      <c r="L434">
        <f t="shared" si="12"/>
        <v>476.79999999999995</v>
      </c>
      <c r="M434">
        <f t="shared" si="13"/>
        <v>95.36</v>
      </c>
    </row>
    <row r="435" spans="1:13" x14ac:dyDescent="0.3">
      <c r="A435">
        <v>434</v>
      </c>
      <c r="B435" t="s">
        <v>559</v>
      </c>
      <c r="C435" s="1">
        <v>42892</v>
      </c>
      <c r="D435" s="1">
        <v>42893</v>
      </c>
      <c r="E435" t="s">
        <v>2120</v>
      </c>
      <c r="F435" t="s">
        <v>226</v>
      </c>
      <c r="G435" t="s">
        <v>227</v>
      </c>
      <c r="H435" t="s">
        <v>6</v>
      </c>
      <c r="I435" t="s">
        <v>2114</v>
      </c>
      <c r="J435" t="s">
        <v>2110</v>
      </c>
      <c r="K435">
        <v>714.3</v>
      </c>
      <c r="L435">
        <f t="shared" si="12"/>
        <v>71430</v>
      </c>
      <c r="M435">
        <f t="shared" si="13"/>
        <v>14286</v>
      </c>
    </row>
    <row r="436" spans="1:13" x14ac:dyDescent="0.3">
      <c r="A436">
        <v>435</v>
      </c>
      <c r="B436" t="s">
        <v>560</v>
      </c>
      <c r="C436" s="1">
        <v>42357</v>
      </c>
      <c r="D436" s="1">
        <v>42363</v>
      </c>
      <c r="E436" t="s">
        <v>2118</v>
      </c>
      <c r="F436" t="s">
        <v>561</v>
      </c>
      <c r="G436" t="s">
        <v>562</v>
      </c>
      <c r="H436" t="s">
        <v>6</v>
      </c>
      <c r="I436" t="s">
        <v>2115</v>
      </c>
      <c r="J436" t="s">
        <v>2110</v>
      </c>
      <c r="K436">
        <v>4.8120000000000003</v>
      </c>
      <c r="L436">
        <f t="shared" si="12"/>
        <v>481.20000000000005</v>
      </c>
      <c r="M436">
        <f t="shared" si="13"/>
        <v>96.240000000000009</v>
      </c>
    </row>
    <row r="437" spans="1:13" x14ac:dyDescent="0.3">
      <c r="A437">
        <v>436</v>
      </c>
      <c r="B437" t="s">
        <v>560</v>
      </c>
      <c r="C437" s="1">
        <v>42357</v>
      </c>
      <c r="D437" s="1">
        <v>42363</v>
      </c>
      <c r="E437" t="s">
        <v>2118</v>
      </c>
      <c r="F437" t="s">
        <v>561</v>
      </c>
      <c r="G437" t="s">
        <v>562</v>
      </c>
      <c r="H437" t="s">
        <v>6</v>
      </c>
      <c r="I437" t="s">
        <v>2115</v>
      </c>
      <c r="J437" t="s">
        <v>2111</v>
      </c>
      <c r="K437">
        <v>247.8</v>
      </c>
      <c r="L437">
        <f t="shared" si="12"/>
        <v>24780</v>
      </c>
      <c r="M437">
        <f t="shared" si="13"/>
        <v>4956</v>
      </c>
    </row>
    <row r="438" spans="1:13" x14ac:dyDescent="0.3">
      <c r="A438">
        <v>437</v>
      </c>
      <c r="B438" t="s">
        <v>563</v>
      </c>
      <c r="C438" s="1">
        <v>42898</v>
      </c>
      <c r="D438" s="1">
        <v>42900</v>
      </c>
      <c r="E438" t="s">
        <v>2119</v>
      </c>
      <c r="F438" t="s">
        <v>564</v>
      </c>
      <c r="G438" t="s">
        <v>565</v>
      </c>
      <c r="H438" t="s">
        <v>26</v>
      </c>
      <c r="I438" t="s">
        <v>2117</v>
      </c>
      <c r="J438" t="s">
        <v>2111</v>
      </c>
      <c r="K438">
        <v>1007.979</v>
      </c>
      <c r="L438">
        <f t="shared" si="12"/>
        <v>100797.90000000001</v>
      </c>
      <c r="M438">
        <f t="shared" si="13"/>
        <v>20159.580000000002</v>
      </c>
    </row>
    <row r="439" spans="1:13" x14ac:dyDescent="0.3">
      <c r="A439">
        <v>438</v>
      </c>
      <c r="B439" t="s">
        <v>563</v>
      </c>
      <c r="C439" s="1">
        <v>42898</v>
      </c>
      <c r="D439" s="1">
        <v>42900</v>
      </c>
      <c r="E439" t="s">
        <v>2119</v>
      </c>
      <c r="F439" t="s">
        <v>564</v>
      </c>
      <c r="G439" t="s">
        <v>565</v>
      </c>
      <c r="H439" t="s">
        <v>26</v>
      </c>
      <c r="I439" t="s">
        <v>2117</v>
      </c>
      <c r="J439" t="s">
        <v>2110</v>
      </c>
      <c r="K439">
        <v>313.488</v>
      </c>
      <c r="L439">
        <f t="shared" si="12"/>
        <v>31348.799999999999</v>
      </c>
      <c r="M439">
        <f t="shared" si="13"/>
        <v>6269.76</v>
      </c>
    </row>
    <row r="440" spans="1:13" x14ac:dyDescent="0.3">
      <c r="A440">
        <v>439</v>
      </c>
      <c r="B440" t="s">
        <v>566</v>
      </c>
      <c r="C440" s="1">
        <v>43358</v>
      </c>
      <c r="D440" s="1">
        <v>43362</v>
      </c>
      <c r="E440" t="s">
        <v>2118</v>
      </c>
      <c r="F440" t="s">
        <v>567</v>
      </c>
      <c r="G440" t="s">
        <v>568</v>
      </c>
      <c r="H440" t="s">
        <v>10</v>
      </c>
      <c r="I440" t="s">
        <v>2117</v>
      </c>
      <c r="J440" t="s">
        <v>2110</v>
      </c>
      <c r="K440">
        <v>31.872</v>
      </c>
      <c r="L440">
        <f t="shared" si="12"/>
        <v>3187.2</v>
      </c>
      <c r="M440">
        <f t="shared" si="13"/>
        <v>637.44000000000005</v>
      </c>
    </row>
    <row r="441" spans="1:13" x14ac:dyDescent="0.3">
      <c r="A441">
        <v>440</v>
      </c>
      <c r="B441" t="s">
        <v>569</v>
      </c>
      <c r="C441" s="1">
        <v>43120</v>
      </c>
      <c r="D441" s="1">
        <v>43123</v>
      </c>
      <c r="E441" t="s">
        <v>2119</v>
      </c>
      <c r="F441" t="s">
        <v>163</v>
      </c>
      <c r="G441" t="s">
        <v>164</v>
      </c>
      <c r="H441" t="s">
        <v>10</v>
      </c>
      <c r="I441" t="s">
        <v>2114</v>
      </c>
      <c r="J441" t="s">
        <v>2109</v>
      </c>
      <c r="K441">
        <v>207.846</v>
      </c>
      <c r="L441">
        <f t="shared" si="12"/>
        <v>20784.599999999999</v>
      </c>
      <c r="M441">
        <f t="shared" si="13"/>
        <v>4156.92</v>
      </c>
    </row>
    <row r="442" spans="1:13" x14ac:dyDescent="0.3">
      <c r="A442">
        <v>441</v>
      </c>
      <c r="B442" t="s">
        <v>570</v>
      </c>
      <c r="C442" s="1">
        <v>42983</v>
      </c>
      <c r="D442" s="1">
        <v>42985</v>
      </c>
      <c r="E442" t="s">
        <v>2119</v>
      </c>
      <c r="F442" t="s">
        <v>28</v>
      </c>
      <c r="G442" t="s">
        <v>29</v>
      </c>
      <c r="H442" t="s">
        <v>6</v>
      </c>
      <c r="I442" t="s">
        <v>2117</v>
      </c>
      <c r="J442" t="s">
        <v>2109</v>
      </c>
      <c r="K442">
        <v>12.22</v>
      </c>
      <c r="L442">
        <f t="shared" si="12"/>
        <v>1222</v>
      </c>
      <c r="M442">
        <f t="shared" si="13"/>
        <v>244.4</v>
      </c>
    </row>
    <row r="443" spans="1:13" x14ac:dyDescent="0.3">
      <c r="A443">
        <v>442</v>
      </c>
      <c r="B443" t="s">
        <v>570</v>
      </c>
      <c r="C443" s="1">
        <v>42983</v>
      </c>
      <c r="D443" s="1">
        <v>42985</v>
      </c>
      <c r="E443" t="s">
        <v>2119</v>
      </c>
      <c r="F443" t="s">
        <v>28</v>
      </c>
      <c r="G443" t="s">
        <v>29</v>
      </c>
      <c r="H443" t="s">
        <v>6</v>
      </c>
      <c r="I443" t="s">
        <v>2117</v>
      </c>
      <c r="J443" t="s">
        <v>2110</v>
      </c>
      <c r="K443">
        <v>194.94</v>
      </c>
      <c r="L443">
        <f t="shared" si="12"/>
        <v>19494</v>
      </c>
      <c r="M443">
        <f t="shared" si="13"/>
        <v>3898.8</v>
      </c>
    </row>
    <row r="444" spans="1:13" x14ac:dyDescent="0.3">
      <c r="A444">
        <v>443</v>
      </c>
      <c r="B444" t="s">
        <v>570</v>
      </c>
      <c r="C444" s="1">
        <v>42983</v>
      </c>
      <c r="D444" s="1">
        <v>42985</v>
      </c>
      <c r="E444" t="s">
        <v>2119</v>
      </c>
      <c r="F444" t="s">
        <v>28</v>
      </c>
      <c r="G444" t="s">
        <v>29</v>
      </c>
      <c r="H444" t="s">
        <v>6</v>
      </c>
      <c r="I444" t="s">
        <v>2117</v>
      </c>
      <c r="J444" t="s">
        <v>2110</v>
      </c>
      <c r="K444">
        <v>70.95</v>
      </c>
      <c r="L444">
        <f t="shared" si="12"/>
        <v>7095</v>
      </c>
      <c r="M444">
        <f t="shared" si="13"/>
        <v>1419</v>
      </c>
    </row>
    <row r="445" spans="1:13" x14ac:dyDescent="0.3">
      <c r="A445">
        <v>444</v>
      </c>
      <c r="B445" t="s">
        <v>570</v>
      </c>
      <c r="C445" s="1">
        <v>42983</v>
      </c>
      <c r="D445" s="1">
        <v>42985</v>
      </c>
      <c r="E445" t="s">
        <v>2119</v>
      </c>
      <c r="F445" t="s">
        <v>28</v>
      </c>
      <c r="G445" t="s">
        <v>29</v>
      </c>
      <c r="H445" t="s">
        <v>6</v>
      </c>
      <c r="I445" t="s">
        <v>2117</v>
      </c>
      <c r="J445" t="s">
        <v>2110</v>
      </c>
      <c r="K445">
        <v>91.36</v>
      </c>
      <c r="L445">
        <f t="shared" si="12"/>
        <v>9136</v>
      </c>
      <c r="M445">
        <f t="shared" si="13"/>
        <v>1827.2</v>
      </c>
    </row>
    <row r="446" spans="1:13" x14ac:dyDescent="0.3">
      <c r="A446">
        <v>445</v>
      </c>
      <c r="B446" t="s">
        <v>570</v>
      </c>
      <c r="C446" s="1">
        <v>42983</v>
      </c>
      <c r="D446" s="1">
        <v>42985</v>
      </c>
      <c r="E446" t="s">
        <v>2119</v>
      </c>
      <c r="F446" t="s">
        <v>28</v>
      </c>
      <c r="G446" t="s">
        <v>29</v>
      </c>
      <c r="H446" t="s">
        <v>6</v>
      </c>
      <c r="I446" t="s">
        <v>2117</v>
      </c>
      <c r="J446" t="s">
        <v>2109</v>
      </c>
      <c r="K446">
        <v>242.94</v>
      </c>
      <c r="L446">
        <f t="shared" si="12"/>
        <v>24294</v>
      </c>
      <c r="M446">
        <f t="shared" si="13"/>
        <v>4858.8</v>
      </c>
    </row>
    <row r="447" spans="1:13" x14ac:dyDescent="0.3">
      <c r="A447">
        <v>446</v>
      </c>
      <c r="B447" t="s">
        <v>570</v>
      </c>
      <c r="C447" s="1">
        <v>42983</v>
      </c>
      <c r="D447" s="1">
        <v>42985</v>
      </c>
      <c r="E447" t="s">
        <v>2119</v>
      </c>
      <c r="F447" t="s">
        <v>28</v>
      </c>
      <c r="G447" t="s">
        <v>29</v>
      </c>
      <c r="H447" t="s">
        <v>6</v>
      </c>
      <c r="I447" t="s">
        <v>2117</v>
      </c>
      <c r="J447" t="s">
        <v>2110</v>
      </c>
      <c r="K447">
        <v>22.05</v>
      </c>
      <c r="L447">
        <f t="shared" si="12"/>
        <v>2205</v>
      </c>
      <c r="M447">
        <f t="shared" si="13"/>
        <v>441</v>
      </c>
    </row>
    <row r="448" spans="1:13" x14ac:dyDescent="0.3">
      <c r="A448">
        <v>447</v>
      </c>
      <c r="B448" t="s">
        <v>571</v>
      </c>
      <c r="C448" s="1">
        <v>43179</v>
      </c>
      <c r="D448" s="1">
        <v>43184</v>
      </c>
      <c r="E448" t="s">
        <v>2119</v>
      </c>
      <c r="F448" t="s">
        <v>572</v>
      </c>
      <c r="G448" t="s">
        <v>573</v>
      </c>
      <c r="H448" t="s">
        <v>6</v>
      </c>
      <c r="I448" t="s">
        <v>2117</v>
      </c>
      <c r="J448" t="s">
        <v>2109</v>
      </c>
      <c r="K448">
        <v>2.91</v>
      </c>
      <c r="L448">
        <f t="shared" si="12"/>
        <v>291</v>
      </c>
      <c r="M448">
        <f t="shared" si="13"/>
        <v>58.2</v>
      </c>
    </row>
    <row r="449" spans="1:13" x14ac:dyDescent="0.3">
      <c r="A449">
        <v>448</v>
      </c>
      <c r="B449" t="s">
        <v>574</v>
      </c>
      <c r="C449" s="1">
        <v>42826</v>
      </c>
      <c r="D449" s="1">
        <v>42828</v>
      </c>
      <c r="E449" t="s">
        <v>2119</v>
      </c>
      <c r="F449" t="s">
        <v>575</v>
      </c>
      <c r="G449" t="s">
        <v>576</v>
      </c>
      <c r="H449" t="s">
        <v>6</v>
      </c>
      <c r="I449" t="s">
        <v>2114</v>
      </c>
      <c r="J449" t="s">
        <v>2110</v>
      </c>
      <c r="K449">
        <v>59.52</v>
      </c>
      <c r="L449">
        <f t="shared" si="12"/>
        <v>5952</v>
      </c>
      <c r="M449">
        <f t="shared" si="13"/>
        <v>1190.4000000000001</v>
      </c>
    </row>
    <row r="450" spans="1:13" x14ac:dyDescent="0.3">
      <c r="A450">
        <v>449</v>
      </c>
      <c r="B450" t="s">
        <v>574</v>
      </c>
      <c r="C450" s="1">
        <v>42826</v>
      </c>
      <c r="D450" s="1">
        <v>42828</v>
      </c>
      <c r="E450" t="s">
        <v>2119</v>
      </c>
      <c r="F450" t="s">
        <v>575</v>
      </c>
      <c r="G450" t="s">
        <v>576</v>
      </c>
      <c r="H450" t="s">
        <v>6</v>
      </c>
      <c r="I450" t="s">
        <v>2114</v>
      </c>
      <c r="J450" t="s">
        <v>2110</v>
      </c>
      <c r="K450">
        <v>161.94</v>
      </c>
      <c r="L450">
        <f t="shared" ref="L450:L513" si="14">K450*100</f>
        <v>16194</v>
      </c>
      <c r="M450">
        <f t="shared" si="13"/>
        <v>3238.8</v>
      </c>
    </row>
    <row r="451" spans="1:13" x14ac:dyDescent="0.3">
      <c r="A451">
        <v>450</v>
      </c>
      <c r="B451" t="s">
        <v>574</v>
      </c>
      <c r="C451" s="1">
        <v>42826</v>
      </c>
      <c r="D451" s="1">
        <v>42828</v>
      </c>
      <c r="E451" t="s">
        <v>2119</v>
      </c>
      <c r="F451" t="s">
        <v>575</v>
      </c>
      <c r="G451" t="s">
        <v>576</v>
      </c>
      <c r="H451" t="s">
        <v>6</v>
      </c>
      <c r="I451" t="s">
        <v>2114</v>
      </c>
      <c r="J451" t="s">
        <v>2110</v>
      </c>
      <c r="K451">
        <v>263.88</v>
      </c>
      <c r="L451">
        <f t="shared" si="14"/>
        <v>26388</v>
      </c>
      <c r="M451">
        <f t="shared" ref="M451:M514" si="15">L451*0.2</f>
        <v>5277.6</v>
      </c>
    </row>
    <row r="452" spans="1:13" x14ac:dyDescent="0.3">
      <c r="A452">
        <v>451</v>
      </c>
      <c r="B452" t="s">
        <v>574</v>
      </c>
      <c r="C452" s="1">
        <v>42826</v>
      </c>
      <c r="D452" s="1">
        <v>42828</v>
      </c>
      <c r="E452" t="s">
        <v>2119</v>
      </c>
      <c r="F452" t="s">
        <v>575</v>
      </c>
      <c r="G452" t="s">
        <v>576</v>
      </c>
      <c r="H452" t="s">
        <v>6</v>
      </c>
      <c r="I452" t="s">
        <v>2114</v>
      </c>
      <c r="J452" t="s">
        <v>2110</v>
      </c>
      <c r="K452">
        <v>30.48</v>
      </c>
      <c r="L452">
        <f t="shared" si="14"/>
        <v>3048</v>
      </c>
      <c r="M452">
        <f t="shared" si="15"/>
        <v>609.6</v>
      </c>
    </row>
    <row r="453" spans="1:13" x14ac:dyDescent="0.3">
      <c r="A453">
        <v>452</v>
      </c>
      <c r="B453" t="s">
        <v>574</v>
      </c>
      <c r="C453" s="1">
        <v>42826</v>
      </c>
      <c r="D453" s="1">
        <v>42828</v>
      </c>
      <c r="E453" t="s">
        <v>2119</v>
      </c>
      <c r="F453" t="s">
        <v>575</v>
      </c>
      <c r="G453" t="s">
        <v>576</v>
      </c>
      <c r="H453" t="s">
        <v>6</v>
      </c>
      <c r="I453" t="s">
        <v>2114</v>
      </c>
      <c r="J453" t="s">
        <v>2110</v>
      </c>
      <c r="K453">
        <v>9.84</v>
      </c>
      <c r="L453">
        <f t="shared" si="14"/>
        <v>984</v>
      </c>
      <c r="M453">
        <f t="shared" si="15"/>
        <v>196.8</v>
      </c>
    </row>
    <row r="454" spans="1:13" x14ac:dyDescent="0.3">
      <c r="A454">
        <v>453</v>
      </c>
      <c r="B454" t="s">
        <v>574</v>
      </c>
      <c r="C454" s="1">
        <v>42826</v>
      </c>
      <c r="D454" s="1">
        <v>42828</v>
      </c>
      <c r="E454" t="s">
        <v>2119</v>
      </c>
      <c r="F454" t="s">
        <v>575</v>
      </c>
      <c r="G454" t="s">
        <v>576</v>
      </c>
      <c r="H454" t="s">
        <v>6</v>
      </c>
      <c r="I454" t="s">
        <v>2114</v>
      </c>
      <c r="J454" t="s">
        <v>2111</v>
      </c>
      <c r="K454">
        <v>35.119999999999997</v>
      </c>
      <c r="L454">
        <f t="shared" si="14"/>
        <v>3511.9999999999995</v>
      </c>
      <c r="M454">
        <f t="shared" si="15"/>
        <v>702.4</v>
      </c>
    </row>
    <row r="455" spans="1:13" x14ac:dyDescent="0.3">
      <c r="A455">
        <v>454</v>
      </c>
      <c r="B455" t="s">
        <v>577</v>
      </c>
      <c r="C455" s="1">
        <v>43393</v>
      </c>
      <c r="D455" s="1">
        <v>43397</v>
      </c>
      <c r="E455" t="s">
        <v>2118</v>
      </c>
      <c r="F455" t="s">
        <v>578</v>
      </c>
      <c r="G455" t="s">
        <v>579</v>
      </c>
      <c r="H455" t="s">
        <v>10</v>
      </c>
      <c r="I455" t="s">
        <v>2114</v>
      </c>
      <c r="J455" t="s">
        <v>2109</v>
      </c>
      <c r="K455">
        <v>284.36399999999998</v>
      </c>
      <c r="L455">
        <f t="shared" si="14"/>
        <v>28436.399999999998</v>
      </c>
      <c r="M455">
        <f t="shared" si="15"/>
        <v>5687.28</v>
      </c>
    </row>
    <row r="456" spans="1:13" x14ac:dyDescent="0.3">
      <c r="A456">
        <v>455</v>
      </c>
      <c r="B456" t="s">
        <v>577</v>
      </c>
      <c r="C456" s="1">
        <v>43393</v>
      </c>
      <c r="D456" s="1">
        <v>43397</v>
      </c>
      <c r="E456" t="s">
        <v>2118</v>
      </c>
      <c r="F456" t="s">
        <v>578</v>
      </c>
      <c r="G456" t="s">
        <v>579</v>
      </c>
      <c r="H456" t="s">
        <v>10</v>
      </c>
      <c r="I456" t="s">
        <v>2114</v>
      </c>
      <c r="J456" t="s">
        <v>2110</v>
      </c>
      <c r="K456">
        <v>665.40800000000002</v>
      </c>
      <c r="L456">
        <f t="shared" si="14"/>
        <v>66540.800000000003</v>
      </c>
      <c r="M456">
        <f t="shared" si="15"/>
        <v>13308.160000000002</v>
      </c>
    </row>
    <row r="457" spans="1:13" x14ac:dyDescent="0.3">
      <c r="A457">
        <v>456</v>
      </c>
      <c r="B457" t="s">
        <v>580</v>
      </c>
      <c r="C457" s="1">
        <v>43082</v>
      </c>
      <c r="D457" s="1">
        <v>43086</v>
      </c>
      <c r="E457" t="s">
        <v>2118</v>
      </c>
      <c r="F457" t="s">
        <v>554</v>
      </c>
      <c r="G457" t="s">
        <v>555</v>
      </c>
      <c r="H457" t="s">
        <v>10</v>
      </c>
      <c r="I457" t="s">
        <v>2117</v>
      </c>
      <c r="J457" t="s">
        <v>2111</v>
      </c>
      <c r="K457">
        <v>63.88</v>
      </c>
      <c r="L457">
        <f t="shared" si="14"/>
        <v>6388</v>
      </c>
      <c r="M457">
        <f t="shared" si="15"/>
        <v>1277.6000000000001</v>
      </c>
    </row>
    <row r="458" spans="1:13" x14ac:dyDescent="0.3">
      <c r="A458">
        <v>457</v>
      </c>
      <c r="B458" t="s">
        <v>581</v>
      </c>
      <c r="C458" s="1">
        <v>42047</v>
      </c>
      <c r="D458" s="1">
        <v>42053</v>
      </c>
      <c r="E458" t="s">
        <v>2118</v>
      </c>
      <c r="F458" t="s">
        <v>582</v>
      </c>
      <c r="G458" t="s">
        <v>583</v>
      </c>
      <c r="H458" t="s">
        <v>6</v>
      </c>
      <c r="I458" t="s">
        <v>2112</v>
      </c>
      <c r="J458" t="s">
        <v>2109</v>
      </c>
      <c r="K458">
        <v>129.56800000000001</v>
      </c>
      <c r="L458">
        <f t="shared" si="14"/>
        <v>12956.800000000001</v>
      </c>
      <c r="M458">
        <f t="shared" si="15"/>
        <v>2591.3600000000006</v>
      </c>
    </row>
    <row r="459" spans="1:13" x14ac:dyDescent="0.3">
      <c r="A459">
        <v>458</v>
      </c>
      <c r="B459" t="s">
        <v>584</v>
      </c>
      <c r="C459" s="1">
        <v>43004</v>
      </c>
      <c r="D459" s="1">
        <v>43009</v>
      </c>
      <c r="E459" t="s">
        <v>2118</v>
      </c>
      <c r="F459" t="s">
        <v>547</v>
      </c>
      <c r="G459" t="s">
        <v>548</v>
      </c>
      <c r="H459" t="s">
        <v>6</v>
      </c>
      <c r="I459" t="s">
        <v>2117</v>
      </c>
      <c r="J459" t="s">
        <v>2109</v>
      </c>
      <c r="K459">
        <v>747.55799999999999</v>
      </c>
      <c r="L459">
        <f t="shared" si="14"/>
        <v>74755.8</v>
      </c>
      <c r="M459">
        <f t="shared" si="15"/>
        <v>14951.160000000002</v>
      </c>
    </row>
    <row r="460" spans="1:13" x14ac:dyDescent="0.3">
      <c r="A460">
        <v>459</v>
      </c>
      <c r="B460" t="s">
        <v>584</v>
      </c>
      <c r="C460" s="1">
        <v>43004</v>
      </c>
      <c r="D460" s="1">
        <v>43009</v>
      </c>
      <c r="E460" t="s">
        <v>2118</v>
      </c>
      <c r="F460" t="s">
        <v>547</v>
      </c>
      <c r="G460" t="s">
        <v>548</v>
      </c>
      <c r="H460" t="s">
        <v>6</v>
      </c>
      <c r="I460" t="s">
        <v>2117</v>
      </c>
      <c r="J460" t="s">
        <v>2110</v>
      </c>
      <c r="K460">
        <v>8.9280000000000008</v>
      </c>
      <c r="L460">
        <f t="shared" si="14"/>
        <v>892.80000000000007</v>
      </c>
      <c r="M460">
        <f t="shared" si="15"/>
        <v>178.56000000000003</v>
      </c>
    </row>
    <row r="461" spans="1:13" x14ac:dyDescent="0.3">
      <c r="A461">
        <v>460</v>
      </c>
      <c r="B461" t="s">
        <v>585</v>
      </c>
      <c r="C461" s="1">
        <v>42719</v>
      </c>
      <c r="D461" s="1">
        <v>42726</v>
      </c>
      <c r="E461" t="s">
        <v>2118</v>
      </c>
      <c r="F461" t="s">
        <v>305</v>
      </c>
      <c r="G461" t="s">
        <v>306</v>
      </c>
      <c r="H461" t="s">
        <v>6</v>
      </c>
      <c r="I461" t="s">
        <v>2112</v>
      </c>
      <c r="J461" t="s">
        <v>2110</v>
      </c>
      <c r="K461">
        <v>103.92</v>
      </c>
      <c r="L461">
        <f t="shared" si="14"/>
        <v>10392</v>
      </c>
      <c r="M461">
        <f t="shared" si="15"/>
        <v>2078.4</v>
      </c>
    </row>
    <row r="462" spans="1:13" x14ac:dyDescent="0.3">
      <c r="A462">
        <v>461</v>
      </c>
      <c r="B462" t="s">
        <v>585</v>
      </c>
      <c r="C462" s="1">
        <v>42719</v>
      </c>
      <c r="D462" s="1">
        <v>42726</v>
      </c>
      <c r="E462" t="s">
        <v>2118</v>
      </c>
      <c r="F462" t="s">
        <v>305</v>
      </c>
      <c r="G462" t="s">
        <v>306</v>
      </c>
      <c r="H462" t="s">
        <v>6</v>
      </c>
      <c r="I462" t="s">
        <v>2112</v>
      </c>
      <c r="J462" t="s">
        <v>2111</v>
      </c>
      <c r="K462">
        <v>899.91</v>
      </c>
      <c r="L462">
        <f t="shared" si="14"/>
        <v>89991</v>
      </c>
      <c r="M462">
        <f t="shared" si="15"/>
        <v>17998.2</v>
      </c>
    </row>
    <row r="463" spans="1:13" x14ac:dyDescent="0.3">
      <c r="A463">
        <v>462</v>
      </c>
      <c r="B463" t="s">
        <v>585</v>
      </c>
      <c r="C463" s="1">
        <v>42719</v>
      </c>
      <c r="D463" s="1">
        <v>42726</v>
      </c>
      <c r="E463" t="s">
        <v>2118</v>
      </c>
      <c r="F463" t="s">
        <v>305</v>
      </c>
      <c r="G463" t="s">
        <v>306</v>
      </c>
      <c r="H463" t="s">
        <v>6</v>
      </c>
      <c r="I463" t="s">
        <v>2112</v>
      </c>
      <c r="J463" t="s">
        <v>2110</v>
      </c>
      <c r="K463">
        <v>51.311999999999998</v>
      </c>
      <c r="L463">
        <f t="shared" si="14"/>
        <v>5131.2</v>
      </c>
      <c r="M463">
        <f t="shared" si="15"/>
        <v>1026.24</v>
      </c>
    </row>
    <row r="464" spans="1:13" x14ac:dyDescent="0.3">
      <c r="A464">
        <v>463</v>
      </c>
      <c r="B464" t="s">
        <v>586</v>
      </c>
      <c r="C464" s="1">
        <v>42847</v>
      </c>
      <c r="D464" s="1">
        <v>42854</v>
      </c>
      <c r="E464" t="s">
        <v>2118</v>
      </c>
      <c r="F464" t="s">
        <v>587</v>
      </c>
      <c r="G464" t="s">
        <v>588</v>
      </c>
      <c r="H464" t="s">
        <v>26</v>
      </c>
      <c r="I464" t="s">
        <v>2112</v>
      </c>
      <c r="J464" t="s">
        <v>2109</v>
      </c>
      <c r="K464">
        <v>23.56</v>
      </c>
      <c r="L464">
        <f t="shared" si="14"/>
        <v>2356</v>
      </c>
      <c r="M464">
        <f t="shared" si="15"/>
        <v>471.20000000000005</v>
      </c>
    </row>
    <row r="465" spans="1:13" x14ac:dyDescent="0.3">
      <c r="A465">
        <v>464</v>
      </c>
      <c r="B465" t="s">
        <v>586</v>
      </c>
      <c r="C465" s="1">
        <v>42847</v>
      </c>
      <c r="D465" s="1">
        <v>42854</v>
      </c>
      <c r="E465" t="s">
        <v>2118</v>
      </c>
      <c r="F465" t="s">
        <v>587</v>
      </c>
      <c r="G465" t="s">
        <v>588</v>
      </c>
      <c r="H465" t="s">
        <v>26</v>
      </c>
      <c r="I465" t="s">
        <v>2112</v>
      </c>
      <c r="J465" t="s">
        <v>2109</v>
      </c>
      <c r="K465">
        <v>1272.6300000000001</v>
      </c>
      <c r="L465">
        <f t="shared" si="14"/>
        <v>127263.00000000001</v>
      </c>
      <c r="M465">
        <f t="shared" si="15"/>
        <v>25452.600000000006</v>
      </c>
    </row>
    <row r="466" spans="1:13" x14ac:dyDescent="0.3">
      <c r="A466">
        <v>465</v>
      </c>
      <c r="B466" t="s">
        <v>586</v>
      </c>
      <c r="C466" s="1">
        <v>42847</v>
      </c>
      <c r="D466" s="1">
        <v>42854</v>
      </c>
      <c r="E466" t="s">
        <v>2118</v>
      </c>
      <c r="F466" t="s">
        <v>587</v>
      </c>
      <c r="G466" t="s">
        <v>588</v>
      </c>
      <c r="H466" t="s">
        <v>26</v>
      </c>
      <c r="I466" t="s">
        <v>2112</v>
      </c>
      <c r="J466" t="s">
        <v>2110</v>
      </c>
      <c r="K466">
        <v>28.484999999999999</v>
      </c>
      <c r="L466">
        <f t="shared" si="14"/>
        <v>2848.5</v>
      </c>
      <c r="M466">
        <f t="shared" si="15"/>
        <v>569.70000000000005</v>
      </c>
    </row>
    <row r="467" spans="1:13" x14ac:dyDescent="0.3">
      <c r="A467">
        <v>466</v>
      </c>
      <c r="B467" t="s">
        <v>586</v>
      </c>
      <c r="C467" s="1">
        <v>42847</v>
      </c>
      <c r="D467" s="1">
        <v>42854</v>
      </c>
      <c r="E467" t="s">
        <v>2118</v>
      </c>
      <c r="F467" t="s">
        <v>587</v>
      </c>
      <c r="G467" t="s">
        <v>588</v>
      </c>
      <c r="H467" t="s">
        <v>26</v>
      </c>
      <c r="I467" t="s">
        <v>2112</v>
      </c>
      <c r="J467" t="s">
        <v>2110</v>
      </c>
      <c r="K467">
        <v>185.376</v>
      </c>
      <c r="L467">
        <f t="shared" si="14"/>
        <v>18537.600000000002</v>
      </c>
      <c r="M467">
        <f t="shared" si="15"/>
        <v>3707.5200000000004</v>
      </c>
    </row>
    <row r="468" spans="1:13" x14ac:dyDescent="0.3">
      <c r="A468">
        <v>467</v>
      </c>
      <c r="B468" t="s">
        <v>586</v>
      </c>
      <c r="C468" s="1">
        <v>42847</v>
      </c>
      <c r="D468" s="1">
        <v>42854</v>
      </c>
      <c r="E468" t="s">
        <v>2118</v>
      </c>
      <c r="F468" t="s">
        <v>587</v>
      </c>
      <c r="G468" t="s">
        <v>588</v>
      </c>
      <c r="H468" t="s">
        <v>26</v>
      </c>
      <c r="I468" t="s">
        <v>2112</v>
      </c>
      <c r="J468" t="s">
        <v>2110</v>
      </c>
      <c r="K468">
        <v>78.272000000000006</v>
      </c>
      <c r="L468">
        <f t="shared" si="14"/>
        <v>7827.2000000000007</v>
      </c>
      <c r="M468">
        <f t="shared" si="15"/>
        <v>1565.4400000000003</v>
      </c>
    </row>
    <row r="469" spans="1:13" x14ac:dyDescent="0.3">
      <c r="A469">
        <v>468</v>
      </c>
      <c r="B469" t="s">
        <v>589</v>
      </c>
      <c r="C469" s="1">
        <v>42386</v>
      </c>
      <c r="D469" s="1">
        <v>42393</v>
      </c>
      <c r="E469" t="s">
        <v>2118</v>
      </c>
      <c r="F469" t="s">
        <v>590</v>
      </c>
      <c r="G469" t="s">
        <v>591</v>
      </c>
      <c r="H469" t="s">
        <v>26</v>
      </c>
      <c r="I469" t="s">
        <v>2117</v>
      </c>
      <c r="J469" t="s">
        <v>2109</v>
      </c>
      <c r="K469">
        <v>254.744</v>
      </c>
      <c r="L469">
        <f t="shared" si="14"/>
        <v>25474.400000000001</v>
      </c>
      <c r="M469">
        <f t="shared" si="15"/>
        <v>5094.880000000001</v>
      </c>
    </row>
    <row r="470" spans="1:13" x14ac:dyDescent="0.3">
      <c r="A470">
        <v>469</v>
      </c>
      <c r="B470" t="s">
        <v>592</v>
      </c>
      <c r="C470" s="1">
        <v>43190</v>
      </c>
      <c r="D470" s="1">
        <v>43194</v>
      </c>
      <c r="E470" t="s">
        <v>2118</v>
      </c>
      <c r="F470" t="s">
        <v>320</v>
      </c>
      <c r="G470" t="s">
        <v>321</v>
      </c>
      <c r="H470" t="s">
        <v>10</v>
      </c>
      <c r="I470" t="s">
        <v>2117</v>
      </c>
      <c r="J470" t="s">
        <v>2109</v>
      </c>
      <c r="K470">
        <v>205.33279999999999</v>
      </c>
      <c r="L470">
        <f t="shared" si="14"/>
        <v>20533.28</v>
      </c>
      <c r="M470">
        <f t="shared" si="15"/>
        <v>4106.6559999999999</v>
      </c>
    </row>
    <row r="471" spans="1:13" x14ac:dyDescent="0.3">
      <c r="A471">
        <v>470</v>
      </c>
      <c r="B471" t="s">
        <v>593</v>
      </c>
      <c r="C471" s="1">
        <v>43085</v>
      </c>
      <c r="D471" s="1">
        <v>43089</v>
      </c>
      <c r="E471" t="s">
        <v>2119</v>
      </c>
      <c r="F471" t="s">
        <v>351</v>
      </c>
      <c r="G471" t="s">
        <v>352</v>
      </c>
      <c r="H471" t="s">
        <v>6</v>
      </c>
      <c r="I471" t="s">
        <v>2117</v>
      </c>
      <c r="J471" t="s">
        <v>2110</v>
      </c>
      <c r="K471">
        <v>4.7880000000000003</v>
      </c>
      <c r="L471">
        <f t="shared" si="14"/>
        <v>478.8</v>
      </c>
      <c r="M471">
        <f t="shared" si="15"/>
        <v>95.76</v>
      </c>
    </row>
    <row r="472" spans="1:13" x14ac:dyDescent="0.3">
      <c r="A472">
        <v>471</v>
      </c>
      <c r="B472" t="s">
        <v>594</v>
      </c>
      <c r="C472" s="1">
        <v>42724</v>
      </c>
      <c r="D472" s="1">
        <v>42728</v>
      </c>
      <c r="E472" t="s">
        <v>2118</v>
      </c>
      <c r="F472" t="s">
        <v>595</v>
      </c>
      <c r="G472" t="s">
        <v>596</v>
      </c>
      <c r="H472" t="s">
        <v>10</v>
      </c>
      <c r="I472" t="s">
        <v>2114</v>
      </c>
      <c r="J472" t="s">
        <v>2110</v>
      </c>
      <c r="K472">
        <v>55.48</v>
      </c>
      <c r="L472">
        <f t="shared" si="14"/>
        <v>5548</v>
      </c>
      <c r="M472">
        <f t="shared" si="15"/>
        <v>1109.6000000000001</v>
      </c>
    </row>
    <row r="473" spans="1:13" x14ac:dyDescent="0.3">
      <c r="A473">
        <v>472</v>
      </c>
      <c r="B473" t="s">
        <v>597</v>
      </c>
      <c r="C473" s="1">
        <v>42317</v>
      </c>
      <c r="D473" s="1">
        <v>42319</v>
      </c>
      <c r="E473" t="s">
        <v>2119</v>
      </c>
      <c r="F473" t="s">
        <v>598</v>
      </c>
      <c r="G473" t="s">
        <v>599</v>
      </c>
      <c r="H473" t="s">
        <v>6</v>
      </c>
      <c r="I473" t="s">
        <v>2112</v>
      </c>
      <c r="J473" t="s">
        <v>2110</v>
      </c>
      <c r="K473">
        <v>340.92</v>
      </c>
      <c r="L473">
        <f t="shared" si="14"/>
        <v>34092</v>
      </c>
      <c r="M473">
        <f t="shared" si="15"/>
        <v>6818.4000000000005</v>
      </c>
    </row>
    <row r="474" spans="1:13" x14ac:dyDescent="0.3">
      <c r="A474">
        <v>473</v>
      </c>
      <c r="B474" t="s">
        <v>597</v>
      </c>
      <c r="C474" s="1">
        <v>42317</v>
      </c>
      <c r="D474" s="1">
        <v>42319</v>
      </c>
      <c r="E474" t="s">
        <v>2119</v>
      </c>
      <c r="F474" t="s">
        <v>598</v>
      </c>
      <c r="G474" t="s">
        <v>599</v>
      </c>
      <c r="H474" t="s">
        <v>6</v>
      </c>
      <c r="I474" t="s">
        <v>2112</v>
      </c>
      <c r="J474" t="s">
        <v>2109</v>
      </c>
      <c r="K474">
        <v>222.666</v>
      </c>
      <c r="L474">
        <f t="shared" si="14"/>
        <v>22266.6</v>
      </c>
      <c r="M474">
        <f t="shared" si="15"/>
        <v>4453.32</v>
      </c>
    </row>
    <row r="475" spans="1:13" x14ac:dyDescent="0.3">
      <c r="A475">
        <v>474</v>
      </c>
      <c r="B475" t="s">
        <v>597</v>
      </c>
      <c r="C475" s="1">
        <v>42317</v>
      </c>
      <c r="D475" s="1">
        <v>42319</v>
      </c>
      <c r="E475" t="s">
        <v>2119</v>
      </c>
      <c r="F475" t="s">
        <v>598</v>
      </c>
      <c r="G475" t="s">
        <v>599</v>
      </c>
      <c r="H475" t="s">
        <v>6</v>
      </c>
      <c r="I475" t="s">
        <v>2112</v>
      </c>
      <c r="J475" t="s">
        <v>2111</v>
      </c>
      <c r="K475">
        <v>703.96799999999996</v>
      </c>
      <c r="L475">
        <f t="shared" si="14"/>
        <v>70396.800000000003</v>
      </c>
      <c r="M475">
        <f t="shared" si="15"/>
        <v>14079.36</v>
      </c>
    </row>
    <row r="476" spans="1:13" x14ac:dyDescent="0.3">
      <c r="A476">
        <v>475</v>
      </c>
      <c r="B476" t="s">
        <v>597</v>
      </c>
      <c r="C476" s="1">
        <v>42317</v>
      </c>
      <c r="D476" s="1">
        <v>42319</v>
      </c>
      <c r="E476" t="s">
        <v>2119</v>
      </c>
      <c r="F476" t="s">
        <v>598</v>
      </c>
      <c r="G476" t="s">
        <v>599</v>
      </c>
      <c r="H476" t="s">
        <v>6</v>
      </c>
      <c r="I476" t="s">
        <v>2112</v>
      </c>
      <c r="J476" t="s">
        <v>2110</v>
      </c>
      <c r="K476">
        <v>92.52</v>
      </c>
      <c r="L476">
        <f t="shared" si="14"/>
        <v>9252</v>
      </c>
      <c r="M476">
        <f t="shared" si="15"/>
        <v>1850.4</v>
      </c>
    </row>
    <row r="477" spans="1:13" x14ac:dyDescent="0.3">
      <c r="A477">
        <v>476</v>
      </c>
      <c r="B477" t="s">
        <v>597</v>
      </c>
      <c r="C477" s="1">
        <v>42317</v>
      </c>
      <c r="D477" s="1">
        <v>42319</v>
      </c>
      <c r="E477" t="s">
        <v>2119</v>
      </c>
      <c r="F477" t="s">
        <v>598</v>
      </c>
      <c r="G477" t="s">
        <v>599</v>
      </c>
      <c r="H477" t="s">
        <v>6</v>
      </c>
      <c r="I477" t="s">
        <v>2112</v>
      </c>
      <c r="J477" t="s">
        <v>2110</v>
      </c>
      <c r="K477">
        <v>62.65</v>
      </c>
      <c r="L477">
        <f t="shared" si="14"/>
        <v>6265</v>
      </c>
      <c r="M477">
        <f t="shared" si="15"/>
        <v>1253</v>
      </c>
    </row>
    <row r="478" spans="1:13" x14ac:dyDescent="0.3">
      <c r="A478">
        <v>477</v>
      </c>
      <c r="B478" t="s">
        <v>597</v>
      </c>
      <c r="C478" s="1">
        <v>42317</v>
      </c>
      <c r="D478" s="1">
        <v>42319</v>
      </c>
      <c r="E478" t="s">
        <v>2119</v>
      </c>
      <c r="F478" t="s">
        <v>598</v>
      </c>
      <c r="G478" t="s">
        <v>599</v>
      </c>
      <c r="H478" t="s">
        <v>6</v>
      </c>
      <c r="I478" t="s">
        <v>2112</v>
      </c>
      <c r="J478" t="s">
        <v>2110</v>
      </c>
      <c r="K478">
        <v>94.85</v>
      </c>
      <c r="L478">
        <f t="shared" si="14"/>
        <v>9485</v>
      </c>
      <c r="M478">
        <f t="shared" si="15"/>
        <v>1897</v>
      </c>
    </row>
    <row r="479" spans="1:13" x14ac:dyDescent="0.3">
      <c r="A479">
        <v>478</v>
      </c>
      <c r="B479" t="s">
        <v>600</v>
      </c>
      <c r="C479" s="1">
        <v>42928</v>
      </c>
      <c r="D479" s="1">
        <v>42935</v>
      </c>
      <c r="E479" t="s">
        <v>2118</v>
      </c>
      <c r="F479" t="s">
        <v>373</v>
      </c>
      <c r="G479" t="s">
        <v>374</v>
      </c>
      <c r="H479" t="s">
        <v>10</v>
      </c>
      <c r="I479" t="s">
        <v>2112</v>
      </c>
      <c r="J479" t="s">
        <v>2111</v>
      </c>
      <c r="K479">
        <v>95.76</v>
      </c>
      <c r="L479">
        <f t="shared" si="14"/>
        <v>9576</v>
      </c>
      <c r="M479">
        <f t="shared" si="15"/>
        <v>1915.2</v>
      </c>
    </row>
    <row r="480" spans="1:13" x14ac:dyDescent="0.3">
      <c r="A480">
        <v>479</v>
      </c>
      <c r="B480" t="s">
        <v>601</v>
      </c>
      <c r="C480" s="1">
        <v>43035</v>
      </c>
      <c r="D480" s="1">
        <v>43041</v>
      </c>
      <c r="E480" t="s">
        <v>2118</v>
      </c>
      <c r="F480" t="s">
        <v>602</v>
      </c>
      <c r="G480" t="s">
        <v>603</v>
      </c>
      <c r="H480" t="s">
        <v>6</v>
      </c>
      <c r="I480" t="s">
        <v>2114</v>
      </c>
      <c r="J480" t="s">
        <v>2109</v>
      </c>
      <c r="K480">
        <v>40.200000000000003</v>
      </c>
      <c r="L480">
        <f t="shared" si="14"/>
        <v>4020.0000000000005</v>
      </c>
      <c r="M480">
        <f t="shared" si="15"/>
        <v>804.00000000000011</v>
      </c>
    </row>
    <row r="481" spans="1:13" x14ac:dyDescent="0.3">
      <c r="A481">
        <v>480</v>
      </c>
      <c r="B481" t="s">
        <v>604</v>
      </c>
      <c r="C481" s="1">
        <v>42912</v>
      </c>
      <c r="D481" s="1">
        <v>42918</v>
      </c>
      <c r="E481" t="s">
        <v>2118</v>
      </c>
      <c r="F481" t="s">
        <v>605</v>
      </c>
      <c r="G481" t="s">
        <v>606</v>
      </c>
      <c r="H481" t="s">
        <v>10</v>
      </c>
      <c r="I481" t="s">
        <v>2114</v>
      </c>
      <c r="J481" t="s">
        <v>2110</v>
      </c>
      <c r="K481">
        <v>14.7</v>
      </c>
      <c r="L481">
        <f t="shared" si="14"/>
        <v>1470</v>
      </c>
      <c r="M481">
        <f t="shared" si="15"/>
        <v>294</v>
      </c>
    </row>
    <row r="482" spans="1:13" x14ac:dyDescent="0.3">
      <c r="A482">
        <v>481</v>
      </c>
      <c r="B482" t="s">
        <v>604</v>
      </c>
      <c r="C482" s="1">
        <v>42912</v>
      </c>
      <c r="D482" s="1">
        <v>42918</v>
      </c>
      <c r="E482" t="s">
        <v>2118</v>
      </c>
      <c r="F482" t="s">
        <v>605</v>
      </c>
      <c r="G482" t="s">
        <v>606</v>
      </c>
      <c r="H482" t="s">
        <v>10</v>
      </c>
      <c r="I482" t="s">
        <v>2114</v>
      </c>
      <c r="J482" t="s">
        <v>2110</v>
      </c>
      <c r="K482">
        <v>704.25</v>
      </c>
      <c r="L482">
        <f t="shared" si="14"/>
        <v>70425</v>
      </c>
      <c r="M482">
        <f t="shared" si="15"/>
        <v>14085</v>
      </c>
    </row>
    <row r="483" spans="1:13" x14ac:dyDescent="0.3">
      <c r="A483">
        <v>482</v>
      </c>
      <c r="B483" t="s">
        <v>607</v>
      </c>
      <c r="C483" s="1">
        <v>42283</v>
      </c>
      <c r="D483" s="1">
        <v>42287</v>
      </c>
      <c r="E483" t="s">
        <v>2118</v>
      </c>
      <c r="F483" t="s">
        <v>608</v>
      </c>
      <c r="G483" t="s">
        <v>609</v>
      </c>
      <c r="H483" t="s">
        <v>6</v>
      </c>
      <c r="I483" t="s">
        <v>2112</v>
      </c>
      <c r="J483" t="s">
        <v>2111</v>
      </c>
      <c r="K483">
        <v>9.09</v>
      </c>
      <c r="L483">
        <f t="shared" si="14"/>
        <v>909</v>
      </c>
      <c r="M483">
        <f t="shared" si="15"/>
        <v>181.8</v>
      </c>
    </row>
    <row r="484" spans="1:13" x14ac:dyDescent="0.3">
      <c r="A484">
        <v>483</v>
      </c>
      <c r="B484" t="s">
        <v>610</v>
      </c>
      <c r="C484" s="1">
        <v>42207</v>
      </c>
      <c r="D484" s="1">
        <v>42212</v>
      </c>
      <c r="E484" t="s">
        <v>2118</v>
      </c>
      <c r="F484" t="s">
        <v>611</v>
      </c>
      <c r="G484" t="s">
        <v>612</v>
      </c>
      <c r="H484" t="s">
        <v>6</v>
      </c>
      <c r="I484" t="s">
        <v>2114</v>
      </c>
      <c r="J484" t="s">
        <v>2110</v>
      </c>
      <c r="K484">
        <v>5.96</v>
      </c>
      <c r="L484">
        <f t="shared" si="14"/>
        <v>596</v>
      </c>
      <c r="M484">
        <f t="shared" si="15"/>
        <v>119.2</v>
      </c>
    </row>
    <row r="485" spans="1:13" x14ac:dyDescent="0.3">
      <c r="A485">
        <v>484</v>
      </c>
      <c r="B485" t="s">
        <v>610</v>
      </c>
      <c r="C485" s="1">
        <v>42207</v>
      </c>
      <c r="D485" s="1">
        <v>42212</v>
      </c>
      <c r="E485" t="s">
        <v>2118</v>
      </c>
      <c r="F485" t="s">
        <v>611</v>
      </c>
      <c r="G485" t="s">
        <v>612</v>
      </c>
      <c r="H485" t="s">
        <v>6</v>
      </c>
      <c r="I485" t="s">
        <v>2114</v>
      </c>
      <c r="J485" t="s">
        <v>2111</v>
      </c>
      <c r="K485">
        <v>159.97999999999999</v>
      </c>
      <c r="L485">
        <f t="shared" si="14"/>
        <v>15997.999999999998</v>
      </c>
      <c r="M485">
        <f t="shared" si="15"/>
        <v>3199.6</v>
      </c>
    </row>
    <row r="486" spans="1:13" x14ac:dyDescent="0.3">
      <c r="A486">
        <v>485</v>
      </c>
      <c r="B486" t="s">
        <v>613</v>
      </c>
      <c r="C486" s="1">
        <v>43261</v>
      </c>
      <c r="D486" s="1">
        <v>43264</v>
      </c>
      <c r="E486" t="s">
        <v>2120</v>
      </c>
      <c r="F486" t="s">
        <v>614</v>
      </c>
      <c r="G486" t="s">
        <v>615</v>
      </c>
      <c r="H486" t="s">
        <v>26</v>
      </c>
      <c r="I486" t="s">
        <v>2112</v>
      </c>
      <c r="J486" t="s">
        <v>2110</v>
      </c>
      <c r="K486">
        <v>29.6</v>
      </c>
      <c r="L486">
        <f t="shared" si="14"/>
        <v>2960</v>
      </c>
      <c r="M486">
        <f t="shared" si="15"/>
        <v>592</v>
      </c>
    </row>
    <row r="487" spans="1:13" x14ac:dyDescent="0.3">
      <c r="A487">
        <v>486</v>
      </c>
      <c r="B487" t="s">
        <v>613</v>
      </c>
      <c r="C487" s="1">
        <v>43261</v>
      </c>
      <c r="D487" s="1">
        <v>43264</v>
      </c>
      <c r="E487" t="s">
        <v>2120</v>
      </c>
      <c r="F487" t="s">
        <v>614</v>
      </c>
      <c r="G487" t="s">
        <v>615</v>
      </c>
      <c r="H487" t="s">
        <v>26</v>
      </c>
      <c r="I487" t="s">
        <v>2112</v>
      </c>
      <c r="J487" t="s">
        <v>2109</v>
      </c>
      <c r="K487">
        <v>514.16499999999996</v>
      </c>
      <c r="L487">
        <f t="shared" si="14"/>
        <v>51416.5</v>
      </c>
      <c r="M487">
        <f t="shared" si="15"/>
        <v>10283.300000000001</v>
      </c>
    </row>
    <row r="488" spans="1:13" x14ac:dyDescent="0.3">
      <c r="A488">
        <v>487</v>
      </c>
      <c r="B488" t="s">
        <v>613</v>
      </c>
      <c r="C488" s="1">
        <v>43261</v>
      </c>
      <c r="D488" s="1">
        <v>43264</v>
      </c>
      <c r="E488" t="s">
        <v>2120</v>
      </c>
      <c r="F488" t="s">
        <v>614</v>
      </c>
      <c r="G488" t="s">
        <v>615</v>
      </c>
      <c r="H488" t="s">
        <v>26</v>
      </c>
      <c r="I488" t="s">
        <v>2112</v>
      </c>
      <c r="J488" t="s">
        <v>2111</v>
      </c>
      <c r="K488">
        <v>279.95999999999998</v>
      </c>
      <c r="L488">
        <f t="shared" si="14"/>
        <v>27995.999999999996</v>
      </c>
      <c r="M488">
        <f t="shared" si="15"/>
        <v>5599.2</v>
      </c>
    </row>
    <row r="489" spans="1:13" x14ac:dyDescent="0.3">
      <c r="A489">
        <v>488</v>
      </c>
      <c r="B489" t="s">
        <v>616</v>
      </c>
      <c r="C489" s="1">
        <v>42306</v>
      </c>
      <c r="D489" s="1">
        <v>42308</v>
      </c>
      <c r="E489" t="s">
        <v>2120</v>
      </c>
      <c r="F489" t="s">
        <v>617</v>
      </c>
      <c r="G489" t="s">
        <v>618</v>
      </c>
      <c r="H489" t="s">
        <v>6</v>
      </c>
      <c r="I489" t="s">
        <v>2117</v>
      </c>
      <c r="J489" t="s">
        <v>2111</v>
      </c>
      <c r="K489">
        <v>2735.9520000000002</v>
      </c>
      <c r="L489">
        <f t="shared" si="14"/>
        <v>273595.2</v>
      </c>
      <c r="M489">
        <f t="shared" si="15"/>
        <v>54719.040000000008</v>
      </c>
    </row>
    <row r="490" spans="1:13" x14ac:dyDescent="0.3">
      <c r="A490">
        <v>489</v>
      </c>
      <c r="B490" t="s">
        <v>619</v>
      </c>
      <c r="C490" s="1">
        <v>42164</v>
      </c>
      <c r="D490" s="1">
        <v>42168</v>
      </c>
      <c r="E490" t="s">
        <v>2119</v>
      </c>
      <c r="F490" t="s">
        <v>620</v>
      </c>
      <c r="G490" t="s">
        <v>621</v>
      </c>
      <c r="H490" t="s">
        <v>26</v>
      </c>
      <c r="I490" t="s">
        <v>2117</v>
      </c>
      <c r="J490" t="s">
        <v>2111</v>
      </c>
      <c r="K490">
        <v>7.992</v>
      </c>
      <c r="L490">
        <f t="shared" si="14"/>
        <v>799.2</v>
      </c>
      <c r="M490">
        <f t="shared" si="15"/>
        <v>159.84000000000003</v>
      </c>
    </row>
    <row r="491" spans="1:13" x14ac:dyDescent="0.3">
      <c r="A491">
        <v>490</v>
      </c>
      <c r="B491" t="s">
        <v>619</v>
      </c>
      <c r="C491" s="1">
        <v>42164</v>
      </c>
      <c r="D491" s="1">
        <v>42168</v>
      </c>
      <c r="E491" t="s">
        <v>2119</v>
      </c>
      <c r="F491" t="s">
        <v>620</v>
      </c>
      <c r="G491" t="s">
        <v>621</v>
      </c>
      <c r="H491" t="s">
        <v>26</v>
      </c>
      <c r="I491" t="s">
        <v>2117</v>
      </c>
      <c r="J491" t="s">
        <v>2111</v>
      </c>
      <c r="K491">
        <v>63.984000000000002</v>
      </c>
      <c r="L491">
        <f t="shared" si="14"/>
        <v>6398.4000000000005</v>
      </c>
      <c r="M491">
        <f t="shared" si="15"/>
        <v>1279.6800000000003</v>
      </c>
    </row>
    <row r="492" spans="1:13" x14ac:dyDescent="0.3">
      <c r="A492">
        <v>491</v>
      </c>
      <c r="B492" t="s">
        <v>619</v>
      </c>
      <c r="C492" s="1">
        <v>42164</v>
      </c>
      <c r="D492" s="1">
        <v>42168</v>
      </c>
      <c r="E492" t="s">
        <v>2119</v>
      </c>
      <c r="F492" t="s">
        <v>620</v>
      </c>
      <c r="G492" t="s">
        <v>621</v>
      </c>
      <c r="H492" t="s">
        <v>26</v>
      </c>
      <c r="I492" t="s">
        <v>2117</v>
      </c>
      <c r="J492" t="s">
        <v>2110</v>
      </c>
      <c r="K492">
        <v>70.367999999999995</v>
      </c>
      <c r="L492">
        <f t="shared" si="14"/>
        <v>7036.7999999999993</v>
      </c>
      <c r="M492">
        <f t="shared" si="15"/>
        <v>1407.36</v>
      </c>
    </row>
    <row r="493" spans="1:13" x14ac:dyDescent="0.3">
      <c r="A493">
        <v>492</v>
      </c>
      <c r="B493" t="s">
        <v>622</v>
      </c>
      <c r="C493" s="1">
        <v>42261</v>
      </c>
      <c r="D493" s="1">
        <v>42266</v>
      </c>
      <c r="E493" t="s">
        <v>2118</v>
      </c>
      <c r="F493" t="s">
        <v>623</v>
      </c>
      <c r="G493" t="s">
        <v>624</v>
      </c>
      <c r="H493" t="s">
        <v>6</v>
      </c>
      <c r="I493" t="s">
        <v>2114</v>
      </c>
      <c r="J493" t="s">
        <v>2110</v>
      </c>
      <c r="K493">
        <v>449.15</v>
      </c>
      <c r="L493">
        <f t="shared" si="14"/>
        <v>44915</v>
      </c>
      <c r="M493">
        <f t="shared" si="15"/>
        <v>8983</v>
      </c>
    </row>
    <row r="494" spans="1:13" x14ac:dyDescent="0.3">
      <c r="A494">
        <v>493</v>
      </c>
      <c r="B494" t="s">
        <v>622</v>
      </c>
      <c r="C494" s="1">
        <v>42261</v>
      </c>
      <c r="D494" s="1">
        <v>42266</v>
      </c>
      <c r="E494" t="s">
        <v>2118</v>
      </c>
      <c r="F494" t="s">
        <v>623</v>
      </c>
      <c r="G494" t="s">
        <v>624</v>
      </c>
      <c r="H494" t="s">
        <v>6</v>
      </c>
      <c r="I494" t="s">
        <v>2114</v>
      </c>
      <c r="J494" t="s">
        <v>2110</v>
      </c>
      <c r="K494">
        <v>11.07</v>
      </c>
      <c r="L494">
        <f t="shared" si="14"/>
        <v>1107</v>
      </c>
      <c r="M494">
        <f t="shared" si="15"/>
        <v>221.4</v>
      </c>
    </row>
    <row r="495" spans="1:13" x14ac:dyDescent="0.3">
      <c r="A495">
        <v>494</v>
      </c>
      <c r="B495" t="s">
        <v>625</v>
      </c>
      <c r="C495" s="1">
        <v>42864</v>
      </c>
      <c r="D495" s="1">
        <v>42869</v>
      </c>
      <c r="E495" t="s">
        <v>2118</v>
      </c>
      <c r="F495" t="s">
        <v>626</v>
      </c>
      <c r="G495" t="s">
        <v>627</v>
      </c>
      <c r="H495" t="s">
        <v>6</v>
      </c>
      <c r="I495" t="s">
        <v>2112</v>
      </c>
      <c r="J495" t="s">
        <v>2111</v>
      </c>
      <c r="K495">
        <v>93.98</v>
      </c>
      <c r="L495">
        <f t="shared" si="14"/>
        <v>9398</v>
      </c>
      <c r="M495">
        <f t="shared" si="15"/>
        <v>1879.6000000000001</v>
      </c>
    </row>
    <row r="496" spans="1:13" x14ac:dyDescent="0.3">
      <c r="A496">
        <v>495</v>
      </c>
      <c r="B496" t="s">
        <v>628</v>
      </c>
      <c r="C496" s="1">
        <v>42812</v>
      </c>
      <c r="D496" s="1">
        <v>42815</v>
      </c>
      <c r="E496" t="s">
        <v>2119</v>
      </c>
      <c r="F496" t="s">
        <v>629</v>
      </c>
      <c r="G496" t="s">
        <v>630</v>
      </c>
      <c r="H496" t="s">
        <v>6</v>
      </c>
      <c r="I496" t="s">
        <v>2115</v>
      </c>
      <c r="J496" t="s">
        <v>2109</v>
      </c>
      <c r="K496">
        <v>189.88200000000001</v>
      </c>
      <c r="L496">
        <f t="shared" si="14"/>
        <v>18988.2</v>
      </c>
      <c r="M496">
        <f t="shared" si="15"/>
        <v>3797.6400000000003</v>
      </c>
    </row>
    <row r="497" spans="1:13" x14ac:dyDescent="0.3">
      <c r="A497">
        <v>496</v>
      </c>
      <c r="B497" t="s">
        <v>631</v>
      </c>
      <c r="C497" s="1">
        <v>42731</v>
      </c>
      <c r="D497" s="1">
        <v>42735</v>
      </c>
      <c r="E497" t="s">
        <v>2118</v>
      </c>
      <c r="F497" t="s">
        <v>632</v>
      </c>
      <c r="G497" t="s">
        <v>633</v>
      </c>
      <c r="H497" t="s">
        <v>6</v>
      </c>
      <c r="I497" t="s">
        <v>2115</v>
      </c>
      <c r="J497" t="s">
        <v>2110</v>
      </c>
      <c r="K497">
        <v>105.42</v>
      </c>
      <c r="L497">
        <f t="shared" si="14"/>
        <v>10542</v>
      </c>
      <c r="M497">
        <f t="shared" si="15"/>
        <v>2108.4</v>
      </c>
    </row>
    <row r="498" spans="1:13" x14ac:dyDescent="0.3">
      <c r="A498">
        <v>497</v>
      </c>
      <c r="B498" t="s">
        <v>634</v>
      </c>
      <c r="C498" s="1">
        <v>42941</v>
      </c>
      <c r="D498" s="1">
        <v>42947</v>
      </c>
      <c r="E498" t="s">
        <v>2118</v>
      </c>
      <c r="F498" t="s">
        <v>582</v>
      </c>
      <c r="G498" t="s">
        <v>583</v>
      </c>
      <c r="H498" t="s">
        <v>6</v>
      </c>
      <c r="I498" t="s">
        <v>2112</v>
      </c>
      <c r="J498" t="s">
        <v>2110</v>
      </c>
      <c r="K498">
        <v>119.616</v>
      </c>
      <c r="L498">
        <f t="shared" si="14"/>
        <v>11961.6</v>
      </c>
      <c r="M498">
        <f t="shared" si="15"/>
        <v>2392.3200000000002</v>
      </c>
    </row>
    <row r="499" spans="1:13" x14ac:dyDescent="0.3">
      <c r="A499">
        <v>498</v>
      </c>
      <c r="B499" t="s">
        <v>634</v>
      </c>
      <c r="C499" s="1">
        <v>42941</v>
      </c>
      <c r="D499" s="1">
        <v>42947</v>
      </c>
      <c r="E499" t="s">
        <v>2118</v>
      </c>
      <c r="F499" t="s">
        <v>582</v>
      </c>
      <c r="G499" t="s">
        <v>583</v>
      </c>
      <c r="H499" t="s">
        <v>6</v>
      </c>
      <c r="I499" t="s">
        <v>2112</v>
      </c>
      <c r="J499" t="s">
        <v>2109</v>
      </c>
      <c r="K499">
        <v>255.76</v>
      </c>
      <c r="L499">
        <f t="shared" si="14"/>
        <v>25576</v>
      </c>
      <c r="M499">
        <f t="shared" si="15"/>
        <v>5115.2000000000007</v>
      </c>
    </row>
    <row r="500" spans="1:13" x14ac:dyDescent="0.3">
      <c r="A500">
        <v>499</v>
      </c>
      <c r="B500" t="s">
        <v>634</v>
      </c>
      <c r="C500" s="1">
        <v>42941</v>
      </c>
      <c r="D500" s="1">
        <v>42947</v>
      </c>
      <c r="E500" t="s">
        <v>2118</v>
      </c>
      <c r="F500" t="s">
        <v>582</v>
      </c>
      <c r="G500" t="s">
        <v>583</v>
      </c>
      <c r="H500" t="s">
        <v>6</v>
      </c>
      <c r="I500" t="s">
        <v>2112</v>
      </c>
      <c r="J500" t="s">
        <v>2109</v>
      </c>
      <c r="K500">
        <v>241.56800000000001</v>
      </c>
      <c r="L500">
        <f t="shared" si="14"/>
        <v>24156.800000000003</v>
      </c>
      <c r="M500">
        <f t="shared" si="15"/>
        <v>4831.3600000000006</v>
      </c>
    </row>
    <row r="501" spans="1:13" x14ac:dyDescent="0.3">
      <c r="A501">
        <v>500</v>
      </c>
      <c r="B501" t="s">
        <v>634</v>
      </c>
      <c r="C501" s="1">
        <v>42941</v>
      </c>
      <c r="D501" s="1">
        <v>42947</v>
      </c>
      <c r="E501" t="s">
        <v>2118</v>
      </c>
      <c r="F501" t="s">
        <v>582</v>
      </c>
      <c r="G501" t="s">
        <v>583</v>
      </c>
      <c r="H501" t="s">
        <v>6</v>
      </c>
      <c r="I501" t="s">
        <v>2112</v>
      </c>
      <c r="J501" t="s">
        <v>2109</v>
      </c>
      <c r="K501">
        <v>69.3</v>
      </c>
      <c r="L501">
        <f t="shared" si="14"/>
        <v>6930</v>
      </c>
      <c r="M501">
        <f t="shared" si="15"/>
        <v>1386</v>
      </c>
    </row>
    <row r="502" spans="1:13" x14ac:dyDescent="0.3">
      <c r="A502">
        <v>501</v>
      </c>
      <c r="B502" t="s">
        <v>635</v>
      </c>
      <c r="C502" s="1">
        <v>42885</v>
      </c>
      <c r="D502" s="1">
        <v>42890</v>
      </c>
      <c r="E502" t="s">
        <v>2118</v>
      </c>
      <c r="F502" t="s">
        <v>636</v>
      </c>
      <c r="G502" t="s">
        <v>637</v>
      </c>
      <c r="H502" t="s">
        <v>10</v>
      </c>
      <c r="I502" t="s">
        <v>2112</v>
      </c>
      <c r="J502" t="s">
        <v>2110</v>
      </c>
      <c r="K502">
        <v>22.62</v>
      </c>
      <c r="L502">
        <f t="shared" si="14"/>
        <v>2262</v>
      </c>
      <c r="M502">
        <f t="shared" si="15"/>
        <v>452.40000000000003</v>
      </c>
    </row>
    <row r="503" spans="1:13" x14ac:dyDescent="0.3">
      <c r="A503">
        <v>502</v>
      </c>
      <c r="B503" t="s">
        <v>635</v>
      </c>
      <c r="C503" s="1">
        <v>42885</v>
      </c>
      <c r="D503" s="1">
        <v>42890</v>
      </c>
      <c r="E503" t="s">
        <v>2118</v>
      </c>
      <c r="F503" t="s">
        <v>636</v>
      </c>
      <c r="G503" t="s">
        <v>637</v>
      </c>
      <c r="H503" t="s">
        <v>10</v>
      </c>
      <c r="I503" t="s">
        <v>2112</v>
      </c>
      <c r="J503" t="s">
        <v>2110</v>
      </c>
      <c r="K503">
        <v>14.952</v>
      </c>
      <c r="L503">
        <f t="shared" si="14"/>
        <v>1495.2</v>
      </c>
      <c r="M503">
        <f t="shared" si="15"/>
        <v>299.04000000000002</v>
      </c>
    </row>
    <row r="504" spans="1:13" x14ac:dyDescent="0.3">
      <c r="A504">
        <v>503</v>
      </c>
      <c r="B504" t="s">
        <v>635</v>
      </c>
      <c r="C504" s="1">
        <v>42885</v>
      </c>
      <c r="D504" s="1">
        <v>42890</v>
      </c>
      <c r="E504" t="s">
        <v>2118</v>
      </c>
      <c r="F504" t="s">
        <v>636</v>
      </c>
      <c r="G504" t="s">
        <v>637</v>
      </c>
      <c r="H504" t="s">
        <v>10</v>
      </c>
      <c r="I504" t="s">
        <v>2112</v>
      </c>
      <c r="J504" t="s">
        <v>2109</v>
      </c>
      <c r="K504">
        <v>801.56799999999998</v>
      </c>
      <c r="L504">
        <f t="shared" si="14"/>
        <v>80156.800000000003</v>
      </c>
      <c r="M504">
        <f t="shared" si="15"/>
        <v>16031.36</v>
      </c>
    </row>
    <row r="505" spans="1:13" x14ac:dyDescent="0.3">
      <c r="A505">
        <v>504</v>
      </c>
      <c r="B505" t="s">
        <v>635</v>
      </c>
      <c r="C505" s="1">
        <v>42885</v>
      </c>
      <c r="D505" s="1">
        <v>42890</v>
      </c>
      <c r="E505" t="s">
        <v>2118</v>
      </c>
      <c r="F505" t="s">
        <v>636</v>
      </c>
      <c r="G505" t="s">
        <v>637</v>
      </c>
      <c r="H505" t="s">
        <v>10</v>
      </c>
      <c r="I505" t="s">
        <v>2112</v>
      </c>
      <c r="J505" t="s">
        <v>2110</v>
      </c>
      <c r="K505">
        <v>2.3759999999999999</v>
      </c>
      <c r="L505">
        <f t="shared" si="14"/>
        <v>237.6</v>
      </c>
      <c r="M505">
        <f t="shared" si="15"/>
        <v>47.52</v>
      </c>
    </row>
    <row r="506" spans="1:13" x14ac:dyDescent="0.3">
      <c r="A506">
        <v>505</v>
      </c>
      <c r="B506" t="s">
        <v>635</v>
      </c>
      <c r="C506" s="1">
        <v>42885</v>
      </c>
      <c r="D506" s="1">
        <v>42890</v>
      </c>
      <c r="E506" t="s">
        <v>2118</v>
      </c>
      <c r="F506" t="s">
        <v>636</v>
      </c>
      <c r="G506" t="s">
        <v>637</v>
      </c>
      <c r="H506" t="s">
        <v>10</v>
      </c>
      <c r="I506" t="s">
        <v>2112</v>
      </c>
      <c r="J506" t="s">
        <v>2110</v>
      </c>
      <c r="K506">
        <v>32.792000000000002</v>
      </c>
      <c r="L506">
        <f t="shared" si="14"/>
        <v>3279.2000000000003</v>
      </c>
      <c r="M506">
        <f t="shared" si="15"/>
        <v>655.84000000000015</v>
      </c>
    </row>
    <row r="507" spans="1:13" x14ac:dyDescent="0.3">
      <c r="A507">
        <v>506</v>
      </c>
      <c r="B507" t="s">
        <v>638</v>
      </c>
      <c r="C507" s="1">
        <v>43416</v>
      </c>
      <c r="D507" s="1">
        <v>43419</v>
      </c>
      <c r="E507" t="s">
        <v>2119</v>
      </c>
      <c r="F507" t="s">
        <v>578</v>
      </c>
      <c r="G507" t="s">
        <v>579</v>
      </c>
      <c r="H507" t="s">
        <v>10</v>
      </c>
      <c r="I507" t="s">
        <v>2114</v>
      </c>
      <c r="J507" t="s">
        <v>2110</v>
      </c>
      <c r="K507">
        <v>15.92</v>
      </c>
      <c r="L507">
        <f t="shared" si="14"/>
        <v>1592</v>
      </c>
      <c r="M507">
        <f t="shared" si="15"/>
        <v>318.40000000000003</v>
      </c>
    </row>
    <row r="508" spans="1:13" x14ac:dyDescent="0.3">
      <c r="A508">
        <v>507</v>
      </c>
      <c r="B508" t="s">
        <v>639</v>
      </c>
      <c r="C508" s="1">
        <v>42445</v>
      </c>
      <c r="D508" s="1">
        <v>42451</v>
      </c>
      <c r="E508" t="s">
        <v>2118</v>
      </c>
      <c r="F508" t="s">
        <v>640</v>
      </c>
      <c r="G508" t="s">
        <v>641</v>
      </c>
      <c r="H508" t="s">
        <v>6</v>
      </c>
      <c r="I508" t="s">
        <v>2115</v>
      </c>
      <c r="J508" t="s">
        <v>2110</v>
      </c>
      <c r="K508">
        <v>2.74</v>
      </c>
      <c r="L508">
        <f t="shared" si="14"/>
        <v>274</v>
      </c>
      <c r="M508">
        <f t="shared" si="15"/>
        <v>54.800000000000004</v>
      </c>
    </row>
    <row r="509" spans="1:13" x14ac:dyDescent="0.3">
      <c r="A509">
        <v>508</v>
      </c>
      <c r="B509" t="s">
        <v>639</v>
      </c>
      <c r="C509" s="1">
        <v>42445</v>
      </c>
      <c r="D509" s="1">
        <v>42451</v>
      </c>
      <c r="E509" t="s">
        <v>2118</v>
      </c>
      <c r="F509" t="s">
        <v>640</v>
      </c>
      <c r="G509" t="s">
        <v>641</v>
      </c>
      <c r="H509" t="s">
        <v>6</v>
      </c>
      <c r="I509" t="s">
        <v>2115</v>
      </c>
      <c r="J509" t="s">
        <v>2110</v>
      </c>
      <c r="K509">
        <v>8.34</v>
      </c>
      <c r="L509">
        <f t="shared" si="14"/>
        <v>834</v>
      </c>
      <c r="M509">
        <f t="shared" si="15"/>
        <v>166.8</v>
      </c>
    </row>
    <row r="510" spans="1:13" x14ac:dyDescent="0.3">
      <c r="A510">
        <v>509</v>
      </c>
      <c r="B510" t="s">
        <v>639</v>
      </c>
      <c r="C510" s="1">
        <v>42445</v>
      </c>
      <c r="D510" s="1">
        <v>42451</v>
      </c>
      <c r="E510" t="s">
        <v>2118</v>
      </c>
      <c r="F510" t="s">
        <v>640</v>
      </c>
      <c r="G510" t="s">
        <v>641</v>
      </c>
      <c r="H510" t="s">
        <v>6</v>
      </c>
      <c r="I510" t="s">
        <v>2115</v>
      </c>
      <c r="J510" t="s">
        <v>2110</v>
      </c>
      <c r="K510">
        <v>46.74</v>
      </c>
      <c r="L510">
        <f t="shared" si="14"/>
        <v>4674</v>
      </c>
      <c r="M510">
        <f t="shared" si="15"/>
        <v>934.80000000000007</v>
      </c>
    </row>
    <row r="511" spans="1:13" x14ac:dyDescent="0.3">
      <c r="A511">
        <v>510</v>
      </c>
      <c r="B511" t="s">
        <v>639</v>
      </c>
      <c r="C511" s="1">
        <v>42445</v>
      </c>
      <c r="D511" s="1">
        <v>42451</v>
      </c>
      <c r="E511" t="s">
        <v>2118</v>
      </c>
      <c r="F511" t="s">
        <v>640</v>
      </c>
      <c r="G511" t="s">
        <v>641</v>
      </c>
      <c r="H511" t="s">
        <v>6</v>
      </c>
      <c r="I511" t="s">
        <v>2115</v>
      </c>
      <c r="J511" t="s">
        <v>2110</v>
      </c>
      <c r="K511">
        <v>6354.95</v>
      </c>
      <c r="L511">
        <f t="shared" si="14"/>
        <v>635495</v>
      </c>
      <c r="M511">
        <f t="shared" si="15"/>
        <v>127099</v>
      </c>
    </row>
    <row r="512" spans="1:13" x14ac:dyDescent="0.3">
      <c r="A512">
        <v>511</v>
      </c>
      <c r="B512" t="s">
        <v>642</v>
      </c>
      <c r="C512" s="1">
        <v>43430</v>
      </c>
      <c r="D512" s="1">
        <v>43431</v>
      </c>
      <c r="E512" t="s">
        <v>2120</v>
      </c>
      <c r="F512" t="s">
        <v>643</v>
      </c>
      <c r="G512" t="s">
        <v>644</v>
      </c>
      <c r="H512" t="s">
        <v>6</v>
      </c>
      <c r="I512" t="s">
        <v>2117</v>
      </c>
      <c r="J512" t="s">
        <v>2109</v>
      </c>
      <c r="K512">
        <v>126.3</v>
      </c>
      <c r="L512">
        <f t="shared" si="14"/>
        <v>12630</v>
      </c>
      <c r="M512">
        <f t="shared" si="15"/>
        <v>2526</v>
      </c>
    </row>
    <row r="513" spans="1:13" x14ac:dyDescent="0.3">
      <c r="A513">
        <v>512</v>
      </c>
      <c r="B513" t="s">
        <v>642</v>
      </c>
      <c r="C513" s="1">
        <v>43430</v>
      </c>
      <c r="D513" s="1">
        <v>43431</v>
      </c>
      <c r="E513" t="s">
        <v>2120</v>
      </c>
      <c r="F513" t="s">
        <v>643</v>
      </c>
      <c r="G513" t="s">
        <v>644</v>
      </c>
      <c r="H513" t="s">
        <v>6</v>
      </c>
      <c r="I513" t="s">
        <v>2117</v>
      </c>
      <c r="J513" t="s">
        <v>2111</v>
      </c>
      <c r="K513">
        <v>38.04</v>
      </c>
      <c r="L513">
        <f t="shared" si="14"/>
        <v>3804</v>
      </c>
      <c r="M513">
        <f t="shared" si="15"/>
        <v>760.80000000000007</v>
      </c>
    </row>
    <row r="514" spans="1:13" x14ac:dyDescent="0.3">
      <c r="A514">
        <v>513</v>
      </c>
      <c r="B514" t="s">
        <v>645</v>
      </c>
      <c r="C514" s="1">
        <v>43028</v>
      </c>
      <c r="D514" s="1">
        <v>43031</v>
      </c>
      <c r="E514" t="s">
        <v>2120</v>
      </c>
      <c r="F514" t="s">
        <v>522</v>
      </c>
      <c r="G514" t="s">
        <v>523</v>
      </c>
      <c r="H514" t="s">
        <v>6</v>
      </c>
      <c r="I514" t="s">
        <v>2114</v>
      </c>
      <c r="J514" t="s">
        <v>2110</v>
      </c>
      <c r="K514">
        <v>7.1520000000000001</v>
      </c>
      <c r="L514">
        <f t="shared" ref="L514:L577" si="16">K514*100</f>
        <v>715.2</v>
      </c>
      <c r="M514">
        <f t="shared" si="15"/>
        <v>143.04000000000002</v>
      </c>
    </row>
    <row r="515" spans="1:13" x14ac:dyDescent="0.3">
      <c r="A515">
        <v>514</v>
      </c>
      <c r="B515" t="s">
        <v>646</v>
      </c>
      <c r="C515" s="1">
        <v>43455</v>
      </c>
      <c r="D515" s="1">
        <v>43459</v>
      </c>
      <c r="E515" t="s">
        <v>2118</v>
      </c>
      <c r="F515" t="s">
        <v>647</v>
      </c>
      <c r="G515" t="s">
        <v>648</v>
      </c>
      <c r="H515" t="s">
        <v>6</v>
      </c>
      <c r="I515" t="s">
        <v>2112</v>
      </c>
      <c r="J515" t="s">
        <v>2110</v>
      </c>
      <c r="K515">
        <v>6.63</v>
      </c>
      <c r="L515">
        <f t="shared" si="16"/>
        <v>663</v>
      </c>
      <c r="M515">
        <f t="shared" ref="M515:M578" si="17">L515*0.2</f>
        <v>132.6</v>
      </c>
    </row>
    <row r="516" spans="1:13" x14ac:dyDescent="0.3">
      <c r="A516">
        <v>515</v>
      </c>
      <c r="B516" t="s">
        <v>646</v>
      </c>
      <c r="C516" s="1">
        <v>43455</v>
      </c>
      <c r="D516" s="1">
        <v>43459</v>
      </c>
      <c r="E516" t="s">
        <v>2118</v>
      </c>
      <c r="F516" t="s">
        <v>647</v>
      </c>
      <c r="G516" t="s">
        <v>648</v>
      </c>
      <c r="H516" t="s">
        <v>6</v>
      </c>
      <c r="I516" t="s">
        <v>2112</v>
      </c>
      <c r="J516" t="s">
        <v>2110</v>
      </c>
      <c r="K516">
        <v>5.88</v>
      </c>
      <c r="L516">
        <f t="shared" si="16"/>
        <v>588</v>
      </c>
      <c r="M516">
        <f t="shared" si="17"/>
        <v>117.60000000000001</v>
      </c>
    </row>
    <row r="517" spans="1:13" x14ac:dyDescent="0.3">
      <c r="A517">
        <v>516</v>
      </c>
      <c r="B517" t="s">
        <v>649</v>
      </c>
      <c r="C517" s="1">
        <v>43122</v>
      </c>
      <c r="D517" s="1">
        <v>43127</v>
      </c>
      <c r="E517" t="s">
        <v>2118</v>
      </c>
      <c r="F517" t="s">
        <v>181</v>
      </c>
      <c r="G517" t="s">
        <v>182</v>
      </c>
      <c r="H517" t="s">
        <v>26</v>
      </c>
      <c r="I517" t="s">
        <v>2112</v>
      </c>
      <c r="J517" t="s">
        <v>2111</v>
      </c>
      <c r="K517">
        <v>2999.95</v>
      </c>
      <c r="L517">
        <f t="shared" si="16"/>
        <v>299995</v>
      </c>
      <c r="M517">
        <f t="shared" si="17"/>
        <v>59999</v>
      </c>
    </row>
    <row r="518" spans="1:13" x14ac:dyDescent="0.3">
      <c r="A518">
        <v>517</v>
      </c>
      <c r="B518" t="s">
        <v>649</v>
      </c>
      <c r="C518" s="1">
        <v>43122</v>
      </c>
      <c r="D518" s="1">
        <v>43127</v>
      </c>
      <c r="E518" t="s">
        <v>2118</v>
      </c>
      <c r="F518" t="s">
        <v>181</v>
      </c>
      <c r="G518" t="s">
        <v>182</v>
      </c>
      <c r="H518" t="s">
        <v>26</v>
      </c>
      <c r="I518" t="s">
        <v>2112</v>
      </c>
      <c r="J518" t="s">
        <v>2110</v>
      </c>
      <c r="K518">
        <v>51.45</v>
      </c>
      <c r="L518">
        <f t="shared" si="16"/>
        <v>5145</v>
      </c>
      <c r="M518">
        <f t="shared" si="17"/>
        <v>1029</v>
      </c>
    </row>
    <row r="519" spans="1:13" x14ac:dyDescent="0.3">
      <c r="A519">
        <v>518</v>
      </c>
      <c r="B519" t="s">
        <v>649</v>
      </c>
      <c r="C519" s="1">
        <v>43122</v>
      </c>
      <c r="D519" s="1">
        <v>43127</v>
      </c>
      <c r="E519" t="s">
        <v>2118</v>
      </c>
      <c r="F519" t="s">
        <v>181</v>
      </c>
      <c r="G519" t="s">
        <v>182</v>
      </c>
      <c r="H519" t="s">
        <v>26</v>
      </c>
      <c r="I519" t="s">
        <v>2112</v>
      </c>
      <c r="J519" t="s">
        <v>2110</v>
      </c>
      <c r="K519">
        <v>11.96</v>
      </c>
      <c r="L519">
        <f t="shared" si="16"/>
        <v>1196</v>
      </c>
      <c r="M519">
        <f t="shared" si="17"/>
        <v>239.20000000000002</v>
      </c>
    </row>
    <row r="520" spans="1:13" x14ac:dyDescent="0.3">
      <c r="A520">
        <v>519</v>
      </c>
      <c r="B520" t="s">
        <v>649</v>
      </c>
      <c r="C520" s="1">
        <v>43122</v>
      </c>
      <c r="D520" s="1">
        <v>43127</v>
      </c>
      <c r="E520" t="s">
        <v>2118</v>
      </c>
      <c r="F520" t="s">
        <v>181</v>
      </c>
      <c r="G520" t="s">
        <v>182</v>
      </c>
      <c r="H520" t="s">
        <v>26</v>
      </c>
      <c r="I520" t="s">
        <v>2112</v>
      </c>
      <c r="J520" t="s">
        <v>2110</v>
      </c>
      <c r="K520">
        <v>1126.02</v>
      </c>
      <c r="L520">
        <f t="shared" si="16"/>
        <v>112602</v>
      </c>
      <c r="M520">
        <f t="shared" si="17"/>
        <v>22520.400000000001</v>
      </c>
    </row>
    <row r="521" spans="1:13" x14ac:dyDescent="0.3">
      <c r="A521">
        <v>520</v>
      </c>
      <c r="B521" t="s">
        <v>650</v>
      </c>
      <c r="C521" s="1">
        <v>42451</v>
      </c>
      <c r="D521" s="1">
        <v>42455</v>
      </c>
      <c r="E521" t="s">
        <v>2118</v>
      </c>
      <c r="F521" t="s">
        <v>651</v>
      </c>
      <c r="G521" t="s">
        <v>652</v>
      </c>
      <c r="H521" t="s">
        <v>6</v>
      </c>
      <c r="I521" t="s">
        <v>2117</v>
      </c>
      <c r="J521" t="s">
        <v>2111</v>
      </c>
      <c r="K521">
        <v>18.391999999999999</v>
      </c>
      <c r="L521">
        <f t="shared" si="16"/>
        <v>1839.2</v>
      </c>
      <c r="M521">
        <f t="shared" si="17"/>
        <v>367.84000000000003</v>
      </c>
    </row>
    <row r="522" spans="1:13" x14ac:dyDescent="0.3">
      <c r="A522">
        <v>521</v>
      </c>
      <c r="B522" t="s">
        <v>650</v>
      </c>
      <c r="C522" s="1">
        <v>42451</v>
      </c>
      <c r="D522" s="1">
        <v>42455</v>
      </c>
      <c r="E522" t="s">
        <v>2118</v>
      </c>
      <c r="F522" t="s">
        <v>651</v>
      </c>
      <c r="G522" t="s">
        <v>652</v>
      </c>
      <c r="H522" t="s">
        <v>6</v>
      </c>
      <c r="I522" t="s">
        <v>2117</v>
      </c>
      <c r="J522" t="s">
        <v>2110</v>
      </c>
      <c r="K522">
        <v>129.56800000000001</v>
      </c>
      <c r="L522">
        <f t="shared" si="16"/>
        <v>12956.800000000001</v>
      </c>
      <c r="M522">
        <f t="shared" si="17"/>
        <v>2591.3600000000006</v>
      </c>
    </row>
    <row r="523" spans="1:13" x14ac:dyDescent="0.3">
      <c r="A523">
        <v>522</v>
      </c>
      <c r="B523" t="s">
        <v>650</v>
      </c>
      <c r="C523" s="1">
        <v>42451</v>
      </c>
      <c r="D523" s="1">
        <v>42455</v>
      </c>
      <c r="E523" t="s">
        <v>2118</v>
      </c>
      <c r="F523" t="s">
        <v>651</v>
      </c>
      <c r="G523" t="s">
        <v>652</v>
      </c>
      <c r="H523" t="s">
        <v>6</v>
      </c>
      <c r="I523" t="s">
        <v>2117</v>
      </c>
      <c r="J523" t="s">
        <v>2110</v>
      </c>
      <c r="K523">
        <v>14.112</v>
      </c>
      <c r="L523">
        <f t="shared" si="16"/>
        <v>1411.2</v>
      </c>
      <c r="M523">
        <f t="shared" si="17"/>
        <v>282.24</v>
      </c>
    </row>
    <row r="524" spans="1:13" x14ac:dyDescent="0.3">
      <c r="A524">
        <v>523</v>
      </c>
      <c r="B524" t="s">
        <v>653</v>
      </c>
      <c r="C524" s="1">
        <v>43123</v>
      </c>
      <c r="D524" s="1">
        <v>43125</v>
      </c>
      <c r="E524" t="s">
        <v>2120</v>
      </c>
      <c r="F524" t="s">
        <v>654</v>
      </c>
      <c r="G524" t="s">
        <v>655</v>
      </c>
      <c r="H524" t="s">
        <v>10</v>
      </c>
      <c r="I524" t="s">
        <v>2117</v>
      </c>
      <c r="J524" t="s">
        <v>2109</v>
      </c>
      <c r="K524">
        <v>210.98</v>
      </c>
      <c r="L524">
        <f t="shared" si="16"/>
        <v>21098</v>
      </c>
      <c r="M524">
        <f t="shared" si="17"/>
        <v>4219.6000000000004</v>
      </c>
    </row>
    <row r="525" spans="1:13" x14ac:dyDescent="0.3">
      <c r="A525">
        <v>524</v>
      </c>
      <c r="B525" t="s">
        <v>656</v>
      </c>
      <c r="C525" s="1">
        <v>42876</v>
      </c>
      <c r="D525" s="1">
        <v>42878</v>
      </c>
      <c r="E525" t="s">
        <v>2120</v>
      </c>
      <c r="F525" t="s">
        <v>339</v>
      </c>
      <c r="G525" t="s">
        <v>340</v>
      </c>
      <c r="H525" t="s">
        <v>6</v>
      </c>
      <c r="I525" t="s">
        <v>2112</v>
      </c>
      <c r="J525" t="s">
        <v>2111</v>
      </c>
      <c r="K525">
        <v>55.176000000000002</v>
      </c>
      <c r="L525">
        <f t="shared" si="16"/>
        <v>5517.6</v>
      </c>
      <c r="M525">
        <f t="shared" si="17"/>
        <v>1103.5200000000002</v>
      </c>
    </row>
    <row r="526" spans="1:13" x14ac:dyDescent="0.3">
      <c r="A526">
        <v>525</v>
      </c>
      <c r="B526" t="s">
        <v>656</v>
      </c>
      <c r="C526" s="1">
        <v>42876</v>
      </c>
      <c r="D526" s="1">
        <v>42878</v>
      </c>
      <c r="E526" t="s">
        <v>2120</v>
      </c>
      <c r="F526" t="s">
        <v>339</v>
      </c>
      <c r="G526" t="s">
        <v>340</v>
      </c>
      <c r="H526" t="s">
        <v>6</v>
      </c>
      <c r="I526" t="s">
        <v>2112</v>
      </c>
      <c r="J526" t="s">
        <v>2111</v>
      </c>
      <c r="K526">
        <v>66.260000000000005</v>
      </c>
      <c r="L526">
        <f t="shared" si="16"/>
        <v>6626.0000000000009</v>
      </c>
      <c r="M526">
        <f t="shared" si="17"/>
        <v>1325.2000000000003</v>
      </c>
    </row>
    <row r="527" spans="1:13" x14ac:dyDescent="0.3">
      <c r="A527">
        <v>526</v>
      </c>
      <c r="B527" t="s">
        <v>657</v>
      </c>
      <c r="C527" s="1">
        <v>42730</v>
      </c>
      <c r="D527" s="1">
        <v>42737</v>
      </c>
      <c r="E527" t="s">
        <v>2118</v>
      </c>
      <c r="F527" t="s">
        <v>658</v>
      </c>
      <c r="G527" t="s">
        <v>659</v>
      </c>
      <c r="H527" t="s">
        <v>6</v>
      </c>
      <c r="I527" t="s">
        <v>2114</v>
      </c>
      <c r="J527" t="s">
        <v>2110</v>
      </c>
      <c r="K527">
        <v>22.2</v>
      </c>
      <c r="L527">
        <f t="shared" si="16"/>
        <v>2220</v>
      </c>
      <c r="M527">
        <f t="shared" si="17"/>
        <v>444</v>
      </c>
    </row>
    <row r="528" spans="1:13" x14ac:dyDescent="0.3">
      <c r="A528">
        <v>527</v>
      </c>
      <c r="B528" t="s">
        <v>660</v>
      </c>
      <c r="C528" s="1">
        <v>43394</v>
      </c>
      <c r="D528" s="1">
        <v>43399</v>
      </c>
      <c r="E528" t="s">
        <v>2118</v>
      </c>
      <c r="F528" t="s">
        <v>661</v>
      </c>
      <c r="G528" t="s">
        <v>662</v>
      </c>
      <c r="H528" t="s">
        <v>26</v>
      </c>
      <c r="I528" t="s">
        <v>2115</v>
      </c>
      <c r="J528" t="s">
        <v>2109</v>
      </c>
      <c r="K528">
        <v>683.952</v>
      </c>
      <c r="L528">
        <f t="shared" si="16"/>
        <v>68395.199999999997</v>
      </c>
      <c r="M528">
        <f t="shared" si="17"/>
        <v>13679.04</v>
      </c>
    </row>
    <row r="529" spans="1:13" x14ac:dyDescent="0.3">
      <c r="A529">
        <v>528</v>
      </c>
      <c r="B529" t="s">
        <v>660</v>
      </c>
      <c r="C529" s="1">
        <v>43394</v>
      </c>
      <c r="D529" s="1">
        <v>43399</v>
      </c>
      <c r="E529" t="s">
        <v>2118</v>
      </c>
      <c r="F529" t="s">
        <v>661</v>
      </c>
      <c r="G529" t="s">
        <v>662</v>
      </c>
      <c r="H529" t="s">
        <v>26</v>
      </c>
      <c r="I529" t="s">
        <v>2115</v>
      </c>
      <c r="J529" t="s">
        <v>2109</v>
      </c>
      <c r="K529">
        <v>45.695999999999998</v>
      </c>
      <c r="L529">
        <f t="shared" si="16"/>
        <v>4569.5999999999995</v>
      </c>
      <c r="M529">
        <f t="shared" si="17"/>
        <v>913.92</v>
      </c>
    </row>
    <row r="530" spans="1:13" x14ac:dyDescent="0.3">
      <c r="A530">
        <v>529</v>
      </c>
      <c r="B530" t="s">
        <v>663</v>
      </c>
      <c r="C530" s="1">
        <v>42616</v>
      </c>
      <c r="D530" s="1">
        <v>42620</v>
      </c>
      <c r="E530" t="s">
        <v>2118</v>
      </c>
      <c r="F530" t="s">
        <v>664</v>
      </c>
      <c r="G530" t="s">
        <v>665</v>
      </c>
      <c r="H530" t="s">
        <v>6</v>
      </c>
      <c r="I530" t="s">
        <v>2114</v>
      </c>
      <c r="J530" t="s">
        <v>2110</v>
      </c>
      <c r="K530">
        <v>36.335999999999999</v>
      </c>
      <c r="L530">
        <f t="shared" si="16"/>
        <v>3633.6</v>
      </c>
      <c r="M530">
        <f t="shared" si="17"/>
        <v>726.72</v>
      </c>
    </row>
    <row r="531" spans="1:13" x14ac:dyDescent="0.3">
      <c r="A531">
        <v>530</v>
      </c>
      <c r="B531" t="s">
        <v>663</v>
      </c>
      <c r="C531" s="1">
        <v>42616</v>
      </c>
      <c r="D531" s="1">
        <v>42620</v>
      </c>
      <c r="E531" t="s">
        <v>2118</v>
      </c>
      <c r="F531" t="s">
        <v>664</v>
      </c>
      <c r="G531" t="s">
        <v>665</v>
      </c>
      <c r="H531" t="s">
        <v>6</v>
      </c>
      <c r="I531" t="s">
        <v>2114</v>
      </c>
      <c r="J531" t="s">
        <v>2110</v>
      </c>
      <c r="K531">
        <v>666.24800000000005</v>
      </c>
      <c r="L531">
        <f t="shared" si="16"/>
        <v>66624.800000000003</v>
      </c>
      <c r="M531">
        <f t="shared" si="17"/>
        <v>13324.960000000001</v>
      </c>
    </row>
    <row r="532" spans="1:13" x14ac:dyDescent="0.3">
      <c r="A532">
        <v>531</v>
      </c>
      <c r="B532" t="s">
        <v>663</v>
      </c>
      <c r="C532" s="1">
        <v>42616</v>
      </c>
      <c r="D532" s="1">
        <v>42620</v>
      </c>
      <c r="E532" t="s">
        <v>2118</v>
      </c>
      <c r="F532" t="s">
        <v>664</v>
      </c>
      <c r="G532" t="s">
        <v>665</v>
      </c>
      <c r="H532" t="s">
        <v>6</v>
      </c>
      <c r="I532" t="s">
        <v>2114</v>
      </c>
      <c r="J532" t="s">
        <v>2110</v>
      </c>
      <c r="K532">
        <v>52.512</v>
      </c>
      <c r="L532">
        <f t="shared" si="16"/>
        <v>5251.2</v>
      </c>
      <c r="M532">
        <f t="shared" si="17"/>
        <v>1050.24</v>
      </c>
    </row>
    <row r="533" spans="1:13" x14ac:dyDescent="0.3">
      <c r="A533">
        <v>532</v>
      </c>
      <c r="B533" t="s">
        <v>666</v>
      </c>
      <c r="C533" s="1">
        <v>42681</v>
      </c>
      <c r="D533" s="1">
        <v>42683</v>
      </c>
      <c r="E533" t="s">
        <v>2119</v>
      </c>
      <c r="F533" t="s">
        <v>667</v>
      </c>
      <c r="G533" t="s">
        <v>668</v>
      </c>
      <c r="H533" t="s">
        <v>10</v>
      </c>
      <c r="I533" t="s">
        <v>2112</v>
      </c>
      <c r="J533" t="s">
        <v>2109</v>
      </c>
      <c r="K533">
        <v>190.72</v>
      </c>
      <c r="L533">
        <f t="shared" si="16"/>
        <v>19072</v>
      </c>
      <c r="M533">
        <f t="shared" si="17"/>
        <v>3814.4</v>
      </c>
    </row>
    <row r="534" spans="1:13" x14ac:dyDescent="0.3">
      <c r="A534">
        <v>533</v>
      </c>
      <c r="B534" t="s">
        <v>669</v>
      </c>
      <c r="C534" s="1">
        <v>43350</v>
      </c>
      <c r="D534" s="1">
        <v>43354</v>
      </c>
      <c r="E534" t="s">
        <v>2118</v>
      </c>
      <c r="F534" t="s">
        <v>670</v>
      </c>
      <c r="G534" t="s">
        <v>671</v>
      </c>
      <c r="H534" t="s">
        <v>6</v>
      </c>
      <c r="I534" t="s">
        <v>2112</v>
      </c>
      <c r="J534" t="s">
        <v>2109</v>
      </c>
      <c r="K534">
        <v>47.94</v>
      </c>
      <c r="L534">
        <f t="shared" si="16"/>
        <v>4794</v>
      </c>
      <c r="M534">
        <f t="shared" si="17"/>
        <v>958.80000000000007</v>
      </c>
    </row>
    <row r="535" spans="1:13" x14ac:dyDescent="0.3">
      <c r="A535">
        <v>534</v>
      </c>
      <c r="B535" t="s">
        <v>672</v>
      </c>
      <c r="C535" s="1">
        <v>42884</v>
      </c>
      <c r="D535" s="1">
        <v>42887</v>
      </c>
      <c r="E535" t="s">
        <v>2119</v>
      </c>
      <c r="F535" t="s">
        <v>673</v>
      </c>
      <c r="G535" t="s">
        <v>674</v>
      </c>
      <c r="H535" t="s">
        <v>6</v>
      </c>
      <c r="I535" t="s">
        <v>2115</v>
      </c>
      <c r="J535" t="s">
        <v>2111</v>
      </c>
      <c r="K535">
        <v>979.95</v>
      </c>
      <c r="L535">
        <f t="shared" si="16"/>
        <v>97995</v>
      </c>
      <c r="M535">
        <f t="shared" si="17"/>
        <v>19599</v>
      </c>
    </row>
    <row r="536" spans="1:13" x14ac:dyDescent="0.3">
      <c r="A536">
        <v>535</v>
      </c>
      <c r="B536" t="s">
        <v>672</v>
      </c>
      <c r="C536" s="1">
        <v>42884</v>
      </c>
      <c r="D536" s="1">
        <v>42887</v>
      </c>
      <c r="E536" t="s">
        <v>2119</v>
      </c>
      <c r="F536" t="s">
        <v>673</v>
      </c>
      <c r="G536" t="s">
        <v>674</v>
      </c>
      <c r="H536" t="s">
        <v>6</v>
      </c>
      <c r="I536" t="s">
        <v>2115</v>
      </c>
      <c r="J536" t="s">
        <v>2110</v>
      </c>
      <c r="K536">
        <v>22.75</v>
      </c>
      <c r="L536">
        <f t="shared" si="16"/>
        <v>2275</v>
      </c>
      <c r="M536">
        <f t="shared" si="17"/>
        <v>455</v>
      </c>
    </row>
    <row r="537" spans="1:13" x14ac:dyDescent="0.3">
      <c r="A537">
        <v>536</v>
      </c>
      <c r="B537" t="s">
        <v>675</v>
      </c>
      <c r="C537" s="1">
        <v>42926</v>
      </c>
      <c r="D537" s="1">
        <v>42932</v>
      </c>
      <c r="E537" t="s">
        <v>2118</v>
      </c>
      <c r="F537" t="s">
        <v>676</v>
      </c>
      <c r="G537" t="s">
        <v>677</v>
      </c>
      <c r="H537" t="s">
        <v>6</v>
      </c>
      <c r="I537" t="s">
        <v>2112</v>
      </c>
      <c r="J537" t="s">
        <v>2110</v>
      </c>
      <c r="K537">
        <v>16.768000000000001</v>
      </c>
      <c r="L537">
        <f t="shared" si="16"/>
        <v>1676.8000000000002</v>
      </c>
      <c r="M537">
        <f t="shared" si="17"/>
        <v>335.36000000000007</v>
      </c>
    </row>
    <row r="538" spans="1:13" x14ac:dyDescent="0.3">
      <c r="A538">
        <v>537</v>
      </c>
      <c r="B538" t="s">
        <v>678</v>
      </c>
      <c r="C538" s="1">
        <v>43346</v>
      </c>
      <c r="D538" s="1">
        <v>43351</v>
      </c>
      <c r="E538" t="s">
        <v>2119</v>
      </c>
      <c r="F538" t="s">
        <v>679</v>
      </c>
      <c r="G538" t="s">
        <v>680</v>
      </c>
      <c r="H538" t="s">
        <v>6</v>
      </c>
      <c r="I538" t="s">
        <v>2117</v>
      </c>
      <c r="J538" t="s">
        <v>2110</v>
      </c>
      <c r="K538">
        <v>42.616</v>
      </c>
      <c r="L538">
        <f t="shared" si="16"/>
        <v>4261.6000000000004</v>
      </c>
      <c r="M538">
        <f t="shared" si="17"/>
        <v>852.32000000000016</v>
      </c>
    </row>
    <row r="539" spans="1:13" x14ac:dyDescent="0.3">
      <c r="A539">
        <v>538</v>
      </c>
      <c r="B539" t="s">
        <v>681</v>
      </c>
      <c r="C539" s="1">
        <v>42707</v>
      </c>
      <c r="D539" s="1">
        <v>42712</v>
      </c>
      <c r="E539" t="s">
        <v>2118</v>
      </c>
      <c r="F539" t="s">
        <v>275</v>
      </c>
      <c r="G539" t="s">
        <v>276</v>
      </c>
      <c r="H539" t="s">
        <v>26</v>
      </c>
      <c r="I539" t="s">
        <v>2114</v>
      </c>
      <c r="J539" t="s">
        <v>2110</v>
      </c>
      <c r="K539">
        <v>10.752000000000001</v>
      </c>
      <c r="L539">
        <f t="shared" si="16"/>
        <v>1075.2</v>
      </c>
      <c r="M539">
        <f t="shared" si="17"/>
        <v>215.04000000000002</v>
      </c>
    </row>
    <row r="540" spans="1:13" x14ac:dyDescent="0.3">
      <c r="A540">
        <v>539</v>
      </c>
      <c r="B540" t="s">
        <v>682</v>
      </c>
      <c r="C540" s="1">
        <v>42711</v>
      </c>
      <c r="D540" s="1">
        <v>42715</v>
      </c>
      <c r="E540" t="s">
        <v>2118</v>
      </c>
      <c r="F540" t="s">
        <v>683</v>
      </c>
      <c r="G540" t="s">
        <v>684</v>
      </c>
      <c r="H540" t="s">
        <v>6</v>
      </c>
      <c r="I540" t="s">
        <v>2115</v>
      </c>
      <c r="J540" t="s">
        <v>2110</v>
      </c>
      <c r="K540">
        <v>152.94</v>
      </c>
      <c r="L540">
        <f t="shared" si="16"/>
        <v>15294</v>
      </c>
      <c r="M540">
        <f t="shared" si="17"/>
        <v>3058.8</v>
      </c>
    </row>
    <row r="541" spans="1:13" x14ac:dyDescent="0.3">
      <c r="A541">
        <v>540</v>
      </c>
      <c r="B541" t="s">
        <v>682</v>
      </c>
      <c r="C541" s="1">
        <v>42711</v>
      </c>
      <c r="D541" s="1">
        <v>42715</v>
      </c>
      <c r="E541" t="s">
        <v>2118</v>
      </c>
      <c r="F541" t="s">
        <v>683</v>
      </c>
      <c r="G541" t="s">
        <v>684</v>
      </c>
      <c r="H541" t="s">
        <v>6</v>
      </c>
      <c r="I541" t="s">
        <v>2115</v>
      </c>
      <c r="J541" t="s">
        <v>2109</v>
      </c>
      <c r="K541">
        <v>283.92</v>
      </c>
      <c r="L541">
        <f t="shared" si="16"/>
        <v>28392</v>
      </c>
      <c r="M541">
        <f t="shared" si="17"/>
        <v>5678.4000000000005</v>
      </c>
    </row>
    <row r="542" spans="1:13" x14ac:dyDescent="0.3">
      <c r="A542">
        <v>541</v>
      </c>
      <c r="B542" t="s">
        <v>685</v>
      </c>
      <c r="C542" s="1">
        <v>42036</v>
      </c>
      <c r="D542" s="1">
        <v>42038</v>
      </c>
      <c r="E542" t="s">
        <v>2120</v>
      </c>
      <c r="F542" t="s">
        <v>686</v>
      </c>
      <c r="G542" t="s">
        <v>687</v>
      </c>
      <c r="H542" t="s">
        <v>6</v>
      </c>
      <c r="I542" t="s">
        <v>2117</v>
      </c>
      <c r="J542" t="s">
        <v>2111</v>
      </c>
      <c r="K542">
        <v>468.9</v>
      </c>
      <c r="L542">
        <f t="shared" si="16"/>
        <v>46890</v>
      </c>
      <c r="M542">
        <f t="shared" si="17"/>
        <v>9378</v>
      </c>
    </row>
    <row r="543" spans="1:13" x14ac:dyDescent="0.3">
      <c r="A543">
        <v>542</v>
      </c>
      <c r="B543" t="s">
        <v>688</v>
      </c>
      <c r="C543" s="1">
        <v>42930</v>
      </c>
      <c r="D543" s="1">
        <v>42933</v>
      </c>
      <c r="E543" t="s">
        <v>2120</v>
      </c>
      <c r="F543" t="s">
        <v>67</v>
      </c>
      <c r="G543" t="s">
        <v>68</v>
      </c>
      <c r="H543" t="s">
        <v>10</v>
      </c>
      <c r="I543" t="s">
        <v>2112</v>
      </c>
      <c r="J543" t="s">
        <v>2111</v>
      </c>
      <c r="K543">
        <v>380.86399999999998</v>
      </c>
      <c r="L543">
        <f t="shared" si="16"/>
        <v>38086.399999999994</v>
      </c>
      <c r="M543">
        <f t="shared" si="17"/>
        <v>7617.2799999999988</v>
      </c>
    </row>
    <row r="544" spans="1:13" x14ac:dyDescent="0.3">
      <c r="A544">
        <v>543</v>
      </c>
      <c r="B544" t="s">
        <v>689</v>
      </c>
      <c r="C544" s="1">
        <v>42722</v>
      </c>
      <c r="D544" s="1">
        <v>42727</v>
      </c>
      <c r="E544" t="s">
        <v>2118</v>
      </c>
      <c r="F544" t="s">
        <v>690</v>
      </c>
      <c r="G544" t="s">
        <v>691</v>
      </c>
      <c r="H544" t="s">
        <v>6</v>
      </c>
      <c r="I544" t="s">
        <v>2114</v>
      </c>
      <c r="J544" t="s">
        <v>2110</v>
      </c>
      <c r="K544">
        <v>646.77599999999995</v>
      </c>
      <c r="L544">
        <f t="shared" si="16"/>
        <v>64677.599999999999</v>
      </c>
      <c r="M544">
        <f t="shared" si="17"/>
        <v>12935.52</v>
      </c>
    </row>
    <row r="545" spans="1:13" x14ac:dyDescent="0.3">
      <c r="A545">
        <v>544</v>
      </c>
      <c r="B545" t="s">
        <v>692</v>
      </c>
      <c r="C545" s="1">
        <v>42135</v>
      </c>
      <c r="D545" s="1">
        <v>42140</v>
      </c>
      <c r="E545" t="s">
        <v>2118</v>
      </c>
      <c r="F545" t="s">
        <v>124</v>
      </c>
      <c r="G545" t="s">
        <v>125</v>
      </c>
      <c r="H545" t="s">
        <v>6</v>
      </c>
      <c r="I545" t="s">
        <v>2117</v>
      </c>
      <c r="J545" t="s">
        <v>2111</v>
      </c>
      <c r="K545">
        <v>58.112000000000002</v>
      </c>
      <c r="L545">
        <f t="shared" si="16"/>
        <v>5811.2</v>
      </c>
      <c r="M545">
        <f t="shared" si="17"/>
        <v>1162.24</v>
      </c>
    </row>
    <row r="546" spans="1:13" x14ac:dyDescent="0.3">
      <c r="A546">
        <v>545</v>
      </c>
      <c r="B546" t="s">
        <v>692</v>
      </c>
      <c r="C546" s="1">
        <v>42135</v>
      </c>
      <c r="D546" s="1">
        <v>42140</v>
      </c>
      <c r="E546" t="s">
        <v>2118</v>
      </c>
      <c r="F546" t="s">
        <v>124</v>
      </c>
      <c r="G546" t="s">
        <v>125</v>
      </c>
      <c r="H546" t="s">
        <v>6</v>
      </c>
      <c r="I546" t="s">
        <v>2117</v>
      </c>
      <c r="J546" t="s">
        <v>2111</v>
      </c>
      <c r="K546">
        <v>100.792</v>
      </c>
      <c r="L546">
        <f t="shared" si="16"/>
        <v>10079.200000000001</v>
      </c>
      <c r="M546">
        <f t="shared" si="17"/>
        <v>2015.8400000000001</v>
      </c>
    </row>
    <row r="547" spans="1:13" x14ac:dyDescent="0.3">
      <c r="A547">
        <v>546</v>
      </c>
      <c r="B547" t="s">
        <v>692</v>
      </c>
      <c r="C547" s="1">
        <v>42135</v>
      </c>
      <c r="D547" s="1">
        <v>42140</v>
      </c>
      <c r="E547" t="s">
        <v>2118</v>
      </c>
      <c r="F547" t="s">
        <v>124</v>
      </c>
      <c r="G547" t="s">
        <v>125</v>
      </c>
      <c r="H547" t="s">
        <v>6</v>
      </c>
      <c r="I547" t="s">
        <v>2117</v>
      </c>
      <c r="J547" t="s">
        <v>2109</v>
      </c>
      <c r="K547">
        <v>66.111999999999995</v>
      </c>
      <c r="L547">
        <f t="shared" si="16"/>
        <v>6611.2</v>
      </c>
      <c r="M547">
        <f t="shared" si="17"/>
        <v>1322.24</v>
      </c>
    </row>
    <row r="548" spans="1:13" x14ac:dyDescent="0.3">
      <c r="A548">
        <v>547</v>
      </c>
      <c r="B548" t="s">
        <v>693</v>
      </c>
      <c r="C548" s="1">
        <v>43423</v>
      </c>
      <c r="D548" s="1">
        <v>43426</v>
      </c>
      <c r="E548" t="s">
        <v>2120</v>
      </c>
      <c r="F548" t="s">
        <v>694</v>
      </c>
      <c r="G548" t="s">
        <v>695</v>
      </c>
      <c r="H548" t="s">
        <v>26</v>
      </c>
      <c r="I548" t="s">
        <v>2114</v>
      </c>
      <c r="J548" t="s">
        <v>2110</v>
      </c>
      <c r="K548">
        <v>41.28</v>
      </c>
      <c r="L548">
        <f t="shared" si="16"/>
        <v>4128</v>
      </c>
      <c r="M548">
        <f t="shared" si="17"/>
        <v>825.6</v>
      </c>
    </row>
    <row r="549" spans="1:13" x14ac:dyDescent="0.3">
      <c r="A549">
        <v>548</v>
      </c>
      <c r="B549" t="s">
        <v>693</v>
      </c>
      <c r="C549" s="1">
        <v>43423</v>
      </c>
      <c r="D549" s="1">
        <v>43426</v>
      </c>
      <c r="E549" t="s">
        <v>2120</v>
      </c>
      <c r="F549" t="s">
        <v>694</v>
      </c>
      <c r="G549" t="s">
        <v>695</v>
      </c>
      <c r="H549" t="s">
        <v>26</v>
      </c>
      <c r="I549" t="s">
        <v>2114</v>
      </c>
      <c r="J549" t="s">
        <v>2110</v>
      </c>
      <c r="K549">
        <v>13.36</v>
      </c>
      <c r="L549">
        <f t="shared" si="16"/>
        <v>1336</v>
      </c>
      <c r="M549">
        <f t="shared" si="17"/>
        <v>267.2</v>
      </c>
    </row>
    <row r="550" spans="1:13" x14ac:dyDescent="0.3">
      <c r="A550">
        <v>549</v>
      </c>
      <c r="B550" t="s">
        <v>696</v>
      </c>
      <c r="C550" s="1">
        <v>42689</v>
      </c>
      <c r="D550" s="1">
        <v>42691</v>
      </c>
      <c r="E550" t="s">
        <v>2119</v>
      </c>
      <c r="F550" t="s">
        <v>497</v>
      </c>
      <c r="G550" t="s">
        <v>498</v>
      </c>
      <c r="H550" t="s">
        <v>10</v>
      </c>
      <c r="I550" t="s">
        <v>2117</v>
      </c>
      <c r="J550" t="s">
        <v>2110</v>
      </c>
      <c r="K550">
        <v>250.27199999999999</v>
      </c>
      <c r="L550">
        <f t="shared" si="16"/>
        <v>25027.200000000001</v>
      </c>
      <c r="M550">
        <f t="shared" si="17"/>
        <v>5005.4400000000005</v>
      </c>
    </row>
    <row r="551" spans="1:13" x14ac:dyDescent="0.3">
      <c r="A551">
        <v>550</v>
      </c>
      <c r="B551" t="s">
        <v>696</v>
      </c>
      <c r="C551" s="1">
        <v>42689</v>
      </c>
      <c r="D551" s="1">
        <v>42691</v>
      </c>
      <c r="E551" t="s">
        <v>2119</v>
      </c>
      <c r="F551" t="s">
        <v>497</v>
      </c>
      <c r="G551" t="s">
        <v>498</v>
      </c>
      <c r="H551" t="s">
        <v>10</v>
      </c>
      <c r="I551" t="s">
        <v>2117</v>
      </c>
      <c r="J551" t="s">
        <v>2110</v>
      </c>
      <c r="K551">
        <v>11.364000000000001</v>
      </c>
      <c r="L551">
        <f t="shared" si="16"/>
        <v>1136.4000000000001</v>
      </c>
      <c r="M551">
        <f t="shared" si="17"/>
        <v>227.28000000000003</v>
      </c>
    </row>
    <row r="552" spans="1:13" x14ac:dyDescent="0.3">
      <c r="A552">
        <v>551</v>
      </c>
      <c r="B552" t="s">
        <v>696</v>
      </c>
      <c r="C552" s="1">
        <v>42689</v>
      </c>
      <c r="D552" s="1">
        <v>42691</v>
      </c>
      <c r="E552" t="s">
        <v>2119</v>
      </c>
      <c r="F552" t="s">
        <v>497</v>
      </c>
      <c r="G552" t="s">
        <v>498</v>
      </c>
      <c r="H552" t="s">
        <v>10</v>
      </c>
      <c r="I552" t="s">
        <v>2117</v>
      </c>
      <c r="J552" t="s">
        <v>2110</v>
      </c>
      <c r="K552">
        <v>8.7200000000000006</v>
      </c>
      <c r="L552">
        <f t="shared" si="16"/>
        <v>872.00000000000011</v>
      </c>
      <c r="M552">
        <f t="shared" si="17"/>
        <v>174.40000000000003</v>
      </c>
    </row>
    <row r="553" spans="1:13" x14ac:dyDescent="0.3">
      <c r="A553">
        <v>552</v>
      </c>
      <c r="B553" t="s">
        <v>697</v>
      </c>
      <c r="C553" s="1">
        <v>42840</v>
      </c>
      <c r="D553" s="1">
        <v>42842</v>
      </c>
      <c r="E553" t="s">
        <v>2119</v>
      </c>
      <c r="F553" t="s">
        <v>698</v>
      </c>
      <c r="G553" t="s">
        <v>699</v>
      </c>
      <c r="H553" t="s">
        <v>6</v>
      </c>
      <c r="I553" t="s">
        <v>2112</v>
      </c>
      <c r="J553" t="s">
        <v>2109</v>
      </c>
      <c r="K553">
        <v>1121.568</v>
      </c>
      <c r="L553">
        <f t="shared" si="16"/>
        <v>112156.8</v>
      </c>
      <c r="M553">
        <f t="shared" si="17"/>
        <v>22431.360000000001</v>
      </c>
    </row>
    <row r="554" spans="1:13" x14ac:dyDescent="0.3">
      <c r="A554">
        <v>553</v>
      </c>
      <c r="B554" t="s">
        <v>700</v>
      </c>
      <c r="C554" s="1">
        <v>43354</v>
      </c>
      <c r="D554" s="1">
        <v>43355</v>
      </c>
      <c r="E554" t="s">
        <v>2120</v>
      </c>
      <c r="F554" t="s">
        <v>169</v>
      </c>
      <c r="G554" t="s">
        <v>170</v>
      </c>
      <c r="H554" t="s">
        <v>6</v>
      </c>
      <c r="I554" t="s">
        <v>2115</v>
      </c>
      <c r="J554" t="s">
        <v>2109</v>
      </c>
      <c r="K554">
        <v>34.503999999999998</v>
      </c>
      <c r="L554">
        <f t="shared" si="16"/>
        <v>3450.3999999999996</v>
      </c>
      <c r="M554">
        <f t="shared" si="17"/>
        <v>690.07999999999993</v>
      </c>
    </row>
    <row r="555" spans="1:13" x14ac:dyDescent="0.3">
      <c r="A555">
        <v>554</v>
      </c>
      <c r="B555" t="s">
        <v>701</v>
      </c>
      <c r="C555" s="1">
        <v>43428</v>
      </c>
      <c r="D555" s="1">
        <v>43432</v>
      </c>
      <c r="E555" t="s">
        <v>2118</v>
      </c>
      <c r="F555" t="s">
        <v>702</v>
      </c>
      <c r="G555" t="s">
        <v>703</v>
      </c>
      <c r="H555" t="s">
        <v>6</v>
      </c>
      <c r="I555" t="s">
        <v>2117</v>
      </c>
      <c r="J555" t="s">
        <v>2110</v>
      </c>
      <c r="K555">
        <v>10.824</v>
      </c>
      <c r="L555">
        <f t="shared" si="16"/>
        <v>1082.4000000000001</v>
      </c>
      <c r="M555">
        <f t="shared" si="17"/>
        <v>216.48000000000002</v>
      </c>
    </row>
    <row r="556" spans="1:13" x14ac:dyDescent="0.3">
      <c r="A556">
        <v>555</v>
      </c>
      <c r="B556" t="s">
        <v>704</v>
      </c>
      <c r="C556" s="1">
        <v>43280</v>
      </c>
      <c r="D556" s="1">
        <v>43284</v>
      </c>
      <c r="E556" t="s">
        <v>2119</v>
      </c>
      <c r="F556" t="s">
        <v>497</v>
      </c>
      <c r="G556" t="s">
        <v>498</v>
      </c>
      <c r="H556" t="s">
        <v>10</v>
      </c>
      <c r="I556" t="s">
        <v>2112</v>
      </c>
      <c r="J556" t="s">
        <v>2110</v>
      </c>
      <c r="K556">
        <v>1295.78</v>
      </c>
      <c r="L556">
        <f t="shared" si="16"/>
        <v>129578</v>
      </c>
      <c r="M556">
        <f t="shared" si="17"/>
        <v>25915.600000000002</v>
      </c>
    </row>
    <row r="557" spans="1:13" x14ac:dyDescent="0.3">
      <c r="A557">
        <v>556</v>
      </c>
      <c r="B557" t="s">
        <v>705</v>
      </c>
      <c r="C557" s="1">
        <v>42066</v>
      </c>
      <c r="D557" s="1">
        <v>42070</v>
      </c>
      <c r="E557" t="s">
        <v>2119</v>
      </c>
      <c r="F557" t="s">
        <v>706</v>
      </c>
      <c r="G557" t="s">
        <v>707</v>
      </c>
      <c r="H557" t="s">
        <v>6</v>
      </c>
      <c r="I557" t="s">
        <v>2115</v>
      </c>
      <c r="J557" t="s">
        <v>2110</v>
      </c>
      <c r="K557">
        <v>19.456</v>
      </c>
      <c r="L557">
        <f t="shared" si="16"/>
        <v>1945.6</v>
      </c>
      <c r="M557">
        <f t="shared" si="17"/>
        <v>389.12</v>
      </c>
    </row>
    <row r="558" spans="1:13" x14ac:dyDescent="0.3">
      <c r="A558">
        <v>557</v>
      </c>
      <c r="B558" t="s">
        <v>708</v>
      </c>
      <c r="C558" s="1">
        <v>42896</v>
      </c>
      <c r="D558" s="1">
        <v>42901</v>
      </c>
      <c r="E558" t="s">
        <v>2118</v>
      </c>
      <c r="F558" t="s">
        <v>709</v>
      </c>
      <c r="G558" t="s">
        <v>710</v>
      </c>
      <c r="H558" t="s">
        <v>6</v>
      </c>
      <c r="I558" t="s">
        <v>2112</v>
      </c>
      <c r="J558" t="s">
        <v>2110</v>
      </c>
      <c r="K558">
        <v>20.7</v>
      </c>
      <c r="L558">
        <f t="shared" si="16"/>
        <v>2070</v>
      </c>
      <c r="M558">
        <f t="shared" si="17"/>
        <v>414</v>
      </c>
    </row>
    <row r="559" spans="1:13" x14ac:dyDescent="0.3">
      <c r="A559">
        <v>558</v>
      </c>
      <c r="B559" t="s">
        <v>708</v>
      </c>
      <c r="C559" s="1">
        <v>42896</v>
      </c>
      <c r="D559" s="1">
        <v>42901</v>
      </c>
      <c r="E559" t="s">
        <v>2118</v>
      </c>
      <c r="F559" t="s">
        <v>709</v>
      </c>
      <c r="G559" t="s">
        <v>710</v>
      </c>
      <c r="H559" t="s">
        <v>6</v>
      </c>
      <c r="I559" t="s">
        <v>2112</v>
      </c>
      <c r="J559" t="s">
        <v>2109</v>
      </c>
      <c r="K559">
        <v>1335.68</v>
      </c>
      <c r="L559">
        <f t="shared" si="16"/>
        <v>133568</v>
      </c>
      <c r="M559">
        <f t="shared" si="17"/>
        <v>26713.600000000002</v>
      </c>
    </row>
    <row r="560" spans="1:13" x14ac:dyDescent="0.3">
      <c r="A560">
        <v>559</v>
      </c>
      <c r="B560" t="s">
        <v>708</v>
      </c>
      <c r="C560" s="1">
        <v>42896</v>
      </c>
      <c r="D560" s="1">
        <v>42901</v>
      </c>
      <c r="E560" t="s">
        <v>2118</v>
      </c>
      <c r="F560" t="s">
        <v>709</v>
      </c>
      <c r="G560" t="s">
        <v>710</v>
      </c>
      <c r="H560" t="s">
        <v>6</v>
      </c>
      <c r="I560" t="s">
        <v>2112</v>
      </c>
      <c r="J560" t="s">
        <v>2110</v>
      </c>
      <c r="K560">
        <v>32.4</v>
      </c>
      <c r="L560">
        <f t="shared" si="16"/>
        <v>3240</v>
      </c>
      <c r="M560">
        <f t="shared" si="17"/>
        <v>648</v>
      </c>
    </row>
    <row r="561" spans="1:13" x14ac:dyDescent="0.3">
      <c r="A561">
        <v>560</v>
      </c>
      <c r="B561" t="s">
        <v>711</v>
      </c>
      <c r="C561" s="1">
        <v>43424</v>
      </c>
      <c r="D561" s="1">
        <v>43426</v>
      </c>
      <c r="E561" t="s">
        <v>2119</v>
      </c>
      <c r="F561" t="s">
        <v>712</v>
      </c>
      <c r="G561" t="s">
        <v>713</v>
      </c>
      <c r="H561" t="s">
        <v>6</v>
      </c>
      <c r="I561" t="s">
        <v>2112</v>
      </c>
      <c r="J561" t="s">
        <v>2109</v>
      </c>
      <c r="K561">
        <v>42.6</v>
      </c>
      <c r="L561">
        <f t="shared" si="16"/>
        <v>4260</v>
      </c>
      <c r="M561">
        <f t="shared" si="17"/>
        <v>852</v>
      </c>
    </row>
    <row r="562" spans="1:13" x14ac:dyDescent="0.3">
      <c r="A562">
        <v>561</v>
      </c>
      <c r="B562" t="s">
        <v>711</v>
      </c>
      <c r="C562" s="1">
        <v>43424</v>
      </c>
      <c r="D562" s="1">
        <v>43426</v>
      </c>
      <c r="E562" t="s">
        <v>2119</v>
      </c>
      <c r="F562" t="s">
        <v>712</v>
      </c>
      <c r="G562" t="s">
        <v>713</v>
      </c>
      <c r="H562" t="s">
        <v>6</v>
      </c>
      <c r="I562" t="s">
        <v>2112</v>
      </c>
      <c r="J562" t="s">
        <v>2110</v>
      </c>
      <c r="K562">
        <v>84.055999999999997</v>
      </c>
      <c r="L562">
        <f t="shared" si="16"/>
        <v>8405.6</v>
      </c>
      <c r="M562">
        <f t="shared" si="17"/>
        <v>1681.1200000000001</v>
      </c>
    </row>
    <row r="563" spans="1:13" x14ac:dyDescent="0.3">
      <c r="A563">
        <v>562</v>
      </c>
      <c r="B563" t="s">
        <v>714</v>
      </c>
      <c r="C563" s="1">
        <v>42261</v>
      </c>
      <c r="D563" s="1">
        <v>42265</v>
      </c>
      <c r="E563" t="s">
        <v>2119</v>
      </c>
      <c r="F563" t="s">
        <v>715</v>
      </c>
      <c r="G563" t="s">
        <v>716</v>
      </c>
      <c r="H563" t="s">
        <v>6</v>
      </c>
      <c r="I563" t="s">
        <v>2115</v>
      </c>
      <c r="J563" t="s">
        <v>2110</v>
      </c>
      <c r="K563">
        <v>13</v>
      </c>
      <c r="L563">
        <f t="shared" si="16"/>
        <v>1300</v>
      </c>
      <c r="M563">
        <f t="shared" si="17"/>
        <v>260</v>
      </c>
    </row>
    <row r="564" spans="1:13" x14ac:dyDescent="0.3">
      <c r="A564">
        <v>563</v>
      </c>
      <c r="B564" t="s">
        <v>714</v>
      </c>
      <c r="C564" s="1">
        <v>42261</v>
      </c>
      <c r="D564" s="1">
        <v>42265</v>
      </c>
      <c r="E564" t="s">
        <v>2119</v>
      </c>
      <c r="F564" t="s">
        <v>715</v>
      </c>
      <c r="G564" t="s">
        <v>716</v>
      </c>
      <c r="H564" t="s">
        <v>6</v>
      </c>
      <c r="I564" t="s">
        <v>2115</v>
      </c>
      <c r="J564" t="s">
        <v>2109</v>
      </c>
      <c r="K564">
        <v>13.128</v>
      </c>
      <c r="L564">
        <f t="shared" si="16"/>
        <v>1312.8</v>
      </c>
      <c r="M564">
        <f t="shared" si="17"/>
        <v>262.56</v>
      </c>
    </row>
    <row r="565" spans="1:13" x14ac:dyDescent="0.3">
      <c r="A565">
        <v>564</v>
      </c>
      <c r="B565" t="s">
        <v>717</v>
      </c>
      <c r="C565" s="1">
        <v>42711</v>
      </c>
      <c r="D565" s="1">
        <v>42713</v>
      </c>
      <c r="E565" t="s">
        <v>2120</v>
      </c>
      <c r="F565" t="s">
        <v>718</v>
      </c>
      <c r="G565" t="s">
        <v>719</v>
      </c>
      <c r="H565" t="s">
        <v>6</v>
      </c>
      <c r="I565" t="s">
        <v>2112</v>
      </c>
      <c r="J565" t="s">
        <v>2110</v>
      </c>
      <c r="K565">
        <v>3.96</v>
      </c>
      <c r="L565">
        <f t="shared" si="16"/>
        <v>396</v>
      </c>
      <c r="M565">
        <f t="shared" si="17"/>
        <v>79.2</v>
      </c>
    </row>
    <row r="566" spans="1:13" x14ac:dyDescent="0.3">
      <c r="A566">
        <v>565</v>
      </c>
      <c r="B566" t="s">
        <v>717</v>
      </c>
      <c r="C566" s="1">
        <v>42711</v>
      </c>
      <c r="D566" s="1">
        <v>42713</v>
      </c>
      <c r="E566" t="s">
        <v>2120</v>
      </c>
      <c r="F566" t="s">
        <v>718</v>
      </c>
      <c r="G566" t="s">
        <v>719</v>
      </c>
      <c r="H566" t="s">
        <v>6</v>
      </c>
      <c r="I566" t="s">
        <v>2112</v>
      </c>
      <c r="J566" t="s">
        <v>2110</v>
      </c>
      <c r="K566">
        <v>2.61</v>
      </c>
      <c r="L566">
        <f t="shared" si="16"/>
        <v>261</v>
      </c>
      <c r="M566">
        <f t="shared" si="17"/>
        <v>52.2</v>
      </c>
    </row>
    <row r="567" spans="1:13" x14ac:dyDescent="0.3">
      <c r="A567">
        <v>566</v>
      </c>
      <c r="B567" t="s">
        <v>720</v>
      </c>
      <c r="C567" s="1">
        <v>43441</v>
      </c>
      <c r="D567" s="1">
        <v>43444</v>
      </c>
      <c r="E567" t="s">
        <v>2120</v>
      </c>
      <c r="F567" t="s">
        <v>721</v>
      </c>
      <c r="G567" t="s">
        <v>722</v>
      </c>
      <c r="H567" t="s">
        <v>6</v>
      </c>
      <c r="I567" t="s">
        <v>2112</v>
      </c>
      <c r="J567" t="s">
        <v>2111</v>
      </c>
      <c r="K567">
        <v>374.37599999999998</v>
      </c>
      <c r="L567">
        <f t="shared" si="16"/>
        <v>37437.599999999999</v>
      </c>
      <c r="M567">
        <f t="shared" si="17"/>
        <v>7487.52</v>
      </c>
    </row>
    <row r="568" spans="1:13" x14ac:dyDescent="0.3">
      <c r="A568">
        <v>567</v>
      </c>
      <c r="B568" t="s">
        <v>723</v>
      </c>
      <c r="C568" s="1">
        <v>43374</v>
      </c>
      <c r="D568" s="1">
        <v>43381</v>
      </c>
      <c r="E568" t="s">
        <v>2118</v>
      </c>
      <c r="F568" t="s">
        <v>724</v>
      </c>
      <c r="G568" t="s">
        <v>725</v>
      </c>
      <c r="H568" t="s">
        <v>10</v>
      </c>
      <c r="I568" t="s">
        <v>2112</v>
      </c>
      <c r="J568" t="s">
        <v>2110</v>
      </c>
      <c r="K568">
        <v>91.84</v>
      </c>
      <c r="L568">
        <f t="shared" si="16"/>
        <v>9184</v>
      </c>
      <c r="M568">
        <f t="shared" si="17"/>
        <v>1836.8000000000002</v>
      </c>
    </row>
    <row r="569" spans="1:13" x14ac:dyDescent="0.3">
      <c r="A569">
        <v>568</v>
      </c>
      <c r="B569" t="s">
        <v>723</v>
      </c>
      <c r="C569" s="1">
        <v>43374</v>
      </c>
      <c r="D569" s="1">
        <v>43381</v>
      </c>
      <c r="E569" t="s">
        <v>2118</v>
      </c>
      <c r="F569" t="s">
        <v>724</v>
      </c>
      <c r="G569" t="s">
        <v>725</v>
      </c>
      <c r="H569" t="s">
        <v>10</v>
      </c>
      <c r="I569" t="s">
        <v>2112</v>
      </c>
      <c r="J569" t="s">
        <v>2110</v>
      </c>
      <c r="K569">
        <v>81.087999999999994</v>
      </c>
      <c r="L569">
        <f t="shared" si="16"/>
        <v>8108.7999999999993</v>
      </c>
      <c r="M569">
        <f t="shared" si="17"/>
        <v>1621.76</v>
      </c>
    </row>
    <row r="570" spans="1:13" x14ac:dyDescent="0.3">
      <c r="A570">
        <v>569</v>
      </c>
      <c r="B570" t="s">
        <v>723</v>
      </c>
      <c r="C570" s="1">
        <v>43374</v>
      </c>
      <c r="D570" s="1">
        <v>43381</v>
      </c>
      <c r="E570" t="s">
        <v>2118</v>
      </c>
      <c r="F570" t="s">
        <v>724</v>
      </c>
      <c r="G570" t="s">
        <v>725</v>
      </c>
      <c r="H570" t="s">
        <v>10</v>
      </c>
      <c r="I570" t="s">
        <v>2112</v>
      </c>
      <c r="J570" t="s">
        <v>2110</v>
      </c>
      <c r="K570">
        <v>19.440000000000001</v>
      </c>
      <c r="L570">
        <f t="shared" si="16"/>
        <v>1944.0000000000002</v>
      </c>
      <c r="M570">
        <f t="shared" si="17"/>
        <v>388.80000000000007</v>
      </c>
    </row>
    <row r="571" spans="1:13" x14ac:dyDescent="0.3">
      <c r="A571">
        <v>570</v>
      </c>
      <c r="B571" t="s">
        <v>723</v>
      </c>
      <c r="C571" s="1">
        <v>43374</v>
      </c>
      <c r="D571" s="1">
        <v>43381</v>
      </c>
      <c r="E571" t="s">
        <v>2118</v>
      </c>
      <c r="F571" t="s">
        <v>724</v>
      </c>
      <c r="G571" t="s">
        <v>725</v>
      </c>
      <c r="H571" t="s">
        <v>10</v>
      </c>
      <c r="I571" t="s">
        <v>2112</v>
      </c>
      <c r="J571" t="s">
        <v>2109</v>
      </c>
      <c r="K571">
        <v>451.15199999999999</v>
      </c>
      <c r="L571">
        <f t="shared" si="16"/>
        <v>45115.199999999997</v>
      </c>
      <c r="M571">
        <f t="shared" si="17"/>
        <v>9023.0399999999991</v>
      </c>
    </row>
    <row r="572" spans="1:13" x14ac:dyDescent="0.3">
      <c r="A572">
        <v>571</v>
      </c>
      <c r="B572" t="s">
        <v>726</v>
      </c>
      <c r="C572" s="1">
        <v>43462</v>
      </c>
      <c r="D572" s="1">
        <v>43469</v>
      </c>
      <c r="E572" t="s">
        <v>2118</v>
      </c>
      <c r="F572" t="s">
        <v>727</v>
      </c>
      <c r="G572" t="s">
        <v>728</v>
      </c>
      <c r="H572" t="s">
        <v>6</v>
      </c>
      <c r="I572" t="s">
        <v>2114</v>
      </c>
      <c r="J572" t="s">
        <v>2110</v>
      </c>
      <c r="K572">
        <v>72.45</v>
      </c>
      <c r="L572">
        <f t="shared" si="16"/>
        <v>7245</v>
      </c>
      <c r="M572">
        <f t="shared" si="17"/>
        <v>1449</v>
      </c>
    </row>
    <row r="573" spans="1:13" x14ac:dyDescent="0.3">
      <c r="A573">
        <v>572</v>
      </c>
      <c r="B573" t="s">
        <v>726</v>
      </c>
      <c r="C573" s="1">
        <v>43462</v>
      </c>
      <c r="D573" s="1">
        <v>43469</v>
      </c>
      <c r="E573" t="s">
        <v>2118</v>
      </c>
      <c r="F573" t="s">
        <v>727</v>
      </c>
      <c r="G573" t="s">
        <v>728</v>
      </c>
      <c r="H573" t="s">
        <v>6</v>
      </c>
      <c r="I573" t="s">
        <v>2114</v>
      </c>
      <c r="J573" t="s">
        <v>2110</v>
      </c>
      <c r="K573">
        <v>13.96</v>
      </c>
      <c r="L573">
        <f t="shared" si="16"/>
        <v>1396</v>
      </c>
      <c r="M573">
        <f t="shared" si="17"/>
        <v>279.2</v>
      </c>
    </row>
    <row r="574" spans="1:13" x14ac:dyDescent="0.3">
      <c r="A574">
        <v>573</v>
      </c>
      <c r="B574" t="s">
        <v>726</v>
      </c>
      <c r="C574" s="1">
        <v>43462</v>
      </c>
      <c r="D574" s="1">
        <v>43469</v>
      </c>
      <c r="E574" t="s">
        <v>2118</v>
      </c>
      <c r="F574" t="s">
        <v>727</v>
      </c>
      <c r="G574" t="s">
        <v>728</v>
      </c>
      <c r="H574" t="s">
        <v>6</v>
      </c>
      <c r="I574" t="s">
        <v>2114</v>
      </c>
      <c r="J574" t="s">
        <v>2110</v>
      </c>
      <c r="K574">
        <v>33.264000000000003</v>
      </c>
      <c r="L574">
        <f t="shared" si="16"/>
        <v>3326.4</v>
      </c>
      <c r="M574">
        <f t="shared" si="17"/>
        <v>665.28000000000009</v>
      </c>
    </row>
    <row r="575" spans="1:13" x14ac:dyDescent="0.3">
      <c r="A575">
        <v>574</v>
      </c>
      <c r="B575" t="s">
        <v>726</v>
      </c>
      <c r="C575" s="1">
        <v>43462</v>
      </c>
      <c r="D575" s="1">
        <v>43469</v>
      </c>
      <c r="E575" t="s">
        <v>2118</v>
      </c>
      <c r="F575" t="s">
        <v>727</v>
      </c>
      <c r="G575" t="s">
        <v>728</v>
      </c>
      <c r="H575" t="s">
        <v>6</v>
      </c>
      <c r="I575" t="s">
        <v>2114</v>
      </c>
      <c r="J575" t="s">
        <v>2111</v>
      </c>
      <c r="K575">
        <v>14.85</v>
      </c>
      <c r="L575">
        <f t="shared" si="16"/>
        <v>1485</v>
      </c>
      <c r="M575">
        <f t="shared" si="17"/>
        <v>297</v>
      </c>
    </row>
    <row r="576" spans="1:13" x14ac:dyDescent="0.3">
      <c r="A576">
        <v>575</v>
      </c>
      <c r="B576" t="s">
        <v>729</v>
      </c>
      <c r="C576" s="1">
        <v>43042</v>
      </c>
      <c r="D576" s="1">
        <v>43046</v>
      </c>
      <c r="E576" t="s">
        <v>2118</v>
      </c>
      <c r="F576" t="s">
        <v>730</v>
      </c>
      <c r="G576" t="s">
        <v>731</v>
      </c>
      <c r="H576" t="s">
        <v>6</v>
      </c>
      <c r="I576" t="s">
        <v>2112</v>
      </c>
      <c r="J576" t="s">
        <v>2110</v>
      </c>
      <c r="K576">
        <v>8.82</v>
      </c>
      <c r="L576">
        <f t="shared" si="16"/>
        <v>882</v>
      </c>
      <c r="M576">
        <f t="shared" si="17"/>
        <v>176.4</v>
      </c>
    </row>
    <row r="577" spans="1:13" x14ac:dyDescent="0.3">
      <c r="A577">
        <v>576</v>
      </c>
      <c r="B577" t="s">
        <v>732</v>
      </c>
      <c r="C577" s="1">
        <v>42631</v>
      </c>
      <c r="D577" s="1">
        <v>42635</v>
      </c>
      <c r="E577" t="s">
        <v>2119</v>
      </c>
      <c r="F577" t="s">
        <v>733</v>
      </c>
      <c r="G577" t="s">
        <v>734</v>
      </c>
      <c r="H577" t="s">
        <v>6</v>
      </c>
      <c r="I577" t="s">
        <v>2112</v>
      </c>
      <c r="J577" t="s">
        <v>2110</v>
      </c>
      <c r="K577">
        <v>160.72</v>
      </c>
      <c r="L577">
        <f t="shared" si="16"/>
        <v>16072</v>
      </c>
      <c r="M577">
        <f t="shared" si="17"/>
        <v>3214.4</v>
      </c>
    </row>
    <row r="578" spans="1:13" x14ac:dyDescent="0.3">
      <c r="A578">
        <v>577</v>
      </c>
      <c r="B578" t="s">
        <v>732</v>
      </c>
      <c r="C578" s="1">
        <v>42631</v>
      </c>
      <c r="D578" s="1">
        <v>42635</v>
      </c>
      <c r="E578" t="s">
        <v>2119</v>
      </c>
      <c r="F578" t="s">
        <v>733</v>
      </c>
      <c r="G578" t="s">
        <v>734</v>
      </c>
      <c r="H578" t="s">
        <v>6</v>
      </c>
      <c r="I578" t="s">
        <v>2112</v>
      </c>
      <c r="J578" t="s">
        <v>2110</v>
      </c>
      <c r="K578">
        <v>19.920000000000002</v>
      </c>
      <c r="L578">
        <f t="shared" ref="L578:L641" si="18">K578*100</f>
        <v>1992.0000000000002</v>
      </c>
      <c r="M578">
        <f t="shared" si="17"/>
        <v>398.40000000000009</v>
      </c>
    </row>
    <row r="579" spans="1:13" x14ac:dyDescent="0.3">
      <c r="A579">
        <v>578</v>
      </c>
      <c r="B579" t="s">
        <v>732</v>
      </c>
      <c r="C579" s="1">
        <v>42631</v>
      </c>
      <c r="D579" s="1">
        <v>42635</v>
      </c>
      <c r="E579" t="s">
        <v>2119</v>
      </c>
      <c r="F579" t="s">
        <v>733</v>
      </c>
      <c r="G579" t="s">
        <v>734</v>
      </c>
      <c r="H579" t="s">
        <v>6</v>
      </c>
      <c r="I579" t="s">
        <v>2112</v>
      </c>
      <c r="J579" t="s">
        <v>2110</v>
      </c>
      <c r="K579">
        <v>7.3</v>
      </c>
      <c r="L579">
        <f t="shared" si="18"/>
        <v>730</v>
      </c>
      <c r="M579">
        <f t="shared" ref="M579:M642" si="19">L579*0.2</f>
        <v>146</v>
      </c>
    </row>
    <row r="580" spans="1:13" x14ac:dyDescent="0.3">
      <c r="A580">
        <v>579</v>
      </c>
      <c r="B580" t="s">
        <v>735</v>
      </c>
      <c r="C580" s="1">
        <v>43301</v>
      </c>
      <c r="D580" s="1">
        <v>43307</v>
      </c>
      <c r="E580" t="s">
        <v>2118</v>
      </c>
      <c r="F580" t="s">
        <v>736</v>
      </c>
      <c r="G580" t="s">
        <v>737</v>
      </c>
      <c r="H580" t="s">
        <v>6</v>
      </c>
      <c r="I580" t="s">
        <v>2117</v>
      </c>
      <c r="J580" t="s">
        <v>2110</v>
      </c>
      <c r="K580">
        <v>69.712000000000003</v>
      </c>
      <c r="L580">
        <f t="shared" si="18"/>
        <v>6971.2000000000007</v>
      </c>
      <c r="M580">
        <f t="shared" si="19"/>
        <v>1394.2400000000002</v>
      </c>
    </row>
    <row r="581" spans="1:13" x14ac:dyDescent="0.3">
      <c r="A581">
        <v>580</v>
      </c>
      <c r="B581" t="s">
        <v>735</v>
      </c>
      <c r="C581" s="1">
        <v>43301</v>
      </c>
      <c r="D581" s="1">
        <v>43307</v>
      </c>
      <c r="E581" t="s">
        <v>2118</v>
      </c>
      <c r="F581" t="s">
        <v>736</v>
      </c>
      <c r="G581" t="s">
        <v>737</v>
      </c>
      <c r="H581" t="s">
        <v>6</v>
      </c>
      <c r="I581" t="s">
        <v>2117</v>
      </c>
      <c r="J581" t="s">
        <v>2109</v>
      </c>
      <c r="K581">
        <v>8.7919999999999998</v>
      </c>
      <c r="L581">
        <f t="shared" si="18"/>
        <v>879.19999999999993</v>
      </c>
      <c r="M581">
        <f t="shared" si="19"/>
        <v>175.84</v>
      </c>
    </row>
    <row r="582" spans="1:13" x14ac:dyDescent="0.3">
      <c r="A582">
        <v>581</v>
      </c>
      <c r="B582" t="s">
        <v>738</v>
      </c>
      <c r="C582" s="1">
        <v>42623</v>
      </c>
      <c r="D582" s="1">
        <v>42627</v>
      </c>
      <c r="E582" t="s">
        <v>2118</v>
      </c>
      <c r="F582" t="s">
        <v>739</v>
      </c>
      <c r="G582" t="s">
        <v>740</v>
      </c>
      <c r="H582" t="s">
        <v>6</v>
      </c>
      <c r="I582" t="s">
        <v>2112</v>
      </c>
      <c r="J582" t="s">
        <v>2110</v>
      </c>
      <c r="K582">
        <v>51.52</v>
      </c>
      <c r="L582">
        <f t="shared" si="18"/>
        <v>5152</v>
      </c>
      <c r="M582">
        <f t="shared" si="19"/>
        <v>1030.4000000000001</v>
      </c>
    </row>
    <row r="583" spans="1:13" x14ac:dyDescent="0.3">
      <c r="A583">
        <v>582</v>
      </c>
      <c r="B583" t="s">
        <v>741</v>
      </c>
      <c r="C583" s="1">
        <v>43435</v>
      </c>
      <c r="D583" s="1">
        <v>43439</v>
      </c>
      <c r="E583" t="s">
        <v>2118</v>
      </c>
      <c r="F583" t="s">
        <v>742</v>
      </c>
      <c r="G583" t="s">
        <v>743</v>
      </c>
      <c r="H583" t="s">
        <v>6</v>
      </c>
      <c r="I583" t="s">
        <v>2112</v>
      </c>
      <c r="J583" t="s">
        <v>2111</v>
      </c>
      <c r="K583">
        <v>470.37599999999998</v>
      </c>
      <c r="L583">
        <f t="shared" si="18"/>
        <v>47037.599999999999</v>
      </c>
      <c r="M583">
        <f t="shared" si="19"/>
        <v>9407.52</v>
      </c>
    </row>
    <row r="584" spans="1:13" x14ac:dyDescent="0.3">
      <c r="A584">
        <v>583</v>
      </c>
      <c r="B584" t="s">
        <v>741</v>
      </c>
      <c r="C584" s="1">
        <v>43435</v>
      </c>
      <c r="D584" s="1">
        <v>43439</v>
      </c>
      <c r="E584" t="s">
        <v>2118</v>
      </c>
      <c r="F584" t="s">
        <v>742</v>
      </c>
      <c r="G584" t="s">
        <v>743</v>
      </c>
      <c r="H584" t="s">
        <v>6</v>
      </c>
      <c r="I584" t="s">
        <v>2112</v>
      </c>
      <c r="J584" t="s">
        <v>2111</v>
      </c>
      <c r="K584">
        <v>105.584</v>
      </c>
      <c r="L584">
        <f t="shared" si="18"/>
        <v>10558.4</v>
      </c>
      <c r="M584">
        <f t="shared" si="19"/>
        <v>2111.6799999999998</v>
      </c>
    </row>
    <row r="585" spans="1:13" x14ac:dyDescent="0.3">
      <c r="A585">
        <v>584</v>
      </c>
      <c r="B585" t="s">
        <v>741</v>
      </c>
      <c r="C585" s="1">
        <v>43435</v>
      </c>
      <c r="D585" s="1">
        <v>43439</v>
      </c>
      <c r="E585" t="s">
        <v>2118</v>
      </c>
      <c r="F585" t="s">
        <v>742</v>
      </c>
      <c r="G585" t="s">
        <v>743</v>
      </c>
      <c r="H585" t="s">
        <v>6</v>
      </c>
      <c r="I585" t="s">
        <v>2112</v>
      </c>
      <c r="J585" t="s">
        <v>2110</v>
      </c>
      <c r="K585">
        <v>31.152000000000001</v>
      </c>
      <c r="L585">
        <f t="shared" si="18"/>
        <v>3115.2000000000003</v>
      </c>
      <c r="M585">
        <f t="shared" si="19"/>
        <v>623.04000000000008</v>
      </c>
    </row>
    <row r="586" spans="1:13" x14ac:dyDescent="0.3">
      <c r="A586">
        <v>585</v>
      </c>
      <c r="B586" t="s">
        <v>741</v>
      </c>
      <c r="C586" s="1">
        <v>43435</v>
      </c>
      <c r="D586" s="1">
        <v>43439</v>
      </c>
      <c r="E586" t="s">
        <v>2118</v>
      </c>
      <c r="F586" t="s">
        <v>742</v>
      </c>
      <c r="G586" t="s">
        <v>743</v>
      </c>
      <c r="H586" t="s">
        <v>6</v>
      </c>
      <c r="I586" t="s">
        <v>2112</v>
      </c>
      <c r="J586" t="s">
        <v>2110</v>
      </c>
      <c r="K586">
        <v>6.7830000000000004</v>
      </c>
      <c r="L586">
        <f t="shared" si="18"/>
        <v>678.30000000000007</v>
      </c>
      <c r="M586">
        <f t="shared" si="19"/>
        <v>135.66000000000003</v>
      </c>
    </row>
    <row r="587" spans="1:13" x14ac:dyDescent="0.3">
      <c r="A587">
        <v>586</v>
      </c>
      <c r="B587" t="s">
        <v>741</v>
      </c>
      <c r="C587" s="1">
        <v>43435</v>
      </c>
      <c r="D587" s="1">
        <v>43439</v>
      </c>
      <c r="E587" t="s">
        <v>2118</v>
      </c>
      <c r="F587" t="s">
        <v>742</v>
      </c>
      <c r="G587" t="s">
        <v>743</v>
      </c>
      <c r="H587" t="s">
        <v>6</v>
      </c>
      <c r="I587" t="s">
        <v>2112</v>
      </c>
      <c r="J587" t="s">
        <v>2111</v>
      </c>
      <c r="K587">
        <v>406.36799999999999</v>
      </c>
      <c r="L587">
        <f t="shared" si="18"/>
        <v>40636.800000000003</v>
      </c>
      <c r="M587">
        <f t="shared" si="19"/>
        <v>8127.3600000000006</v>
      </c>
    </row>
    <row r="588" spans="1:13" x14ac:dyDescent="0.3">
      <c r="A588">
        <v>587</v>
      </c>
      <c r="B588" t="s">
        <v>744</v>
      </c>
      <c r="C588" s="1">
        <v>42554</v>
      </c>
      <c r="D588" s="1">
        <v>42560</v>
      </c>
      <c r="E588" t="s">
        <v>2118</v>
      </c>
      <c r="F588" t="s">
        <v>745</v>
      </c>
      <c r="G588" t="s">
        <v>746</v>
      </c>
      <c r="H588" t="s">
        <v>6</v>
      </c>
      <c r="I588" t="s">
        <v>2115</v>
      </c>
      <c r="J588" t="s">
        <v>2109</v>
      </c>
      <c r="K588">
        <v>70.98</v>
      </c>
      <c r="L588">
        <f t="shared" si="18"/>
        <v>7098</v>
      </c>
      <c r="M588">
        <f t="shared" si="19"/>
        <v>1419.6000000000001</v>
      </c>
    </row>
    <row r="589" spans="1:13" x14ac:dyDescent="0.3">
      <c r="A589">
        <v>588</v>
      </c>
      <c r="B589" t="s">
        <v>744</v>
      </c>
      <c r="C589" s="1">
        <v>42554</v>
      </c>
      <c r="D589" s="1">
        <v>42560</v>
      </c>
      <c r="E589" t="s">
        <v>2118</v>
      </c>
      <c r="F589" t="s">
        <v>745</v>
      </c>
      <c r="G589" t="s">
        <v>746</v>
      </c>
      <c r="H589" t="s">
        <v>6</v>
      </c>
      <c r="I589" t="s">
        <v>2115</v>
      </c>
      <c r="J589" t="s">
        <v>2110</v>
      </c>
      <c r="K589">
        <v>294.93</v>
      </c>
      <c r="L589">
        <f t="shared" si="18"/>
        <v>29493</v>
      </c>
      <c r="M589">
        <f t="shared" si="19"/>
        <v>5898.6</v>
      </c>
    </row>
    <row r="590" spans="1:13" x14ac:dyDescent="0.3">
      <c r="A590">
        <v>589</v>
      </c>
      <c r="B590" t="s">
        <v>747</v>
      </c>
      <c r="C590" s="1">
        <v>42814</v>
      </c>
      <c r="D590" s="1">
        <v>42818</v>
      </c>
      <c r="E590" t="s">
        <v>2118</v>
      </c>
      <c r="F590" t="s">
        <v>748</v>
      </c>
      <c r="G590" t="s">
        <v>749</v>
      </c>
      <c r="H590" t="s">
        <v>6</v>
      </c>
      <c r="I590" t="s">
        <v>2112</v>
      </c>
      <c r="J590" t="s">
        <v>2111</v>
      </c>
      <c r="K590">
        <v>84.784000000000006</v>
      </c>
      <c r="L590">
        <f t="shared" si="18"/>
        <v>8478.4000000000015</v>
      </c>
      <c r="M590">
        <f t="shared" si="19"/>
        <v>1695.6800000000003</v>
      </c>
    </row>
    <row r="591" spans="1:13" x14ac:dyDescent="0.3">
      <c r="A591">
        <v>590</v>
      </c>
      <c r="B591" t="s">
        <v>747</v>
      </c>
      <c r="C591" s="1">
        <v>42814</v>
      </c>
      <c r="D591" s="1">
        <v>42818</v>
      </c>
      <c r="E591" t="s">
        <v>2118</v>
      </c>
      <c r="F591" t="s">
        <v>748</v>
      </c>
      <c r="G591" t="s">
        <v>749</v>
      </c>
      <c r="H591" t="s">
        <v>6</v>
      </c>
      <c r="I591" t="s">
        <v>2112</v>
      </c>
      <c r="J591" t="s">
        <v>2110</v>
      </c>
      <c r="K591">
        <v>20.736000000000001</v>
      </c>
      <c r="L591">
        <f t="shared" si="18"/>
        <v>2073.6</v>
      </c>
      <c r="M591">
        <f t="shared" si="19"/>
        <v>414.72</v>
      </c>
    </row>
    <row r="592" spans="1:13" x14ac:dyDescent="0.3">
      <c r="A592">
        <v>591</v>
      </c>
      <c r="B592" t="s">
        <v>747</v>
      </c>
      <c r="C592" s="1">
        <v>42814</v>
      </c>
      <c r="D592" s="1">
        <v>42818</v>
      </c>
      <c r="E592" t="s">
        <v>2118</v>
      </c>
      <c r="F592" t="s">
        <v>748</v>
      </c>
      <c r="G592" t="s">
        <v>749</v>
      </c>
      <c r="H592" t="s">
        <v>6</v>
      </c>
      <c r="I592" t="s">
        <v>2112</v>
      </c>
      <c r="J592" t="s">
        <v>2110</v>
      </c>
      <c r="K592">
        <v>16.821000000000002</v>
      </c>
      <c r="L592">
        <f t="shared" si="18"/>
        <v>1682.1000000000001</v>
      </c>
      <c r="M592">
        <f t="shared" si="19"/>
        <v>336.42000000000007</v>
      </c>
    </row>
    <row r="593" spans="1:13" x14ac:dyDescent="0.3">
      <c r="A593">
        <v>592</v>
      </c>
      <c r="B593" t="s">
        <v>747</v>
      </c>
      <c r="C593" s="1">
        <v>42814</v>
      </c>
      <c r="D593" s="1">
        <v>42818</v>
      </c>
      <c r="E593" t="s">
        <v>2118</v>
      </c>
      <c r="F593" t="s">
        <v>748</v>
      </c>
      <c r="G593" t="s">
        <v>749</v>
      </c>
      <c r="H593" t="s">
        <v>6</v>
      </c>
      <c r="I593" t="s">
        <v>2112</v>
      </c>
      <c r="J593" t="s">
        <v>2110</v>
      </c>
      <c r="K593">
        <v>10.368</v>
      </c>
      <c r="L593">
        <f t="shared" si="18"/>
        <v>1036.8</v>
      </c>
      <c r="M593">
        <f t="shared" si="19"/>
        <v>207.36</v>
      </c>
    </row>
    <row r="594" spans="1:13" x14ac:dyDescent="0.3">
      <c r="A594">
        <v>593</v>
      </c>
      <c r="B594" t="s">
        <v>750</v>
      </c>
      <c r="C594" s="1">
        <v>42013</v>
      </c>
      <c r="D594" s="1">
        <v>42017</v>
      </c>
      <c r="E594" t="s">
        <v>2118</v>
      </c>
      <c r="F594" t="s">
        <v>751</v>
      </c>
      <c r="G594" t="s">
        <v>752</v>
      </c>
      <c r="H594" t="s">
        <v>6</v>
      </c>
      <c r="I594" t="s">
        <v>2117</v>
      </c>
      <c r="J594" t="s">
        <v>2110</v>
      </c>
      <c r="K594">
        <v>9.3439999999999994</v>
      </c>
      <c r="L594">
        <f t="shared" si="18"/>
        <v>934.4</v>
      </c>
      <c r="M594">
        <f t="shared" si="19"/>
        <v>186.88</v>
      </c>
    </row>
    <row r="595" spans="1:13" x14ac:dyDescent="0.3">
      <c r="A595">
        <v>594</v>
      </c>
      <c r="B595" t="s">
        <v>750</v>
      </c>
      <c r="C595" s="1">
        <v>42013</v>
      </c>
      <c r="D595" s="1">
        <v>42017</v>
      </c>
      <c r="E595" t="s">
        <v>2118</v>
      </c>
      <c r="F595" t="s">
        <v>751</v>
      </c>
      <c r="G595" t="s">
        <v>752</v>
      </c>
      <c r="H595" t="s">
        <v>6</v>
      </c>
      <c r="I595" t="s">
        <v>2117</v>
      </c>
      <c r="J595" t="s">
        <v>2111</v>
      </c>
      <c r="K595">
        <v>31.2</v>
      </c>
      <c r="L595">
        <f t="shared" si="18"/>
        <v>3120</v>
      </c>
      <c r="M595">
        <f t="shared" si="19"/>
        <v>624</v>
      </c>
    </row>
    <row r="596" spans="1:13" x14ac:dyDescent="0.3">
      <c r="A596">
        <v>595</v>
      </c>
      <c r="B596" t="s">
        <v>753</v>
      </c>
      <c r="C596" s="1">
        <v>42224</v>
      </c>
      <c r="D596" s="1">
        <v>42231</v>
      </c>
      <c r="E596" t="s">
        <v>2118</v>
      </c>
      <c r="F596" t="s">
        <v>754</v>
      </c>
      <c r="G596" t="s">
        <v>755</v>
      </c>
      <c r="H596" t="s">
        <v>6</v>
      </c>
      <c r="I596" t="s">
        <v>2112</v>
      </c>
      <c r="J596" t="s">
        <v>2110</v>
      </c>
      <c r="K596">
        <v>76.12</v>
      </c>
      <c r="L596">
        <f t="shared" si="18"/>
        <v>7612</v>
      </c>
      <c r="M596">
        <f t="shared" si="19"/>
        <v>1522.4</v>
      </c>
    </row>
    <row r="597" spans="1:13" x14ac:dyDescent="0.3">
      <c r="A597">
        <v>596</v>
      </c>
      <c r="B597" t="s">
        <v>753</v>
      </c>
      <c r="C597" s="1">
        <v>42224</v>
      </c>
      <c r="D597" s="1">
        <v>42231</v>
      </c>
      <c r="E597" t="s">
        <v>2118</v>
      </c>
      <c r="F597" t="s">
        <v>754</v>
      </c>
      <c r="G597" t="s">
        <v>755</v>
      </c>
      <c r="H597" t="s">
        <v>6</v>
      </c>
      <c r="I597" t="s">
        <v>2112</v>
      </c>
      <c r="J597" t="s">
        <v>2111</v>
      </c>
      <c r="K597">
        <v>1199.9760000000001</v>
      </c>
      <c r="L597">
        <f t="shared" si="18"/>
        <v>119997.6</v>
      </c>
      <c r="M597">
        <f t="shared" si="19"/>
        <v>23999.520000000004</v>
      </c>
    </row>
    <row r="598" spans="1:13" x14ac:dyDescent="0.3">
      <c r="A598">
        <v>597</v>
      </c>
      <c r="B598" t="s">
        <v>753</v>
      </c>
      <c r="C598" s="1">
        <v>42224</v>
      </c>
      <c r="D598" s="1">
        <v>42231</v>
      </c>
      <c r="E598" t="s">
        <v>2118</v>
      </c>
      <c r="F598" t="s">
        <v>754</v>
      </c>
      <c r="G598" t="s">
        <v>755</v>
      </c>
      <c r="H598" t="s">
        <v>6</v>
      </c>
      <c r="I598" t="s">
        <v>2112</v>
      </c>
      <c r="J598" t="s">
        <v>2111</v>
      </c>
      <c r="K598">
        <v>445.96</v>
      </c>
      <c r="L598">
        <f t="shared" si="18"/>
        <v>44596</v>
      </c>
      <c r="M598">
        <f t="shared" si="19"/>
        <v>8919.2000000000007</v>
      </c>
    </row>
    <row r="599" spans="1:13" x14ac:dyDescent="0.3">
      <c r="A599">
        <v>598</v>
      </c>
      <c r="B599" t="s">
        <v>753</v>
      </c>
      <c r="C599" s="1">
        <v>42224</v>
      </c>
      <c r="D599" s="1">
        <v>42231</v>
      </c>
      <c r="E599" t="s">
        <v>2118</v>
      </c>
      <c r="F599" t="s">
        <v>754</v>
      </c>
      <c r="G599" t="s">
        <v>755</v>
      </c>
      <c r="H599" t="s">
        <v>6</v>
      </c>
      <c r="I599" t="s">
        <v>2112</v>
      </c>
      <c r="J599" t="s">
        <v>2109</v>
      </c>
      <c r="K599">
        <v>327.76</v>
      </c>
      <c r="L599">
        <f t="shared" si="18"/>
        <v>32776</v>
      </c>
      <c r="M599">
        <f t="shared" si="19"/>
        <v>6555.2000000000007</v>
      </c>
    </row>
    <row r="600" spans="1:13" x14ac:dyDescent="0.3">
      <c r="A600">
        <v>599</v>
      </c>
      <c r="B600" t="s">
        <v>756</v>
      </c>
      <c r="C600" s="1">
        <v>42930</v>
      </c>
      <c r="D600" s="1">
        <v>42932</v>
      </c>
      <c r="E600" t="s">
        <v>2120</v>
      </c>
      <c r="F600" t="s">
        <v>757</v>
      </c>
      <c r="G600" t="s">
        <v>758</v>
      </c>
      <c r="H600" t="s">
        <v>6</v>
      </c>
      <c r="I600" t="s">
        <v>2114</v>
      </c>
      <c r="J600" t="s">
        <v>2110</v>
      </c>
      <c r="K600">
        <v>11.632</v>
      </c>
      <c r="L600">
        <f t="shared" si="18"/>
        <v>1163.2</v>
      </c>
      <c r="M600">
        <f t="shared" si="19"/>
        <v>232.64000000000001</v>
      </c>
    </row>
    <row r="601" spans="1:13" x14ac:dyDescent="0.3">
      <c r="A601">
        <v>600</v>
      </c>
      <c r="B601" t="s">
        <v>759</v>
      </c>
      <c r="C601" s="1">
        <v>42932</v>
      </c>
      <c r="D601" s="1">
        <v>42937</v>
      </c>
      <c r="E601" t="s">
        <v>2118</v>
      </c>
      <c r="F601" t="s">
        <v>760</v>
      </c>
      <c r="G601" t="s">
        <v>761</v>
      </c>
      <c r="H601" t="s">
        <v>6</v>
      </c>
      <c r="I601" t="s">
        <v>2114</v>
      </c>
      <c r="J601" t="s">
        <v>2111</v>
      </c>
      <c r="K601">
        <v>143.982</v>
      </c>
      <c r="L601">
        <f t="shared" si="18"/>
        <v>14398.2</v>
      </c>
      <c r="M601">
        <f t="shared" si="19"/>
        <v>2879.6400000000003</v>
      </c>
    </row>
    <row r="602" spans="1:13" x14ac:dyDescent="0.3">
      <c r="A602">
        <v>601</v>
      </c>
      <c r="B602" t="s">
        <v>759</v>
      </c>
      <c r="C602" s="1">
        <v>42932</v>
      </c>
      <c r="D602" s="1">
        <v>42937</v>
      </c>
      <c r="E602" t="s">
        <v>2118</v>
      </c>
      <c r="F602" t="s">
        <v>760</v>
      </c>
      <c r="G602" t="s">
        <v>761</v>
      </c>
      <c r="H602" t="s">
        <v>6</v>
      </c>
      <c r="I602" t="s">
        <v>2114</v>
      </c>
      <c r="J602" t="s">
        <v>2111</v>
      </c>
      <c r="K602">
        <v>494.37599999999998</v>
      </c>
      <c r="L602">
        <f t="shared" si="18"/>
        <v>49437.599999999999</v>
      </c>
      <c r="M602">
        <f t="shared" si="19"/>
        <v>9887.52</v>
      </c>
    </row>
    <row r="603" spans="1:13" x14ac:dyDescent="0.3">
      <c r="A603">
        <v>602</v>
      </c>
      <c r="B603" t="s">
        <v>759</v>
      </c>
      <c r="C603" s="1">
        <v>42932</v>
      </c>
      <c r="D603" s="1">
        <v>42937</v>
      </c>
      <c r="E603" t="s">
        <v>2118</v>
      </c>
      <c r="F603" t="s">
        <v>760</v>
      </c>
      <c r="G603" t="s">
        <v>761</v>
      </c>
      <c r="H603" t="s">
        <v>6</v>
      </c>
      <c r="I603" t="s">
        <v>2114</v>
      </c>
      <c r="J603" t="s">
        <v>2110</v>
      </c>
      <c r="K603">
        <v>5.84</v>
      </c>
      <c r="L603">
        <f t="shared" si="18"/>
        <v>584</v>
      </c>
      <c r="M603">
        <f t="shared" si="19"/>
        <v>116.80000000000001</v>
      </c>
    </row>
    <row r="604" spans="1:13" x14ac:dyDescent="0.3">
      <c r="A604">
        <v>603</v>
      </c>
      <c r="B604" t="s">
        <v>762</v>
      </c>
      <c r="C604" s="1">
        <v>42078</v>
      </c>
      <c r="D604" s="1">
        <v>42082</v>
      </c>
      <c r="E604" t="s">
        <v>2118</v>
      </c>
      <c r="F604" t="s">
        <v>763</v>
      </c>
      <c r="G604" t="s">
        <v>764</v>
      </c>
      <c r="H604" t="s">
        <v>6</v>
      </c>
      <c r="I604" t="s">
        <v>2115</v>
      </c>
      <c r="J604" t="s">
        <v>2110</v>
      </c>
      <c r="K604">
        <v>142.77600000000001</v>
      </c>
      <c r="L604">
        <f t="shared" si="18"/>
        <v>14277.6</v>
      </c>
      <c r="M604">
        <f t="shared" si="19"/>
        <v>2855.5200000000004</v>
      </c>
    </row>
    <row r="605" spans="1:13" x14ac:dyDescent="0.3">
      <c r="A605">
        <v>604</v>
      </c>
      <c r="B605" t="s">
        <v>762</v>
      </c>
      <c r="C605" s="1">
        <v>42078</v>
      </c>
      <c r="D605" s="1">
        <v>42082</v>
      </c>
      <c r="E605" t="s">
        <v>2118</v>
      </c>
      <c r="F605" t="s">
        <v>763</v>
      </c>
      <c r="G605" t="s">
        <v>764</v>
      </c>
      <c r="H605" t="s">
        <v>6</v>
      </c>
      <c r="I605" t="s">
        <v>2115</v>
      </c>
      <c r="J605" t="s">
        <v>2109</v>
      </c>
      <c r="K605">
        <v>45.695999999999998</v>
      </c>
      <c r="L605">
        <f t="shared" si="18"/>
        <v>4569.5999999999995</v>
      </c>
      <c r="M605">
        <f t="shared" si="19"/>
        <v>913.92</v>
      </c>
    </row>
    <row r="606" spans="1:13" x14ac:dyDescent="0.3">
      <c r="A606">
        <v>605</v>
      </c>
      <c r="B606" t="s">
        <v>762</v>
      </c>
      <c r="C606" s="1">
        <v>42078</v>
      </c>
      <c r="D606" s="1">
        <v>42082</v>
      </c>
      <c r="E606" t="s">
        <v>2118</v>
      </c>
      <c r="F606" t="s">
        <v>763</v>
      </c>
      <c r="G606" t="s">
        <v>764</v>
      </c>
      <c r="H606" t="s">
        <v>6</v>
      </c>
      <c r="I606" t="s">
        <v>2115</v>
      </c>
      <c r="J606" t="s">
        <v>2110</v>
      </c>
      <c r="K606">
        <v>7.218</v>
      </c>
      <c r="L606">
        <f t="shared" si="18"/>
        <v>721.8</v>
      </c>
      <c r="M606">
        <f t="shared" si="19"/>
        <v>144.35999999999999</v>
      </c>
    </row>
    <row r="607" spans="1:13" x14ac:dyDescent="0.3">
      <c r="A607">
        <v>606</v>
      </c>
      <c r="B607" t="s">
        <v>762</v>
      </c>
      <c r="C607" s="1">
        <v>42078</v>
      </c>
      <c r="D607" s="1">
        <v>42082</v>
      </c>
      <c r="E607" t="s">
        <v>2118</v>
      </c>
      <c r="F607" t="s">
        <v>763</v>
      </c>
      <c r="G607" t="s">
        <v>764</v>
      </c>
      <c r="H607" t="s">
        <v>6</v>
      </c>
      <c r="I607" t="s">
        <v>2115</v>
      </c>
      <c r="J607" t="s">
        <v>2110</v>
      </c>
      <c r="K607">
        <v>43.188000000000002</v>
      </c>
      <c r="L607">
        <f t="shared" si="18"/>
        <v>4318.8</v>
      </c>
      <c r="M607">
        <f t="shared" si="19"/>
        <v>863.7600000000001</v>
      </c>
    </row>
    <row r="608" spans="1:13" x14ac:dyDescent="0.3">
      <c r="A608">
        <v>607</v>
      </c>
      <c r="B608" t="s">
        <v>762</v>
      </c>
      <c r="C608" s="1">
        <v>42078</v>
      </c>
      <c r="D608" s="1">
        <v>42082</v>
      </c>
      <c r="E608" t="s">
        <v>2118</v>
      </c>
      <c r="F608" t="s">
        <v>763</v>
      </c>
      <c r="G608" t="s">
        <v>764</v>
      </c>
      <c r="H608" t="s">
        <v>6</v>
      </c>
      <c r="I608" t="s">
        <v>2115</v>
      </c>
      <c r="J608" t="s">
        <v>2110</v>
      </c>
      <c r="K608">
        <v>131.904</v>
      </c>
      <c r="L608">
        <f t="shared" si="18"/>
        <v>13190.4</v>
      </c>
      <c r="M608">
        <f t="shared" si="19"/>
        <v>2638.08</v>
      </c>
    </row>
    <row r="609" spans="1:13" x14ac:dyDescent="0.3">
      <c r="A609">
        <v>608</v>
      </c>
      <c r="B609" t="s">
        <v>765</v>
      </c>
      <c r="C609" s="1">
        <v>42147</v>
      </c>
      <c r="D609" s="1">
        <v>42151</v>
      </c>
      <c r="E609" t="s">
        <v>2118</v>
      </c>
      <c r="F609" t="s">
        <v>766</v>
      </c>
      <c r="G609" t="s">
        <v>767</v>
      </c>
      <c r="H609" t="s">
        <v>6</v>
      </c>
      <c r="I609" t="s">
        <v>2114</v>
      </c>
      <c r="J609" t="s">
        <v>2110</v>
      </c>
      <c r="K609">
        <v>3.282</v>
      </c>
      <c r="L609">
        <f t="shared" si="18"/>
        <v>328.2</v>
      </c>
      <c r="M609">
        <f t="shared" si="19"/>
        <v>65.64</v>
      </c>
    </row>
    <row r="610" spans="1:13" x14ac:dyDescent="0.3">
      <c r="A610">
        <v>609</v>
      </c>
      <c r="B610" t="s">
        <v>765</v>
      </c>
      <c r="C610" s="1">
        <v>42147</v>
      </c>
      <c r="D610" s="1">
        <v>42151</v>
      </c>
      <c r="E610" t="s">
        <v>2118</v>
      </c>
      <c r="F610" t="s">
        <v>766</v>
      </c>
      <c r="G610" t="s">
        <v>767</v>
      </c>
      <c r="H610" t="s">
        <v>6</v>
      </c>
      <c r="I610" t="s">
        <v>2114</v>
      </c>
      <c r="J610" t="s">
        <v>2110</v>
      </c>
      <c r="K610">
        <v>21.167999999999999</v>
      </c>
      <c r="L610">
        <f t="shared" si="18"/>
        <v>2116.7999999999997</v>
      </c>
      <c r="M610">
        <f t="shared" si="19"/>
        <v>423.35999999999996</v>
      </c>
    </row>
    <row r="611" spans="1:13" x14ac:dyDescent="0.3">
      <c r="A611">
        <v>610</v>
      </c>
      <c r="B611" t="s">
        <v>765</v>
      </c>
      <c r="C611" s="1">
        <v>42147</v>
      </c>
      <c r="D611" s="1">
        <v>42151</v>
      </c>
      <c r="E611" t="s">
        <v>2118</v>
      </c>
      <c r="F611" t="s">
        <v>766</v>
      </c>
      <c r="G611" t="s">
        <v>767</v>
      </c>
      <c r="H611" t="s">
        <v>6</v>
      </c>
      <c r="I611" t="s">
        <v>2114</v>
      </c>
      <c r="J611" t="s">
        <v>2111</v>
      </c>
      <c r="K611">
        <v>55.188000000000002</v>
      </c>
      <c r="L611">
        <f t="shared" si="18"/>
        <v>5518.8</v>
      </c>
      <c r="M611">
        <f t="shared" si="19"/>
        <v>1103.76</v>
      </c>
    </row>
    <row r="612" spans="1:13" x14ac:dyDescent="0.3">
      <c r="A612">
        <v>611</v>
      </c>
      <c r="B612" t="s">
        <v>768</v>
      </c>
      <c r="C612" s="1">
        <v>42853</v>
      </c>
      <c r="D612" s="1">
        <v>42856</v>
      </c>
      <c r="E612" t="s">
        <v>2120</v>
      </c>
      <c r="F612" t="s">
        <v>769</v>
      </c>
      <c r="G612" t="s">
        <v>770</v>
      </c>
      <c r="H612" t="s">
        <v>10</v>
      </c>
      <c r="I612" t="s">
        <v>2117</v>
      </c>
      <c r="J612" t="s">
        <v>2111</v>
      </c>
      <c r="K612">
        <v>369.57600000000002</v>
      </c>
      <c r="L612">
        <f t="shared" si="18"/>
        <v>36957.600000000006</v>
      </c>
      <c r="M612">
        <f t="shared" si="19"/>
        <v>7391.5200000000013</v>
      </c>
    </row>
    <row r="613" spans="1:13" x14ac:dyDescent="0.3">
      <c r="A613">
        <v>612</v>
      </c>
      <c r="B613" t="s">
        <v>768</v>
      </c>
      <c r="C613" s="1">
        <v>42853</v>
      </c>
      <c r="D613" s="1">
        <v>42856</v>
      </c>
      <c r="E613" t="s">
        <v>2120</v>
      </c>
      <c r="F613" t="s">
        <v>769</v>
      </c>
      <c r="G613" t="s">
        <v>770</v>
      </c>
      <c r="H613" t="s">
        <v>10</v>
      </c>
      <c r="I613" t="s">
        <v>2117</v>
      </c>
      <c r="J613" t="s">
        <v>2110</v>
      </c>
      <c r="K613">
        <v>15.712</v>
      </c>
      <c r="L613">
        <f t="shared" si="18"/>
        <v>1571.2</v>
      </c>
      <c r="M613">
        <f t="shared" si="19"/>
        <v>314.24</v>
      </c>
    </row>
    <row r="614" spans="1:13" x14ac:dyDescent="0.3">
      <c r="A614">
        <v>613</v>
      </c>
      <c r="B614" t="s">
        <v>771</v>
      </c>
      <c r="C614" s="1">
        <v>42989</v>
      </c>
      <c r="D614" s="1">
        <v>42991</v>
      </c>
      <c r="E614" t="s">
        <v>2119</v>
      </c>
      <c r="F614" t="s">
        <v>772</v>
      </c>
      <c r="G614" t="s">
        <v>773</v>
      </c>
      <c r="H614" t="s">
        <v>10</v>
      </c>
      <c r="I614" t="s">
        <v>2114</v>
      </c>
      <c r="J614" t="s">
        <v>2110</v>
      </c>
      <c r="K614">
        <v>8.4480000000000004</v>
      </c>
      <c r="L614">
        <f t="shared" si="18"/>
        <v>844.80000000000007</v>
      </c>
      <c r="M614">
        <f t="shared" si="19"/>
        <v>168.96000000000004</v>
      </c>
    </row>
    <row r="615" spans="1:13" x14ac:dyDescent="0.3">
      <c r="A615">
        <v>614</v>
      </c>
      <c r="B615" t="s">
        <v>771</v>
      </c>
      <c r="C615" s="1">
        <v>42989</v>
      </c>
      <c r="D615" s="1">
        <v>42991</v>
      </c>
      <c r="E615" t="s">
        <v>2119</v>
      </c>
      <c r="F615" t="s">
        <v>772</v>
      </c>
      <c r="G615" t="s">
        <v>773</v>
      </c>
      <c r="H615" t="s">
        <v>10</v>
      </c>
      <c r="I615" t="s">
        <v>2114</v>
      </c>
      <c r="J615" t="s">
        <v>2111</v>
      </c>
      <c r="K615">
        <v>728.94600000000003</v>
      </c>
      <c r="L615">
        <f t="shared" si="18"/>
        <v>72894.600000000006</v>
      </c>
      <c r="M615">
        <f t="shared" si="19"/>
        <v>14578.920000000002</v>
      </c>
    </row>
    <row r="616" spans="1:13" x14ac:dyDescent="0.3">
      <c r="A616">
        <v>615</v>
      </c>
      <c r="B616" t="s">
        <v>774</v>
      </c>
      <c r="C616" s="1">
        <v>43418</v>
      </c>
      <c r="D616" s="1">
        <v>43421</v>
      </c>
      <c r="E616" t="s">
        <v>2119</v>
      </c>
      <c r="F616" t="s">
        <v>775</v>
      </c>
      <c r="G616" t="s">
        <v>776</v>
      </c>
      <c r="H616" t="s">
        <v>6</v>
      </c>
      <c r="I616" t="s">
        <v>2114</v>
      </c>
      <c r="J616" t="s">
        <v>2111</v>
      </c>
      <c r="K616">
        <v>119.94</v>
      </c>
      <c r="L616">
        <f t="shared" si="18"/>
        <v>11994</v>
      </c>
      <c r="M616">
        <f t="shared" si="19"/>
        <v>2398.8000000000002</v>
      </c>
    </row>
    <row r="617" spans="1:13" x14ac:dyDescent="0.3">
      <c r="A617">
        <v>616</v>
      </c>
      <c r="B617" t="s">
        <v>774</v>
      </c>
      <c r="C617" s="1">
        <v>43418</v>
      </c>
      <c r="D617" s="1">
        <v>43421</v>
      </c>
      <c r="E617" t="s">
        <v>2119</v>
      </c>
      <c r="F617" t="s">
        <v>775</v>
      </c>
      <c r="G617" t="s">
        <v>776</v>
      </c>
      <c r="H617" t="s">
        <v>6</v>
      </c>
      <c r="I617" t="s">
        <v>2114</v>
      </c>
      <c r="J617" t="s">
        <v>2110</v>
      </c>
      <c r="K617">
        <v>3.6480000000000001</v>
      </c>
      <c r="L617">
        <f t="shared" si="18"/>
        <v>364.8</v>
      </c>
      <c r="M617">
        <f t="shared" si="19"/>
        <v>72.960000000000008</v>
      </c>
    </row>
    <row r="618" spans="1:13" x14ac:dyDescent="0.3">
      <c r="A618">
        <v>617</v>
      </c>
      <c r="B618" t="s">
        <v>777</v>
      </c>
      <c r="C618" s="1">
        <v>43330</v>
      </c>
      <c r="D618" s="1">
        <v>43335</v>
      </c>
      <c r="E618" t="s">
        <v>2119</v>
      </c>
      <c r="F618" t="s">
        <v>778</v>
      </c>
      <c r="G618" t="s">
        <v>779</v>
      </c>
      <c r="H618" t="s">
        <v>10</v>
      </c>
      <c r="I618" t="s">
        <v>2114</v>
      </c>
      <c r="J618" t="s">
        <v>2109</v>
      </c>
      <c r="K618">
        <v>40.479999999999997</v>
      </c>
      <c r="L618">
        <f t="shared" si="18"/>
        <v>4047.9999999999995</v>
      </c>
      <c r="M618">
        <f t="shared" si="19"/>
        <v>809.59999999999991</v>
      </c>
    </row>
    <row r="619" spans="1:13" x14ac:dyDescent="0.3">
      <c r="A619">
        <v>618</v>
      </c>
      <c r="B619" t="s">
        <v>777</v>
      </c>
      <c r="C619" s="1">
        <v>43330</v>
      </c>
      <c r="D619" s="1">
        <v>43335</v>
      </c>
      <c r="E619" t="s">
        <v>2119</v>
      </c>
      <c r="F619" t="s">
        <v>778</v>
      </c>
      <c r="G619" t="s">
        <v>779</v>
      </c>
      <c r="H619" t="s">
        <v>10</v>
      </c>
      <c r="I619" t="s">
        <v>2114</v>
      </c>
      <c r="J619" t="s">
        <v>2109</v>
      </c>
      <c r="K619">
        <v>9.94</v>
      </c>
      <c r="L619">
        <f t="shared" si="18"/>
        <v>994</v>
      </c>
      <c r="M619">
        <f t="shared" si="19"/>
        <v>198.8</v>
      </c>
    </row>
    <row r="620" spans="1:13" x14ac:dyDescent="0.3">
      <c r="A620">
        <v>619</v>
      </c>
      <c r="B620" t="s">
        <v>777</v>
      </c>
      <c r="C620" s="1">
        <v>43330</v>
      </c>
      <c r="D620" s="1">
        <v>43335</v>
      </c>
      <c r="E620" t="s">
        <v>2119</v>
      </c>
      <c r="F620" t="s">
        <v>778</v>
      </c>
      <c r="G620" t="s">
        <v>779</v>
      </c>
      <c r="H620" t="s">
        <v>10</v>
      </c>
      <c r="I620" t="s">
        <v>2114</v>
      </c>
      <c r="J620" t="s">
        <v>2110</v>
      </c>
      <c r="K620">
        <v>107.42400000000001</v>
      </c>
      <c r="L620">
        <f t="shared" si="18"/>
        <v>10742.400000000001</v>
      </c>
      <c r="M620">
        <f t="shared" si="19"/>
        <v>2148.4800000000005</v>
      </c>
    </row>
    <row r="621" spans="1:13" x14ac:dyDescent="0.3">
      <c r="A621">
        <v>620</v>
      </c>
      <c r="B621" t="s">
        <v>777</v>
      </c>
      <c r="C621" s="1">
        <v>43330</v>
      </c>
      <c r="D621" s="1">
        <v>43335</v>
      </c>
      <c r="E621" t="s">
        <v>2119</v>
      </c>
      <c r="F621" t="s">
        <v>778</v>
      </c>
      <c r="G621" t="s">
        <v>779</v>
      </c>
      <c r="H621" t="s">
        <v>10</v>
      </c>
      <c r="I621" t="s">
        <v>2114</v>
      </c>
      <c r="J621" t="s">
        <v>2111</v>
      </c>
      <c r="K621">
        <v>37.909999999999997</v>
      </c>
      <c r="L621">
        <f t="shared" si="18"/>
        <v>3790.9999999999995</v>
      </c>
      <c r="M621">
        <f t="shared" si="19"/>
        <v>758.19999999999993</v>
      </c>
    </row>
    <row r="622" spans="1:13" x14ac:dyDescent="0.3">
      <c r="A622">
        <v>621</v>
      </c>
      <c r="B622" t="s">
        <v>777</v>
      </c>
      <c r="C622" s="1">
        <v>43330</v>
      </c>
      <c r="D622" s="1">
        <v>43335</v>
      </c>
      <c r="E622" t="s">
        <v>2119</v>
      </c>
      <c r="F622" t="s">
        <v>778</v>
      </c>
      <c r="G622" t="s">
        <v>779</v>
      </c>
      <c r="H622" t="s">
        <v>10</v>
      </c>
      <c r="I622" t="s">
        <v>2114</v>
      </c>
      <c r="J622" t="s">
        <v>2109</v>
      </c>
      <c r="K622">
        <v>88.02</v>
      </c>
      <c r="L622">
        <f t="shared" si="18"/>
        <v>8802</v>
      </c>
      <c r="M622">
        <f t="shared" si="19"/>
        <v>1760.4</v>
      </c>
    </row>
    <row r="623" spans="1:13" x14ac:dyDescent="0.3">
      <c r="A623">
        <v>622</v>
      </c>
      <c r="B623" t="s">
        <v>780</v>
      </c>
      <c r="C623" s="1">
        <v>42364</v>
      </c>
      <c r="D623" s="1">
        <v>42369</v>
      </c>
      <c r="E623" t="s">
        <v>2118</v>
      </c>
      <c r="F623" t="s">
        <v>781</v>
      </c>
      <c r="G623" t="s">
        <v>782</v>
      </c>
      <c r="H623" t="s">
        <v>6</v>
      </c>
      <c r="I623" t="s">
        <v>2117</v>
      </c>
      <c r="J623" t="s">
        <v>2110</v>
      </c>
      <c r="K623">
        <v>8.69</v>
      </c>
      <c r="L623">
        <f t="shared" si="18"/>
        <v>869</v>
      </c>
      <c r="M623">
        <f t="shared" si="19"/>
        <v>173.8</v>
      </c>
    </row>
    <row r="624" spans="1:13" x14ac:dyDescent="0.3">
      <c r="A624">
        <v>623</v>
      </c>
      <c r="B624" t="s">
        <v>783</v>
      </c>
      <c r="C624" s="1">
        <v>42703</v>
      </c>
      <c r="D624" s="1">
        <v>42707</v>
      </c>
      <c r="E624" t="s">
        <v>2118</v>
      </c>
      <c r="F624" t="s">
        <v>784</v>
      </c>
      <c r="G624" t="s">
        <v>785</v>
      </c>
      <c r="H624" t="s">
        <v>10</v>
      </c>
      <c r="I624" t="s">
        <v>2117</v>
      </c>
      <c r="J624" t="s">
        <v>2109</v>
      </c>
      <c r="K624">
        <v>301.95999999999998</v>
      </c>
      <c r="L624">
        <f t="shared" si="18"/>
        <v>30195.999999999996</v>
      </c>
      <c r="M624">
        <f t="shared" si="19"/>
        <v>6039.2</v>
      </c>
    </row>
    <row r="625" spans="1:13" x14ac:dyDescent="0.3">
      <c r="A625">
        <v>624</v>
      </c>
      <c r="B625" t="s">
        <v>783</v>
      </c>
      <c r="C625" s="1">
        <v>42703</v>
      </c>
      <c r="D625" s="1">
        <v>42707</v>
      </c>
      <c r="E625" t="s">
        <v>2118</v>
      </c>
      <c r="F625" t="s">
        <v>784</v>
      </c>
      <c r="G625" t="s">
        <v>785</v>
      </c>
      <c r="H625" t="s">
        <v>10</v>
      </c>
      <c r="I625" t="s">
        <v>2117</v>
      </c>
      <c r="J625" t="s">
        <v>2110</v>
      </c>
      <c r="K625">
        <v>555.21</v>
      </c>
      <c r="L625">
        <f t="shared" si="18"/>
        <v>55521</v>
      </c>
      <c r="M625">
        <f t="shared" si="19"/>
        <v>11104.2</v>
      </c>
    </row>
    <row r="626" spans="1:13" x14ac:dyDescent="0.3">
      <c r="A626">
        <v>625</v>
      </c>
      <c r="B626" t="s">
        <v>783</v>
      </c>
      <c r="C626" s="1">
        <v>42703</v>
      </c>
      <c r="D626" s="1">
        <v>42707</v>
      </c>
      <c r="E626" t="s">
        <v>2118</v>
      </c>
      <c r="F626" t="s">
        <v>784</v>
      </c>
      <c r="G626" t="s">
        <v>785</v>
      </c>
      <c r="H626" t="s">
        <v>10</v>
      </c>
      <c r="I626" t="s">
        <v>2117</v>
      </c>
      <c r="J626" t="s">
        <v>2110</v>
      </c>
      <c r="K626">
        <v>523.48</v>
      </c>
      <c r="L626">
        <f t="shared" si="18"/>
        <v>52348</v>
      </c>
      <c r="M626">
        <f t="shared" si="19"/>
        <v>10469.6</v>
      </c>
    </row>
    <row r="627" spans="1:13" x14ac:dyDescent="0.3">
      <c r="A627">
        <v>626</v>
      </c>
      <c r="B627" t="s">
        <v>783</v>
      </c>
      <c r="C627" s="1">
        <v>42703</v>
      </c>
      <c r="D627" s="1">
        <v>42707</v>
      </c>
      <c r="E627" t="s">
        <v>2118</v>
      </c>
      <c r="F627" t="s">
        <v>784</v>
      </c>
      <c r="G627" t="s">
        <v>785</v>
      </c>
      <c r="H627" t="s">
        <v>10</v>
      </c>
      <c r="I627" t="s">
        <v>2117</v>
      </c>
      <c r="J627" t="s">
        <v>2110</v>
      </c>
      <c r="K627">
        <v>161.82</v>
      </c>
      <c r="L627">
        <f t="shared" si="18"/>
        <v>16182</v>
      </c>
      <c r="M627">
        <f t="shared" si="19"/>
        <v>3236.4</v>
      </c>
    </row>
    <row r="628" spans="1:13" x14ac:dyDescent="0.3">
      <c r="A628">
        <v>627</v>
      </c>
      <c r="B628" t="s">
        <v>786</v>
      </c>
      <c r="C628" s="1">
        <v>43358</v>
      </c>
      <c r="D628" s="1">
        <v>43362</v>
      </c>
      <c r="E628" t="s">
        <v>2118</v>
      </c>
      <c r="F628" t="s">
        <v>787</v>
      </c>
      <c r="G628" t="s">
        <v>788</v>
      </c>
      <c r="H628" t="s">
        <v>26</v>
      </c>
      <c r="I628" t="s">
        <v>2114</v>
      </c>
      <c r="J628" t="s">
        <v>2109</v>
      </c>
      <c r="K628">
        <v>35.56</v>
      </c>
      <c r="L628">
        <f t="shared" si="18"/>
        <v>3556</v>
      </c>
      <c r="M628">
        <f t="shared" si="19"/>
        <v>711.2</v>
      </c>
    </row>
    <row r="629" spans="1:13" x14ac:dyDescent="0.3">
      <c r="A629">
        <v>628</v>
      </c>
      <c r="B629" t="s">
        <v>789</v>
      </c>
      <c r="C629" s="1">
        <v>43239</v>
      </c>
      <c r="D629" s="1">
        <v>43243</v>
      </c>
      <c r="E629" t="s">
        <v>2118</v>
      </c>
      <c r="F629" t="s">
        <v>790</v>
      </c>
      <c r="G629" t="s">
        <v>791</v>
      </c>
      <c r="H629" t="s">
        <v>6</v>
      </c>
      <c r="I629" t="s">
        <v>2112</v>
      </c>
      <c r="J629" t="s">
        <v>2110</v>
      </c>
      <c r="K629">
        <v>97.16</v>
      </c>
      <c r="L629">
        <f t="shared" si="18"/>
        <v>9716</v>
      </c>
      <c r="M629">
        <f t="shared" si="19"/>
        <v>1943.2</v>
      </c>
    </row>
    <row r="630" spans="1:13" x14ac:dyDescent="0.3">
      <c r="A630">
        <v>629</v>
      </c>
      <c r="B630" t="s">
        <v>792</v>
      </c>
      <c r="C630" s="1">
        <v>43451</v>
      </c>
      <c r="D630" s="1">
        <v>43455</v>
      </c>
      <c r="E630" t="s">
        <v>2118</v>
      </c>
      <c r="F630" t="s">
        <v>296</v>
      </c>
      <c r="G630" t="s">
        <v>297</v>
      </c>
      <c r="H630" t="s">
        <v>6</v>
      </c>
      <c r="I630" t="s">
        <v>2112</v>
      </c>
      <c r="J630" t="s">
        <v>2110</v>
      </c>
      <c r="K630">
        <v>15.24</v>
      </c>
      <c r="L630">
        <f t="shared" si="18"/>
        <v>1524</v>
      </c>
      <c r="M630">
        <f t="shared" si="19"/>
        <v>304.8</v>
      </c>
    </row>
    <row r="631" spans="1:13" x14ac:dyDescent="0.3">
      <c r="A631">
        <v>630</v>
      </c>
      <c r="B631" t="s">
        <v>792</v>
      </c>
      <c r="C631" s="1">
        <v>43451</v>
      </c>
      <c r="D631" s="1">
        <v>43455</v>
      </c>
      <c r="E631" t="s">
        <v>2118</v>
      </c>
      <c r="F631" t="s">
        <v>296</v>
      </c>
      <c r="G631" t="s">
        <v>297</v>
      </c>
      <c r="H631" t="s">
        <v>6</v>
      </c>
      <c r="I631" t="s">
        <v>2112</v>
      </c>
      <c r="J631" t="s">
        <v>2110</v>
      </c>
      <c r="K631">
        <v>13.23</v>
      </c>
      <c r="L631">
        <f t="shared" si="18"/>
        <v>1323</v>
      </c>
      <c r="M631">
        <f t="shared" si="19"/>
        <v>264.60000000000002</v>
      </c>
    </row>
    <row r="632" spans="1:13" x14ac:dyDescent="0.3">
      <c r="A632">
        <v>631</v>
      </c>
      <c r="B632" t="s">
        <v>793</v>
      </c>
      <c r="C632" s="1">
        <v>43080</v>
      </c>
      <c r="D632" s="1">
        <v>43082</v>
      </c>
      <c r="E632" t="s">
        <v>2119</v>
      </c>
      <c r="F632" t="s">
        <v>794</v>
      </c>
      <c r="G632" t="s">
        <v>795</v>
      </c>
      <c r="H632" t="s">
        <v>6</v>
      </c>
      <c r="I632" t="s">
        <v>2112</v>
      </c>
      <c r="J632" t="s">
        <v>2110</v>
      </c>
      <c r="K632">
        <v>243.38399999999999</v>
      </c>
      <c r="L632">
        <f t="shared" si="18"/>
        <v>24338.399999999998</v>
      </c>
      <c r="M632">
        <f t="shared" si="19"/>
        <v>4867.6799999999994</v>
      </c>
    </row>
    <row r="633" spans="1:13" x14ac:dyDescent="0.3">
      <c r="A633">
        <v>632</v>
      </c>
      <c r="B633" t="s">
        <v>793</v>
      </c>
      <c r="C633" s="1">
        <v>43080</v>
      </c>
      <c r="D633" s="1">
        <v>43082</v>
      </c>
      <c r="E633" t="s">
        <v>2119</v>
      </c>
      <c r="F633" t="s">
        <v>794</v>
      </c>
      <c r="G633" t="s">
        <v>795</v>
      </c>
      <c r="H633" t="s">
        <v>6</v>
      </c>
      <c r="I633" t="s">
        <v>2112</v>
      </c>
      <c r="J633" t="s">
        <v>2111</v>
      </c>
      <c r="K633">
        <v>119.8</v>
      </c>
      <c r="L633">
        <f t="shared" si="18"/>
        <v>11980</v>
      </c>
      <c r="M633">
        <f t="shared" si="19"/>
        <v>2396</v>
      </c>
    </row>
    <row r="634" spans="1:13" x14ac:dyDescent="0.3">
      <c r="A634">
        <v>633</v>
      </c>
      <c r="B634" t="s">
        <v>793</v>
      </c>
      <c r="C634" s="1">
        <v>43080</v>
      </c>
      <c r="D634" s="1">
        <v>43082</v>
      </c>
      <c r="E634" t="s">
        <v>2119</v>
      </c>
      <c r="F634" t="s">
        <v>794</v>
      </c>
      <c r="G634" t="s">
        <v>795</v>
      </c>
      <c r="H634" t="s">
        <v>6</v>
      </c>
      <c r="I634" t="s">
        <v>2112</v>
      </c>
      <c r="J634" t="s">
        <v>2111</v>
      </c>
      <c r="K634">
        <v>300.76799999999997</v>
      </c>
      <c r="L634">
        <f t="shared" si="18"/>
        <v>30076.799999999996</v>
      </c>
      <c r="M634">
        <f t="shared" si="19"/>
        <v>6015.36</v>
      </c>
    </row>
    <row r="635" spans="1:13" x14ac:dyDescent="0.3">
      <c r="A635">
        <v>634</v>
      </c>
      <c r="B635" t="s">
        <v>796</v>
      </c>
      <c r="C635" s="1">
        <v>43367</v>
      </c>
      <c r="D635" s="1">
        <v>43369</v>
      </c>
      <c r="E635" t="s">
        <v>2119</v>
      </c>
      <c r="F635" t="s">
        <v>658</v>
      </c>
      <c r="G635" t="s">
        <v>659</v>
      </c>
      <c r="H635" t="s">
        <v>6</v>
      </c>
      <c r="I635" t="s">
        <v>2115</v>
      </c>
      <c r="J635" t="s">
        <v>2111</v>
      </c>
      <c r="K635">
        <v>17.88</v>
      </c>
      <c r="L635">
        <f t="shared" si="18"/>
        <v>1788</v>
      </c>
      <c r="M635">
        <f t="shared" si="19"/>
        <v>357.6</v>
      </c>
    </row>
    <row r="636" spans="1:13" x14ac:dyDescent="0.3">
      <c r="A636">
        <v>635</v>
      </c>
      <c r="B636" t="s">
        <v>796</v>
      </c>
      <c r="C636" s="1">
        <v>43367</v>
      </c>
      <c r="D636" s="1">
        <v>43369</v>
      </c>
      <c r="E636" t="s">
        <v>2119</v>
      </c>
      <c r="F636" t="s">
        <v>658</v>
      </c>
      <c r="G636" t="s">
        <v>659</v>
      </c>
      <c r="H636" t="s">
        <v>6</v>
      </c>
      <c r="I636" t="s">
        <v>2115</v>
      </c>
      <c r="J636" t="s">
        <v>2110</v>
      </c>
      <c r="K636">
        <v>235.94399999999999</v>
      </c>
      <c r="L636">
        <f t="shared" si="18"/>
        <v>23594.399999999998</v>
      </c>
      <c r="M636">
        <f t="shared" si="19"/>
        <v>4718.88</v>
      </c>
    </row>
    <row r="637" spans="1:13" x14ac:dyDescent="0.3">
      <c r="A637">
        <v>636</v>
      </c>
      <c r="B637" t="s">
        <v>797</v>
      </c>
      <c r="C637" s="1">
        <v>42647</v>
      </c>
      <c r="D637" s="1">
        <v>42652</v>
      </c>
      <c r="E637" t="s">
        <v>2119</v>
      </c>
      <c r="F637" t="s">
        <v>798</v>
      </c>
      <c r="G637" t="s">
        <v>799</v>
      </c>
      <c r="H637" t="s">
        <v>10</v>
      </c>
      <c r="I637" t="s">
        <v>2115</v>
      </c>
      <c r="J637" t="s">
        <v>2109</v>
      </c>
      <c r="K637">
        <v>392.94</v>
      </c>
      <c r="L637">
        <f t="shared" si="18"/>
        <v>39294</v>
      </c>
      <c r="M637">
        <f t="shared" si="19"/>
        <v>7858.8</v>
      </c>
    </row>
    <row r="638" spans="1:13" x14ac:dyDescent="0.3">
      <c r="A638">
        <v>637</v>
      </c>
      <c r="B638" t="s">
        <v>800</v>
      </c>
      <c r="C638" s="1">
        <v>42962</v>
      </c>
      <c r="D638" s="1">
        <v>42968</v>
      </c>
      <c r="E638" t="s">
        <v>2118</v>
      </c>
      <c r="F638" t="s">
        <v>801</v>
      </c>
      <c r="G638" t="s">
        <v>802</v>
      </c>
      <c r="H638" t="s">
        <v>6</v>
      </c>
      <c r="I638" t="s">
        <v>2112</v>
      </c>
      <c r="J638" t="s">
        <v>2110</v>
      </c>
      <c r="K638">
        <v>18.882000000000001</v>
      </c>
      <c r="L638">
        <f t="shared" si="18"/>
        <v>1888.2</v>
      </c>
      <c r="M638">
        <f t="shared" si="19"/>
        <v>377.64000000000004</v>
      </c>
    </row>
    <row r="639" spans="1:13" x14ac:dyDescent="0.3">
      <c r="A639">
        <v>638</v>
      </c>
      <c r="B639" t="s">
        <v>800</v>
      </c>
      <c r="C639" s="1">
        <v>42962</v>
      </c>
      <c r="D639" s="1">
        <v>42968</v>
      </c>
      <c r="E639" t="s">
        <v>2118</v>
      </c>
      <c r="F639" t="s">
        <v>801</v>
      </c>
      <c r="G639" t="s">
        <v>802</v>
      </c>
      <c r="H639" t="s">
        <v>6</v>
      </c>
      <c r="I639" t="s">
        <v>2112</v>
      </c>
      <c r="J639" t="s">
        <v>2110</v>
      </c>
      <c r="K639">
        <v>122.328</v>
      </c>
      <c r="L639">
        <f t="shared" si="18"/>
        <v>12232.800000000001</v>
      </c>
      <c r="M639">
        <f t="shared" si="19"/>
        <v>2446.5600000000004</v>
      </c>
    </row>
    <row r="640" spans="1:13" x14ac:dyDescent="0.3">
      <c r="A640">
        <v>639</v>
      </c>
      <c r="B640" t="s">
        <v>803</v>
      </c>
      <c r="C640" s="1">
        <v>42875</v>
      </c>
      <c r="D640" s="1">
        <v>42880</v>
      </c>
      <c r="E640" t="s">
        <v>2118</v>
      </c>
      <c r="F640" t="s">
        <v>148</v>
      </c>
      <c r="G640" t="s">
        <v>149</v>
      </c>
      <c r="H640" t="s">
        <v>26</v>
      </c>
      <c r="I640" t="s">
        <v>2112</v>
      </c>
      <c r="J640" t="s">
        <v>2109</v>
      </c>
      <c r="K640">
        <v>1049.2</v>
      </c>
      <c r="L640">
        <f t="shared" si="18"/>
        <v>104920</v>
      </c>
      <c r="M640">
        <f t="shared" si="19"/>
        <v>20984</v>
      </c>
    </row>
    <row r="641" spans="1:13" x14ac:dyDescent="0.3">
      <c r="A641">
        <v>640</v>
      </c>
      <c r="B641" t="s">
        <v>803</v>
      </c>
      <c r="C641" s="1">
        <v>42875</v>
      </c>
      <c r="D641" s="1">
        <v>42880</v>
      </c>
      <c r="E641" t="s">
        <v>2118</v>
      </c>
      <c r="F641" t="s">
        <v>148</v>
      </c>
      <c r="G641" t="s">
        <v>149</v>
      </c>
      <c r="H641" t="s">
        <v>26</v>
      </c>
      <c r="I641" t="s">
        <v>2112</v>
      </c>
      <c r="J641" t="s">
        <v>2110</v>
      </c>
      <c r="K641">
        <v>15.423999999999999</v>
      </c>
      <c r="L641">
        <f t="shared" si="18"/>
        <v>1542.3999999999999</v>
      </c>
      <c r="M641">
        <f t="shared" si="19"/>
        <v>308.48</v>
      </c>
    </row>
    <row r="642" spans="1:13" x14ac:dyDescent="0.3">
      <c r="A642">
        <v>641</v>
      </c>
      <c r="B642" t="s">
        <v>804</v>
      </c>
      <c r="C642" s="1">
        <v>43087</v>
      </c>
      <c r="D642" s="1">
        <v>43091</v>
      </c>
      <c r="E642" t="s">
        <v>2118</v>
      </c>
      <c r="F642" t="s">
        <v>805</v>
      </c>
      <c r="G642" t="s">
        <v>806</v>
      </c>
      <c r="H642" t="s">
        <v>10</v>
      </c>
      <c r="I642" t="s">
        <v>2117</v>
      </c>
      <c r="J642" t="s">
        <v>2109</v>
      </c>
      <c r="K642">
        <v>18.84</v>
      </c>
      <c r="L642">
        <f t="shared" ref="L642:L705" si="20">K642*100</f>
        <v>1884</v>
      </c>
      <c r="M642">
        <f t="shared" si="19"/>
        <v>376.8</v>
      </c>
    </row>
    <row r="643" spans="1:13" x14ac:dyDescent="0.3">
      <c r="A643">
        <v>642</v>
      </c>
      <c r="B643" t="s">
        <v>807</v>
      </c>
      <c r="C643" s="1">
        <v>43311</v>
      </c>
      <c r="D643" s="1">
        <v>43315</v>
      </c>
      <c r="E643" t="s">
        <v>2119</v>
      </c>
      <c r="F643" t="s">
        <v>808</v>
      </c>
      <c r="G643" t="s">
        <v>809</v>
      </c>
      <c r="H643" t="s">
        <v>6</v>
      </c>
      <c r="I643" t="s">
        <v>2112</v>
      </c>
      <c r="J643" t="s">
        <v>2110</v>
      </c>
      <c r="K643">
        <v>330.4</v>
      </c>
      <c r="L643">
        <f t="shared" si="20"/>
        <v>33040</v>
      </c>
      <c r="M643">
        <f t="shared" ref="M643:M706" si="21">L643*0.2</f>
        <v>6608</v>
      </c>
    </row>
    <row r="644" spans="1:13" x14ac:dyDescent="0.3">
      <c r="A644">
        <v>643</v>
      </c>
      <c r="B644" t="s">
        <v>807</v>
      </c>
      <c r="C644" s="1">
        <v>43311</v>
      </c>
      <c r="D644" s="1">
        <v>43315</v>
      </c>
      <c r="E644" t="s">
        <v>2119</v>
      </c>
      <c r="F644" t="s">
        <v>808</v>
      </c>
      <c r="G644" t="s">
        <v>809</v>
      </c>
      <c r="H644" t="s">
        <v>6</v>
      </c>
      <c r="I644" t="s">
        <v>2112</v>
      </c>
      <c r="J644" t="s">
        <v>2110</v>
      </c>
      <c r="K644">
        <v>26.25</v>
      </c>
      <c r="L644">
        <f t="shared" si="20"/>
        <v>2625</v>
      </c>
      <c r="M644">
        <f t="shared" si="21"/>
        <v>525</v>
      </c>
    </row>
    <row r="645" spans="1:13" x14ac:dyDescent="0.3">
      <c r="A645">
        <v>644</v>
      </c>
      <c r="B645" t="s">
        <v>810</v>
      </c>
      <c r="C645" s="1">
        <v>43261</v>
      </c>
      <c r="D645" s="1">
        <v>43266</v>
      </c>
      <c r="E645" t="s">
        <v>2118</v>
      </c>
      <c r="F645" t="s">
        <v>811</v>
      </c>
      <c r="G645" t="s">
        <v>812</v>
      </c>
      <c r="H645" t="s">
        <v>6</v>
      </c>
      <c r="I645" t="s">
        <v>2117</v>
      </c>
      <c r="J645" t="s">
        <v>2111</v>
      </c>
      <c r="K645">
        <v>132.52000000000001</v>
      </c>
      <c r="L645">
        <f t="shared" si="20"/>
        <v>13252.000000000002</v>
      </c>
      <c r="M645">
        <f t="shared" si="21"/>
        <v>2650.4000000000005</v>
      </c>
    </row>
    <row r="646" spans="1:13" x14ac:dyDescent="0.3">
      <c r="A646">
        <v>645</v>
      </c>
      <c r="B646" t="s">
        <v>813</v>
      </c>
      <c r="C646" s="1">
        <v>43302</v>
      </c>
      <c r="D646" s="1">
        <v>43306</v>
      </c>
      <c r="E646" t="s">
        <v>2118</v>
      </c>
      <c r="F646" t="s">
        <v>217</v>
      </c>
      <c r="G646" t="s">
        <v>218</v>
      </c>
      <c r="H646" t="s">
        <v>26</v>
      </c>
      <c r="I646" t="s">
        <v>2114</v>
      </c>
      <c r="J646" t="s">
        <v>2110</v>
      </c>
      <c r="K646">
        <v>6.48</v>
      </c>
      <c r="L646">
        <f t="shared" si="20"/>
        <v>648</v>
      </c>
      <c r="M646">
        <f t="shared" si="21"/>
        <v>129.6</v>
      </c>
    </row>
    <row r="647" spans="1:13" x14ac:dyDescent="0.3">
      <c r="A647">
        <v>646</v>
      </c>
      <c r="B647" t="s">
        <v>814</v>
      </c>
      <c r="C647" s="1">
        <v>43464</v>
      </c>
      <c r="D647" s="1">
        <v>43470</v>
      </c>
      <c r="E647" t="s">
        <v>2118</v>
      </c>
      <c r="F647" t="s">
        <v>815</v>
      </c>
      <c r="G647" t="s">
        <v>816</v>
      </c>
      <c r="H647" t="s">
        <v>26</v>
      </c>
      <c r="I647" t="s">
        <v>2117</v>
      </c>
      <c r="J647" t="s">
        <v>2110</v>
      </c>
      <c r="K647">
        <v>209.3</v>
      </c>
      <c r="L647">
        <f t="shared" si="20"/>
        <v>20930</v>
      </c>
      <c r="M647">
        <f t="shared" si="21"/>
        <v>4186</v>
      </c>
    </row>
    <row r="648" spans="1:13" x14ac:dyDescent="0.3">
      <c r="A648">
        <v>647</v>
      </c>
      <c r="B648" t="s">
        <v>817</v>
      </c>
      <c r="C648" s="1">
        <v>42826</v>
      </c>
      <c r="D648" s="1">
        <v>42833</v>
      </c>
      <c r="E648" t="s">
        <v>2118</v>
      </c>
      <c r="F648" t="s">
        <v>377</v>
      </c>
      <c r="G648" t="s">
        <v>378</v>
      </c>
      <c r="H648" t="s">
        <v>10</v>
      </c>
      <c r="I648" t="s">
        <v>2112</v>
      </c>
      <c r="J648" t="s">
        <v>2110</v>
      </c>
      <c r="K648">
        <v>31.56</v>
      </c>
      <c r="L648">
        <f t="shared" si="20"/>
        <v>3156</v>
      </c>
      <c r="M648">
        <f t="shared" si="21"/>
        <v>631.20000000000005</v>
      </c>
    </row>
    <row r="649" spans="1:13" x14ac:dyDescent="0.3">
      <c r="A649">
        <v>648</v>
      </c>
      <c r="B649" t="s">
        <v>817</v>
      </c>
      <c r="C649" s="1">
        <v>42826</v>
      </c>
      <c r="D649" s="1">
        <v>42833</v>
      </c>
      <c r="E649" t="s">
        <v>2118</v>
      </c>
      <c r="F649" t="s">
        <v>377</v>
      </c>
      <c r="G649" t="s">
        <v>378</v>
      </c>
      <c r="H649" t="s">
        <v>10</v>
      </c>
      <c r="I649" t="s">
        <v>2112</v>
      </c>
      <c r="J649" t="s">
        <v>2110</v>
      </c>
      <c r="K649">
        <v>30.143999999999998</v>
      </c>
      <c r="L649">
        <f t="shared" si="20"/>
        <v>3014.3999999999996</v>
      </c>
      <c r="M649">
        <f t="shared" si="21"/>
        <v>602.88</v>
      </c>
    </row>
    <row r="650" spans="1:13" x14ac:dyDescent="0.3">
      <c r="A650">
        <v>649</v>
      </c>
      <c r="B650" t="s">
        <v>818</v>
      </c>
      <c r="C650" s="1">
        <v>43080</v>
      </c>
      <c r="D650" s="1">
        <v>43085</v>
      </c>
      <c r="E650" t="s">
        <v>2119</v>
      </c>
      <c r="F650" t="s">
        <v>819</v>
      </c>
      <c r="G650" t="s">
        <v>820</v>
      </c>
      <c r="H650" t="s">
        <v>10</v>
      </c>
      <c r="I650" t="s">
        <v>2112</v>
      </c>
      <c r="J650" t="s">
        <v>2109</v>
      </c>
      <c r="K650">
        <v>14.8</v>
      </c>
      <c r="L650">
        <f t="shared" si="20"/>
        <v>1480</v>
      </c>
      <c r="M650">
        <f t="shared" si="21"/>
        <v>296</v>
      </c>
    </row>
    <row r="651" spans="1:13" x14ac:dyDescent="0.3">
      <c r="A651">
        <v>650</v>
      </c>
      <c r="B651" t="s">
        <v>818</v>
      </c>
      <c r="C651" s="1">
        <v>43080</v>
      </c>
      <c r="D651" s="1">
        <v>43085</v>
      </c>
      <c r="E651" t="s">
        <v>2119</v>
      </c>
      <c r="F651" t="s">
        <v>819</v>
      </c>
      <c r="G651" t="s">
        <v>820</v>
      </c>
      <c r="H651" t="s">
        <v>10</v>
      </c>
      <c r="I651" t="s">
        <v>2112</v>
      </c>
      <c r="J651" t="s">
        <v>2111</v>
      </c>
      <c r="K651">
        <v>302.37599999999998</v>
      </c>
      <c r="L651">
        <f t="shared" si="20"/>
        <v>30237.599999999999</v>
      </c>
      <c r="M651">
        <f t="shared" si="21"/>
        <v>6047.52</v>
      </c>
    </row>
    <row r="652" spans="1:13" x14ac:dyDescent="0.3">
      <c r="A652">
        <v>651</v>
      </c>
      <c r="B652" t="s">
        <v>818</v>
      </c>
      <c r="C652" s="1">
        <v>43080</v>
      </c>
      <c r="D652" s="1">
        <v>43085</v>
      </c>
      <c r="E652" t="s">
        <v>2119</v>
      </c>
      <c r="F652" t="s">
        <v>819</v>
      </c>
      <c r="G652" t="s">
        <v>820</v>
      </c>
      <c r="H652" t="s">
        <v>10</v>
      </c>
      <c r="I652" t="s">
        <v>2112</v>
      </c>
      <c r="J652" t="s">
        <v>2111</v>
      </c>
      <c r="K652">
        <v>316</v>
      </c>
      <c r="L652">
        <f t="shared" si="20"/>
        <v>31600</v>
      </c>
      <c r="M652">
        <f t="shared" si="21"/>
        <v>6320</v>
      </c>
    </row>
    <row r="653" spans="1:13" x14ac:dyDescent="0.3">
      <c r="A653">
        <v>652</v>
      </c>
      <c r="B653" t="s">
        <v>821</v>
      </c>
      <c r="C653" s="1">
        <v>43031</v>
      </c>
      <c r="D653" s="1">
        <v>43037</v>
      </c>
      <c r="E653" t="s">
        <v>2118</v>
      </c>
      <c r="F653" t="s">
        <v>822</v>
      </c>
      <c r="G653" t="s">
        <v>823</v>
      </c>
      <c r="H653" t="s">
        <v>26</v>
      </c>
      <c r="I653" t="s">
        <v>2114</v>
      </c>
      <c r="J653" t="s">
        <v>2110</v>
      </c>
      <c r="K653">
        <v>379.4</v>
      </c>
      <c r="L653">
        <f t="shared" si="20"/>
        <v>37940</v>
      </c>
      <c r="M653">
        <f t="shared" si="21"/>
        <v>7588</v>
      </c>
    </row>
    <row r="654" spans="1:13" x14ac:dyDescent="0.3">
      <c r="A654">
        <v>653</v>
      </c>
      <c r="B654" t="s">
        <v>824</v>
      </c>
      <c r="C654" s="1">
        <v>43270</v>
      </c>
      <c r="D654" s="1">
        <v>43274</v>
      </c>
      <c r="E654" t="s">
        <v>2118</v>
      </c>
      <c r="F654" t="s">
        <v>482</v>
      </c>
      <c r="G654" t="s">
        <v>483</v>
      </c>
      <c r="H654" t="s">
        <v>10</v>
      </c>
      <c r="I654" t="s">
        <v>2114</v>
      </c>
      <c r="J654" t="s">
        <v>2110</v>
      </c>
      <c r="K654">
        <v>97.82</v>
      </c>
      <c r="L654">
        <f t="shared" si="20"/>
        <v>9782</v>
      </c>
      <c r="M654">
        <f t="shared" si="21"/>
        <v>1956.4</v>
      </c>
    </row>
    <row r="655" spans="1:13" x14ac:dyDescent="0.3">
      <c r="A655">
        <v>654</v>
      </c>
      <c r="B655" t="s">
        <v>824</v>
      </c>
      <c r="C655" s="1">
        <v>43270</v>
      </c>
      <c r="D655" s="1">
        <v>43274</v>
      </c>
      <c r="E655" t="s">
        <v>2118</v>
      </c>
      <c r="F655" t="s">
        <v>482</v>
      </c>
      <c r="G655" t="s">
        <v>483</v>
      </c>
      <c r="H655" t="s">
        <v>10</v>
      </c>
      <c r="I655" t="s">
        <v>2114</v>
      </c>
      <c r="J655" t="s">
        <v>2111</v>
      </c>
      <c r="K655">
        <v>103.12</v>
      </c>
      <c r="L655">
        <f t="shared" si="20"/>
        <v>10312</v>
      </c>
      <c r="M655">
        <f t="shared" si="21"/>
        <v>2062.4</v>
      </c>
    </row>
    <row r="656" spans="1:13" x14ac:dyDescent="0.3">
      <c r="A656">
        <v>655</v>
      </c>
      <c r="B656" t="s">
        <v>825</v>
      </c>
      <c r="C656" s="1">
        <v>42969</v>
      </c>
      <c r="D656" s="1">
        <v>42975</v>
      </c>
      <c r="E656" t="s">
        <v>2118</v>
      </c>
      <c r="F656" t="s">
        <v>826</v>
      </c>
      <c r="G656" t="s">
        <v>827</v>
      </c>
      <c r="H656" t="s">
        <v>6</v>
      </c>
      <c r="I656" t="s">
        <v>2114</v>
      </c>
      <c r="J656" t="s">
        <v>2110</v>
      </c>
      <c r="K656">
        <v>113.55200000000001</v>
      </c>
      <c r="L656">
        <f t="shared" si="20"/>
        <v>11355.2</v>
      </c>
      <c r="M656">
        <f t="shared" si="21"/>
        <v>2271.0400000000004</v>
      </c>
    </row>
    <row r="657" spans="1:13" x14ac:dyDescent="0.3">
      <c r="A657">
        <v>656</v>
      </c>
      <c r="B657" t="s">
        <v>825</v>
      </c>
      <c r="C657" s="1">
        <v>42969</v>
      </c>
      <c r="D657" s="1">
        <v>42975</v>
      </c>
      <c r="E657" t="s">
        <v>2118</v>
      </c>
      <c r="F657" t="s">
        <v>826</v>
      </c>
      <c r="G657" t="s">
        <v>827</v>
      </c>
      <c r="H657" t="s">
        <v>6</v>
      </c>
      <c r="I657" t="s">
        <v>2114</v>
      </c>
      <c r="J657" t="s">
        <v>2110</v>
      </c>
      <c r="K657">
        <v>3.3180000000000001</v>
      </c>
      <c r="L657">
        <f t="shared" si="20"/>
        <v>331.8</v>
      </c>
      <c r="M657">
        <f t="shared" si="21"/>
        <v>66.36</v>
      </c>
    </row>
    <row r="658" spans="1:13" x14ac:dyDescent="0.3">
      <c r="A658">
        <v>657</v>
      </c>
      <c r="B658" t="s">
        <v>825</v>
      </c>
      <c r="C658" s="1">
        <v>42969</v>
      </c>
      <c r="D658" s="1">
        <v>42975</v>
      </c>
      <c r="E658" t="s">
        <v>2118</v>
      </c>
      <c r="F658" t="s">
        <v>826</v>
      </c>
      <c r="G658" t="s">
        <v>827</v>
      </c>
      <c r="H658" t="s">
        <v>6</v>
      </c>
      <c r="I658" t="s">
        <v>2114</v>
      </c>
      <c r="J658" t="s">
        <v>2110</v>
      </c>
      <c r="K658">
        <v>134.28800000000001</v>
      </c>
      <c r="L658">
        <f t="shared" si="20"/>
        <v>13428.800000000001</v>
      </c>
      <c r="M658">
        <f t="shared" si="21"/>
        <v>2685.76</v>
      </c>
    </row>
    <row r="659" spans="1:13" x14ac:dyDescent="0.3">
      <c r="A659">
        <v>658</v>
      </c>
      <c r="B659" t="s">
        <v>828</v>
      </c>
      <c r="C659" s="1">
        <v>42997</v>
      </c>
      <c r="D659" s="1">
        <v>42997</v>
      </c>
      <c r="E659" t="s">
        <v>2120</v>
      </c>
      <c r="F659" t="s">
        <v>829</v>
      </c>
      <c r="G659" t="s">
        <v>830</v>
      </c>
      <c r="H659" t="s">
        <v>26</v>
      </c>
      <c r="I659" t="s">
        <v>2117</v>
      </c>
      <c r="J659" t="s">
        <v>2109</v>
      </c>
      <c r="K659">
        <v>701.37199999999996</v>
      </c>
      <c r="L659">
        <f t="shared" si="20"/>
        <v>70137.2</v>
      </c>
      <c r="M659">
        <f t="shared" si="21"/>
        <v>14027.44</v>
      </c>
    </row>
    <row r="660" spans="1:13" x14ac:dyDescent="0.3">
      <c r="A660">
        <v>659</v>
      </c>
      <c r="B660" t="s">
        <v>828</v>
      </c>
      <c r="C660" s="1">
        <v>42997</v>
      </c>
      <c r="D660" s="1">
        <v>42997</v>
      </c>
      <c r="E660" t="s">
        <v>2120</v>
      </c>
      <c r="F660" t="s">
        <v>829</v>
      </c>
      <c r="G660" t="s">
        <v>830</v>
      </c>
      <c r="H660" t="s">
        <v>26</v>
      </c>
      <c r="I660" t="s">
        <v>2117</v>
      </c>
      <c r="J660" t="s">
        <v>2110</v>
      </c>
      <c r="K660">
        <v>2.3079999999999998</v>
      </c>
      <c r="L660">
        <f t="shared" si="20"/>
        <v>230.79999999999998</v>
      </c>
      <c r="M660">
        <f t="shared" si="21"/>
        <v>46.16</v>
      </c>
    </row>
    <row r="661" spans="1:13" x14ac:dyDescent="0.3">
      <c r="A661">
        <v>660</v>
      </c>
      <c r="B661" t="s">
        <v>831</v>
      </c>
      <c r="C661" s="1">
        <v>42606</v>
      </c>
      <c r="D661" s="1">
        <v>42610</v>
      </c>
      <c r="E661" t="s">
        <v>2118</v>
      </c>
      <c r="F661" t="s">
        <v>281</v>
      </c>
      <c r="G661" t="s">
        <v>282</v>
      </c>
      <c r="H661" t="s">
        <v>6</v>
      </c>
      <c r="I661" t="s">
        <v>2117</v>
      </c>
      <c r="J661" t="s">
        <v>2110</v>
      </c>
      <c r="K661">
        <v>999.43200000000002</v>
      </c>
      <c r="L661">
        <f t="shared" si="20"/>
        <v>99943.2</v>
      </c>
      <c r="M661">
        <f t="shared" si="21"/>
        <v>19988.64</v>
      </c>
    </row>
    <row r="662" spans="1:13" x14ac:dyDescent="0.3">
      <c r="A662">
        <v>661</v>
      </c>
      <c r="B662" t="s">
        <v>831</v>
      </c>
      <c r="C662" s="1">
        <v>42606</v>
      </c>
      <c r="D662" s="1">
        <v>42610</v>
      </c>
      <c r="E662" t="s">
        <v>2118</v>
      </c>
      <c r="F662" t="s">
        <v>281</v>
      </c>
      <c r="G662" t="s">
        <v>282</v>
      </c>
      <c r="H662" t="s">
        <v>6</v>
      </c>
      <c r="I662" t="s">
        <v>2117</v>
      </c>
      <c r="J662" t="s">
        <v>2110</v>
      </c>
      <c r="K662">
        <v>724.08</v>
      </c>
      <c r="L662">
        <f t="shared" si="20"/>
        <v>72408</v>
      </c>
      <c r="M662">
        <f t="shared" si="21"/>
        <v>14481.6</v>
      </c>
    </row>
    <row r="663" spans="1:13" x14ac:dyDescent="0.3">
      <c r="A663">
        <v>662</v>
      </c>
      <c r="B663" t="s">
        <v>831</v>
      </c>
      <c r="C663" s="1">
        <v>42606</v>
      </c>
      <c r="D663" s="1">
        <v>42610</v>
      </c>
      <c r="E663" t="s">
        <v>2118</v>
      </c>
      <c r="F663" t="s">
        <v>281</v>
      </c>
      <c r="G663" t="s">
        <v>282</v>
      </c>
      <c r="H663" t="s">
        <v>6</v>
      </c>
      <c r="I663" t="s">
        <v>2117</v>
      </c>
      <c r="J663" t="s">
        <v>2109</v>
      </c>
      <c r="K663">
        <v>918.78499999999997</v>
      </c>
      <c r="L663">
        <f t="shared" si="20"/>
        <v>91878.5</v>
      </c>
      <c r="M663">
        <f t="shared" si="21"/>
        <v>18375.7</v>
      </c>
    </row>
    <row r="664" spans="1:13" x14ac:dyDescent="0.3">
      <c r="A664">
        <v>663</v>
      </c>
      <c r="B664" t="s">
        <v>831</v>
      </c>
      <c r="C664" s="1">
        <v>42606</v>
      </c>
      <c r="D664" s="1">
        <v>42610</v>
      </c>
      <c r="E664" t="s">
        <v>2118</v>
      </c>
      <c r="F664" t="s">
        <v>281</v>
      </c>
      <c r="G664" t="s">
        <v>282</v>
      </c>
      <c r="H664" t="s">
        <v>6</v>
      </c>
      <c r="I664" t="s">
        <v>2117</v>
      </c>
      <c r="J664" t="s">
        <v>2110</v>
      </c>
      <c r="K664">
        <v>2.7240000000000002</v>
      </c>
      <c r="L664">
        <f t="shared" si="20"/>
        <v>272.40000000000003</v>
      </c>
      <c r="M664">
        <f t="shared" si="21"/>
        <v>54.480000000000011</v>
      </c>
    </row>
    <row r="665" spans="1:13" x14ac:dyDescent="0.3">
      <c r="A665">
        <v>664</v>
      </c>
      <c r="B665" t="s">
        <v>832</v>
      </c>
      <c r="C665" s="1">
        <v>42820</v>
      </c>
      <c r="D665" s="1">
        <v>42824</v>
      </c>
      <c r="E665" t="s">
        <v>2118</v>
      </c>
      <c r="F665" t="s">
        <v>833</v>
      </c>
      <c r="G665" t="s">
        <v>834</v>
      </c>
      <c r="H665" t="s">
        <v>10</v>
      </c>
      <c r="I665" t="s">
        <v>2114</v>
      </c>
      <c r="J665" t="s">
        <v>2110</v>
      </c>
      <c r="K665">
        <v>459.95</v>
      </c>
      <c r="L665">
        <f t="shared" si="20"/>
        <v>45995</v>
      </c>
      <c r="M665">
        <f t="shared" si="21"/>
        <v>9199</v>
      </c>
    </row>
    <row r="666" spans="1:13" x14ac:dyDescent="0.3">
      <c r="A666">
        <v>665</v>
      </c>
      <c r="B666" t="s">
        <v>835</v>
      </c>
      <c r="C666" s="1">
        <v>43043</v>
      </c>
      <c r="D666" s="1">
        <v>43043</v>
      </c>
      <c r="E666" t="s">
        <v>2120</v>
      </c>
      <c r="F666" t="s">
        <v>360</v>
      </c>
      <c r="G666" t="s">
        <v>361</v>
      </c>
      <c r="H666" t="s">
        <v>6</v>
      </c>
      <c r="I666" t="s">
        <v>2115</v>
      </c>
      <c r="J666" t="s">
        <v>2110</v>
      </c>
      <c r="K666">
        <v>10.74</v>
      </c>
      <c r="L666">
        <f t="shared" si="20"/>
        <v>1074</v>
      </c>
      <c r="M666">
        <f t="shared" si="21"/>
        <v>214.8</v>
      </c>
    </row>
    <row r="667" spans="1:13" x14ac:dyDescent="0.3">
      <c r="A667">
        <v>666</v>
      </c>
      <c r="B667" t="s">
        <v>836</v>
      </c>
      <c r="C667" s="1">
        <v>43259</v>
      </c>
      <c r="D667" s="1">
        <v>43261</v>
      </c>
      <c r="E667" t="s">
        <v>2119</v>
      </c>
      <c r="F667" t="s">
        <v>837</v>
      </c>
      <c r="G667" t="s">
        <v>838</v>
      </c>
      <c r="H667" t="s">
        <v>10</v>
      </c>
      <c r="I667" t="s">
        <v>2117</v>
      </c>
      <c r="J667" t="s">
        <v>2110</v>
      </c>
      <c r="K667">
        <v>23.76</v>
      </c>
      <c r="L667">
        <f t="shared" si="20"/>
        <v>2376</v>
      </c>
      <c r="M667">
        <f t="shared" si="21"/>
        <v>475.20000000000005</v>
      </c>
    </row>
    <row r="668" spans="1:13" x14ac:dyDescent="0.3">
      <c r="A668">
        <v>667</v>
      </c>
      <c r="B668" t="s">
        <v>836</v>
      </c>
      <c r="C668" s="1">
        <v>43259</v>
      </c>
      <c r="D668" s="1">
        <v>43261</v>
      </c>
      <c r="E668" t="s">
        <v>2119</v>
      </c>
      <c r="F668" t="s">
        <v>837</v>
      </c>
      <c r="G668" t="s">
        <v>838</v>
      </c>
      <c r="H668" t="s">
        <v>10</v>
      </c>
      <c r="I668" t="s">
        <v>2117</v>
      </c>
      <c r="J668" t="s">
        <v>2110</v>
      </c>
      <c r="K668">
        <v>85.055999999999997</v>
      </c>
      <c r="L668">
        <f t="shared" si="20"/>
        <v>8505.6</v>
      </c>
      <c r="M668">
        <f t="shared" si="21"/>
        <v>1701.1200000000001</v>
      </c>
    </row>
    <row r="669" spans="1:13" x14ac:dyDescent="0.3">
      <c r="A669">
        <v>668</v>
      </c>
      <c r="B669" t="s">
        <v>836</v>
      </c>
      <c r="C669" s="1">
        <v>43259</v>
      </c>
      <c r="D669" s="1">
        <v>43261</v>
      </c>
      <c r="E669" t="s">
        <v>2119</v>
      </c>
      <c r="F669" t="s">
        <v>837</v>
      </c>
      <c r="G669" t="s">
        <v>838</v>
      </c>
      <c r="H669" t="s">
        <v>10</v>
      </c>
      <c r="I669" t="s">
        <v>2117</v>
      </c>
      <c r="J669" t="s">
        <v>2111</v>
      </c>
      <c r="K669">
        <v>381.57600000000002</v>
      </c>
      <c r="L669">
        <f t="shared" si="20"/>
        <v>38157.600000000006</v>
      </c>
      <c r="M669">
        <f t="shared" si="21"/>
        <v>7631.5200000000013</v>
      </c>
    </row>
    <row r="670" spans="1:13" x14ac:dyDescent="0.3">
      <c r="A670">
        <v>669</v>
      </c>
      <c r="B670" t="s">
        <v>839</v>
      </c>
      <c r="C670" s="1">
        <v>42362</v>
      </c>
      <c r="D670" s="1">
        <v>42364</v>
      </c>
      <c r="E670" t="s">
        <v>2120</v>
      </c>
      <c r="F670" t="s">
        <v>840</v>
      </c>
      <c r="G670" t="s">
        <v>841</v>
      </c>
      <c r="H670" t="s">
        <v>6</v>
      </c>
      <c r="I670" t="s">
        <v>2114</v>
      </c>
      <c r="J670" t="s">
        <v>2109</v>
      </c>
      <c r="K670">
        <v>30.36</v>
      </c>
      <c r="L670">
        <f t="shared" si="20"/>
        <v>3036</v>
      </c>
      <c r="M670">
        <f t="shared" si="21"/>
        <v>607.20000000000005</v>
      </c>
    </row>
    <row r="671" spans="1:13" x14ac:dyDescent="0.3">
      <c r="A671">
        <v>670</v>
      </c>
      <c r="B671" t="s">
        <v>842</v>
      </c>
      <c r="C671" s="1">
        <v>43260</v>
      </c>
      <c r="D671" s="1">
        <v>43264</v>
      </c>
      <c r="E671" t="s">
        <v>2118</v>
      </c>
      <c r="F671" t="s">
        <v>787</v>
      </c>
      <c r="G671" t="s">
        <v>788</v>
      </c>
      <c r="H671" t="s">
        <v>26</v>
      </c>
      <c r="I671" t="s">
        <v>2117</v>
      </c>
      <c r="J671" t="s">
        <v>2109</v>
      </c>
      <c r="K671">
        <v>23.975999999999999</v>
      </c>
      <c r="L671">
        <f t="shared" si="20"/>
        <v>2397.6</v>
      </c>
      <c r="M671">
        <f t="shared" si="21"/>
        <v>479.52</v>
      </c>
    </row>
    <row r="672" spans="1:13" x14ac:dyDescent="0.3">
      <c r="A672">
        <v>671</v>
      </c>
      <c r="B672" t="s">
        <v>842</v>
      </c>
      <c r="C672" s="1">
        <v>43260</v>
      </c>
      <c r="D672" s="1">
        <v>43264</v>
      </c>
      <c r="E672" t="s">
        <v>2118</v>
      </c>
      <c r="F672" t="s">
        <v>787</v>
      </c>
      <c r="G672" t="s">
        <v>788</v>
      </c>
      <c r="H672" t="s">
        <v>26</v>
      </c>
      <c r="I672" t="s">
        <v>2117</v>
      </c>
      <c r="J672" t="s">
        <v>2109</v>
      </c>
      <c r="K672">
        <v>108.925</v>
      </c>
      <c r="L672">
        <f t="shared" si="20"/>
        <v>10892.5</v>
      </c>
      <c r="M672">
        <f t="shared" si="21"/>
        <v>2178.5</v>
      </c>
    </row>
    <row r="673" spans="1:13" x14ac:dyDescent="0.3">
      <c r="A673">
        <v>672</v>
      </c>
      <c r="B673" t="s">
        <v>842</v>
      </c>
      <c r="C673" s="1">
        <v>43260</v>
      </c>
      <c r="D673" s="1">
        <v>43264</v>
      </c>
      <c r="E673" t="s">
        <v>2118</v>
      </c>
      <c r="F673" t="s">
        <v>787</v>
      </c>
      <c r="G673" t="s">
        <v>788</v>
      </c>
      <c r="H673" t="s">
        <v>26</v>
      </c>
      <c r="I673" t="s">
        <v>2117</v>
      </c>
      <c r="J673" t="s">
        <v>2110</v>
      </c>
      <c r="K673">
        <v>36.351999999999997</v>
      </c>
      <c r="L673">
        <f t="shared" si="20"/>
        <v>3635.2</v>
      </c>
      <c r="M673">
        <f t="shared" si="21"/>
        <v>727.04</v>
      </c>
    </row>
    <row r="674" spans="1:13" x14ac:dyDescent="0.3">
      <c r="A674">
        <v>673</v>
      </c>
      <c r="B674" t="s">
        <v>843</v>
      </c>
      <c r="C674" s="1">
        <v>43266</v>
      </c>
      <c r="D674" s="1">
        <v>43273</v>
      </c>
      <c r="E674" t="s">
        <v>2118</v>
      </c>
      <c r="F674" t="s">
        <v>451</v>
      </c>
      <c r="G674" t="s">
        <v>452</v>
      </c>
      <c r="H674" t="s">
        <v>6</v>
      </c>
      <c r="I674" t="s">
        <v>2117</v>
      </c>
      <c r="J674" t="s">
        <v>2110</v>
      </c>
      <c r="K674">
        <v>19.559999999999999</v>
      </c>
      <c r="L674">
        <f t="shared" si="20"/>
        <v>1955.9999999999998</v>
      </c>
      <c r="M674">
        <f t="shared" si="21"/>
        <v>391.2</v>
      </c>
    </row>
    <row r="675" spans="1:13" x14ac:dyDescent="0.3">
      <c r="A675">
        <v>674</v>
      </c>
      <c r="B675" t="s">
        <v>844</v>
      </c>
      <c r="C675" s="1">
        <v>43439</v>
      </c>
      <c r="D675" s="1">
        <v>43442</v>
      </c>
      <c r="E675" t="s">
        <v>2120</v>
      </c>
      <c r="F675" t="s">
        <v>845</v>
      </c>
      <c r="G675" t="s">
        <v>846</v>
      </c>
      <c r="H675" t="s">
        <v>6</v>
      </c>
      <c r="I675" t="s">
        <v>2117</v>
      </c>
      <c r="J675" t="s">
        <v>2110</v>
      </c>
      <c r="K675">
        <v>61.44</v>
      </c>
      <c r="L675">
        <f t="shared" si="20"/>
        <v>6144</v>
      </c>
      <c r="M675">
        <f t="shared" si="21"/>
        <v>1228.8000000000002</v>
      </c>
    </row>
    <row r="676" spans="1:13" x14ac:dyDescent="0.3">
      <c r="A676">
        <v>675</v>
      </c>
      <c r="B676" t="s">
        <v>844</v>
      </c>
      <c r="C676" s="1">
        <v>43439</v>
      </c>
      <c r="D676" s="1">
        <v>43442</v>
      </c>
      <c r="E676" t="s">
        <v>2120</v>
      </c>
      <c r="F676" t="s">
        <v>845</v>
      </c>
      <c r="G676" t="s">
        <v>846</v>
      </c>
      <c r="H676" t="s">
        <v>6</v>
      </c>
      <c r="I676" t="s">
        <v>2117</v>
      </c>
      <c r="J676" t="s">
        <v>2110</v>
      </c>
      <c r="K676">
        <v>38.9</v>
      </c>
      <c r="L676">
        <f t="shared" si="20"/>
        <v>3890</v>
      </c>
      <c r="M676">
        <f t="shared" si="21"/>
        <v>778</v>
      </c>
    </row>
    <row r="677" spans="1:13" x14ac:dyDescent="0.3">
      <c r="A677">
        <v>676</v>
      </c>
      <c r="B677" t="s">
        <v>844</v>
      </c>
      <c r="C677" s="1">
        <v>43439</v>
      </c>
      <c r="D677" s="1">
        <v>43442</v>
      </c>
      <c r="E677" t="s">
        <v>2120</v>
      </c>
      <c r="F677" t="s">
        <v>845</v>
      </c>
      <c r="G677" t="s">
        <v>846</v>
      </c>
      <c r="H677" t="s">
        <v>6</v>
      </c>
      <c r="I677" t="s">
        <v>2117</v>
      </c>
      <c r="J677" t="s">
        <v>2111</v>
      </c>
      <c r="K677">
        <v>99.39</v>
      </c>
      <c r="L677">
        <f t="shared" si="20"/>
        <v>9939</v>
      </c>
      <c r="M677">
        <f t="shared" si="21"/>
        <v>1987.8000000000002</v>
      </c>
    </row>
    <row r="678" spans="1:13" x14ac:dyDescent="0.3">
      <c r="A678">
        <v>677</v>
      </c>
      <c r="B678" t="s">
        <v>847</v>
      </c>
      <c r="C678" s="1">
        <v>43177</v>
      </c>
      <c r="D678" s="1">
        <v>43182</v>
      </c>
      <c r="E678" t="s">
        <v>2118</v>
      </c>
      <c r="F678" t="s">
        <v>848</v>
      </c>
      <c r="G678" t="s">
        <v>849</v>
      </c>
      <c r="H678" t="s">
        <v>6</v>
      </c>
      <c r="I678" t="s">
        <v>2117</v>
      </c>
      <c r="J678" t="s">
        <v>2110</v>
      </c>
      <c r="K678">
        <v>2.6880000000000002</v>
      </c>
      <c r="L678">
        <f t="shared" si="20"/>
        <v>268.8</v>
      </c>
      <c r="M678">
        <f t="shared" si="21"/>
        <v>53.760000000000005</v>
      </c>
    </row>
    <row r="679" spans="1:13" x14ac:dyDescent="0.3">
      <c r="A679">
        <v>678</v>
      </c>
      <c r="B679" t="s">
        <v>847</v>
      </c>
      <c r="C679" s="1">
        <v>43177</v>
      </c>
      <c r="D679" s="1">
        <v>43182</v>
      </c>
      <c r="E679" t="s">
        <v>2118</v>
      </c>
      <c r="F679" t="s">
        <v>848</v>
      </c>
      <c r="G679" t="s">
        <v>849</v>
      </c>
      <c r="H679" t="s">
        <v>6</v>
      </c>
      <c r="I679" t="s">
        <v>2117</v>
      </c>
      <c r="J679" t="s">
        <v>2111</v>
      </c>
      <c r="K679">
        <v>27.815999999999999</v>
      </c>
      <c r="L679">
        <f t="shared" si="20"/>
        <v>2781.6</v>
      </c>
      <c r="M679">
        <f t="shared" si="21"/>
        <v>556.32000000000005</v>
      </c>
    </row>
    <row r="680" spans="1:13" x14ac:dyDescent="0.3">
      <c r="A680">
        <v>679</v>
      </c>
      <c r="B680" t="s">
        <v>847</v>
      </c>
      <c r="C680" s="1">
        <v>43177</v>
      </c>
      <c r="D680" s="1">
        <v>43182</v>
      </c>
      <c r="E680" t="s">
        <v>2118</v>
      </c>
      <c r="F680" t="s">
        <v>848</v>
      </c>
      <c r="G680" t="s">
        <v>849</v>
      </c>
      <c r="H680" t="s">
        <v>6</v>
      </c>
      <c r="I680" t="s">
        <v>2117</v>
      </c>
      <c r="J680" t="s">
        <v>2109</v>
      </c>
      <c r="K680">
        <v>82.524000000000001</v>
      </c>
      <c r="L680">
        <f t="shared" si="20"/>
        <v>8252.4</v>
      </c>
      <c r="M680">
        <f t="shared" si="21"/>
        <v>1650.48</v>
      </c>
    </row>
    <row r="681" spans="1:13" x14ac:dyDescent="0.3">
      <c r="A681">
        <v>680</v>
      </c>
      <c r="B681" t="s">
        <v>847</v>
      </c>
      <c r="C681" s="1">
        <v>43177</v>
      </c>
      <c r="D681" s="1">
        <v>43182</v>
      </c>
      <c r="E681" t="s">
        <v>2118</v>
      </c>
      <c r="F681" t="s">
        <v>848</v>
      </c>
      <c r="G681" t="s">
        <v>849</v>
      </c>
      <c r="H681" t="s">
        <v>6</v>
      </c>
      <c r="I681" t="s">
        <v>2117</v>
      </c>
      <c r="J681" t="s">
        <v>2110</v>
      </c>
      <c r="K681">
        <v>182.994</v>
      </c>
      <c r="L681">
        <f t="shared" si="20"/>
        <v>18299.400000000001</v>
      </c>
      <c r="M681">
        <f t="shared" si="21"/>
        <v>3659.8800000000006</v>
      </c>
    </row>
    <row r="682" spans="1:13" x14ac:dyDescent="0.3">
      <c r="A682">
        <v>681</v>
      </c>
      <c r="B682" t="s">
        <v>850</v>
      </c>
      <c r="C682" s="1">
        <v>43058</v>
      </c>
      <c r="D682" s="1">
        <v>43063</v>
      </c>
      <c r="E682" t="s">
        <v>2118</v>
      </c>
      <c r="F682" t="s">
        <v>851</v>
      </c>
      <c r="G682" t="s">
        <v>852</v>
      </c>
      <c r="H682" t="s">
        <v>6</v>
      </c>
      <c r="I682" t="s">
        <v>2114</v>
      </c>
      <c r="J682" t="s">
        <v>2110</v>
      </c>
      <c r="K682">
        <v>14.352</v>
      </c>
      <c r="L682">
        <f t="shared" si="20"/>
        <v>1435.2</v>
      </c>
      <c r="M682">
        <f t="shared" si="21"/>
        <v>287.04000000000002</v>
      </c>
    </row>
    <row r="683" spans="1:13" x14ac:dyDescent="0.3">
      <c r="A683">
        <v>682</v>
      </c>
      <c r="B683" t="s">
        <v>850</v>
      </c>
      <c r="C683" s="1">
        <v>43058</v>
      </c>
      <c r="D683" s="1">
        <v>43063</v>
      </c>
      <c r="E683" t="s">
        <v>2118</v>
      </c>
      <c r="F683" t="s">
        <v>851</v>
      </c>
      <c r="G683" t="s">
        <v>852</v>
      </c>
      <c r="H683" t="s">
        <v>6</v>
      </c>
      <c r="I683" t="s">
        <v>2114</v>
      </c>
      <c r="J683" t="s">
        <v>2110</v>
      </c>
      <c r="K683">
        <v>64.959999999999994</v>
      </c>
      <c r="L683">
        <f t="shared" si="20"/>
        <v>6495.9999999999991</v>
      </c>
      <c r="M683">
        <f t="shared" si="21"/>
        <v>1299.1999999999998</v>
      </c>
    </row>
    <row r="684" spans="1:13" x14ac:dyDescent="0.3">
      <c r="A684">
        <v>683</v>
      </c>
      <c r="B684" t="s">
        <v>850</v>
      </c>
      <c r="C684" s="1">
        <v>43058</v>
      </c>
      <c r="D684" s="1">
        <v>43063</v>
      </c>
      <c r="E684" t="s">
        <v>2118</v>
      </c>
      <c r="F684" t="s">
        <v>851</v>
      </c>
      <c r="G684" t="s">
        <v>852</v>
      </c>
      <c r="H684" t="s">
        <v>6</v>
      </c>
      <c r="I684" t="s">
        <v>2114</v>
      </c>
      <c r="J684" t="s">
        <v>2110</v>
      </c>
      <c r="K684">
        <v>68.599999999999994</v>
      </c>
      <c r="L684">
        <f t="shared" si="20"/>
        <v>6859.9999999999991</v>
      </c>
      <c r="M684">
        <f t="shared" si="21"/>
        <v>1372</v>
      </c>
    </row>
    <row r="685" spans="1:13" x14ac:dyDescent="0.3">
      <c r="A685">
        <v>684</v>
      </c>
      <c r="B685" t="s">
        <v>853</v>
      </c>
      <c r="C685" s="1">
        <v>43408</v>
      </c>
      <c r="D685" s="1">
        <v>43408</v>
      </c>
      <c r="E685" t="s">
        <v>2120</v>
      </c>
      <c r="F685" t="s">
        <v>854</v>
      </c>
      <c r="G685" t="s">
        <v>855</v>
      </c>
      <c r="H685" t="s">
        <v>10</v>
      </c>
      <c r="I685" t="s">
        <v>2115</v>
      </c>
      <c r="J685" t="s">
        <v>2111</v>
      </c>
      <c r="K685">
        <v>7999.98</v>
      </c>
      <c r="L685">
        <f t="shared" si="20"/>
        <v>799998</v>
      </c>
      <c r="M685">
        <f t="shared" si="21"/>
        <v>159999.6</v>
      </c>
    </row>
    <row r="686" spans="1:13" x14ac:dyDescent="0.3">
      <c r="A686">
        <v>685</v>
      </c>
      <c r="B686" t="s">
        <v>853</v>
      </c>
      <c r="C686" s="1">
        <v>43408</v>
      </c>
      <c r="D686" s="1">
        <v>43408</v>
      </c>
      <c r="E686" t="s">
        <v>2120</v>
      </c>
      <c r="F686" t="s">
        <v>854</v>
      </c>
      <c r="G686" t="s">
        <v>855</v>
      </c>
      <c r="H686" t="s">
        <v>10</v>
      </c>
      <c r="I686" t="s">
        <v>2115</v>
      </c>
      <c r="J686" t="s">
        <v>2110</v>
      </c>
      <c r="K686">
        <v>167.44</v>
      </c>
      <c r="L686">
        <f t="shared" si="20"/>
        <v>16744</v>
      </c>
      <c r="M686">
        <f t="shared" si="21"/>
        <v>3348.8</v>
      </c>
    </row>
    <row r="687" spans="1:13" x14ac:dyDescent="0.3">
      <c r="A687">
        <v>686</v>
      </c>
      <c r="B687" t="s">
        <v>856</v>
      </c>
      <c r="C687" s="1">
        <v>42190</v>
      </c>
      <c r="D687" s="1">
        <v>42193</v>
      </c>
      <c r="E687" t="s">
        <v>2120</v>
      </c>
      <c r="F687" t="s">
        <v>857</v>
      </c>
      <c r="G687" t="s">
        <v>858</v>
      </c>
      <c r="H687" t="s">
        <v>6</v>
      </c>
      <c r="I687" t="s">
        <v>2115</v>
      </c>
      <c r="J687" t="s">
        <v>2111</v>
      </c>
      <c r="K687">
        <v>479.97</v>
      </c>
      <c r="L687">
        <f t="shared" si="20"/>
        <v>47997</v>
      </c>
      <c r="M687">
        <f t="shared" si="21"/>
        <v>9599.4</v>
      </c>
    </row>
    <row r="688" spans="1:13" x14ac:dyDescent="0.3">
      <c r="A688">
        <v>687</v>
      </c>
      <c r="B688" t="s">
        <v>856</v>
      </c>
      <c r="C688" s="1">
        <v>42190</v>
      </c>
      <c r="D688" s="1">
        <v>42193</v>
      </c>
      <c r="E688" t="s">
        <v>2120</v>
      </c>
      <c r="F688" t="s">
        <v>857</v>
      </c>
      <c r="G688" t="s">
        <v>858</v>
      </c>
      <c r="H688" t="s">
        <v>6</v>
      </c>
      <c r="I688" t="s">
        <v>2115</v>
      </c>
      <c r="J688" t="s">
        <v>2110</v>
      </c>
      <c r="K688">
        <v>14.62</v>
      </c>
      <c r="L688">
        <f t="shared" si="20"/>
        <v>1462</v>
      </c>
      <c r="M688">
        <f t="shared" si="21"/>
        <v>292.40000000000003</v>
      </c>
    </row>
    <row r="689" spans="1:13" x14ac:dyDescent="0.3">
      <c r="A689">
        <v>688</v>
      </c>
      <c r="B689" t="s">
        <v>856</v>
      </c>
      <c r="C689" s="1">
        <v>42190</v>
      </c>
      <c r="D689" s="1">
        <v>42193</v>
      </c>
      <c r="E689" t="s">
        <v>2120</v>
      </c>
      <c r="F689" t="s">
        <v>857</v>
      </c>
      <c r="G689" t="s">
        <v>858</v>
      </c>
      <c r="H689" t="s">
        <v>6</v>
      </c>
      <c r="I689" t="s">
        <v>2115</v>
      </c>
      <c r="J689" t="s">
        <v>2110</v>
      </c>
      <c r="K689">
        <v>19.440000000000001</v>
      </c>
      <c r="L689">
        <f t="shared" si="20"/>
        <v>1944.0000000000002</v>
      </c>
      <c r="M689">
        <f t="shared" si="21"/>
        <v>388.80000000000007</v>
      </c>
    </row>
    <row r="690" spans="1:13" x14ac:dyDescent="0.3">
      <c r="A690">
        <v>689</v>
      </c>
      <c r="B690" t="s">
        <v>859</v>
      </c>
      <c r="C690" s="1">
        <v>43459</v>
      </c>
      <c r="D690" s="1">
        <v>43463</v>
      </c>
      <c r="E690" t="s">
        <v>2118</v>
      </c>
      <c r="F690" t="s">
        <v>860</v>
      </c>
      <c r="G690" t="s">
        <v>861</v>
      </c>
      <c r="H690" t="s">
        <v>6</v>
      </c>
      <c r="I690" t="s">
        <v>2114</v>
      </c>
      <c r="J690" t="s">
        <v>2109</v>
      </c>
      <c r="K690">
        <v>191.98400000000001</v>
      </c>
      <c r="L690">
        <f t="shared" si="20"/>
        <v>19198.400000000001</v>
      </c>
      <c r="M690">
        <f t="shared" si="21"/>
        <v>3839.6800000000003</v>
      </c>
    </row>
    <row r="691" spans="1:13" x14ac:dyDescent="0.3">
      <c r="A691">
        <v>690</v>
      </c>
      <c r="B691" t="s">
        <v>862</v>
      </c>
      <c r="C691" s="1">
        <v>42176</v>
      </c>
      <c r="D691" s="1">
        <v>42178</v>
      </c>
      <c r="E691" t="s">
        <v>2119</v>
      </c>
      <c r="F691" t="s">
        <v>863</v>
      </c>
      <c r="G691" t="s">
        <v>864</v>
      </c>
      <c r="H691" t="s">
        <v>6</v>
      </c>
      <c r="I691" t="s">
        <v>2115</v>
      </c>
      <c r="J691" t="s">
        <v>2109</v>
      </c>
      <c r="K691">
        <v>104.01</v>
      </c>
      <c r="L691">
        <f t="shared" si="20"/>
        <v>10401</v>
      </c>
      <c r="M691">
        <f t="shared" si="21"/>
        <v>2080.2000000000003</v>
      </c>
    </row>
    <row r="692" spans="1:13" x14ac:dyDescent="0.3">
      <c r="A692">
        <v>691</v>
      </c>
      <c r="B692" t="s">
        <v>862</v>
      </c>
      <c r="C692" s="1">
        <v>42176</v>
      </c>
      <c r="D692" s="1">
        <v>42178</v>
      </c>
      <c r="E692" t="s">
        <v>2119</v>
      </c>
      <c r="F692" t="s">
        <v>863</v>
      </c>
      <c r="G692" t="s">
        <v>864</v>
      </c>
      <c r="H692" t="s">
        <v>6</v>
      </c>
      <c r="I692" t="s">
        <v>2115</v>
      </c>
      <c r="J692" t="s">
        <v>2111</v>
      </c>
      <c r="K692">
        <v>284.82</v>
      </c>
      <c r="L692">
        <f t="shared" si="20"/>
        <v>28482</v>
      </c>
      <c r="M692">
        <f t="shared" si="21"/>
        <v>5696.4000000000005</v>
      </c>
    </row>
    <row r="693" spans="1:13" x14ac:dyDescent="0.3">
      <c r="A693">
        <v>692</v>
      </c>
      <c r="B693" t="s">
        <v>862</v>
      </c>
      <c r="C693" s="1">
        <v>42176</v>
      </c>
      <c r="D693" s="1">
        <v>42178</v>
      </c>
      <c r="E693" t="s">
        <v>2119</v>
      </c>
      <c r="F693" t="s">
        <v>863</v>
      </c>
      <c r="G693" t="s">
        <v>864</v>
      </c>
      <c r="H693" t="s">
        <v>6</v>
      </c>
      <c r="I693" t="s">
        <v>2115</v>
      </c>
      <c r="J693" t="s">
        <v>2110</v>
      </c>
      <c r="K693">
        <v>36.840000000000003</v>
      </c>
      <c r="L693">
        <f t="shared" si="20"/>
        <v>3684.0000000000005</v>
      </c>
      <c r="M693">
        <f t="shared" si="21"/>
        <v>736.80000000000018</v>
      </c>
    </row>
    <row r="694" spans="1:13" x14ac:dyDescent="0.3">
      <c r="A694">
        <v>693</v>
      </c>
      <c r="B694" t="s">
        <v>865</v>
      </c>
      <c r="C694" s="1">
        <v>42457</v>
      </c>
      <c r="D694" s="1">
        <v>42462</v>
      </c>
      <c r="E694" t="s">
        <v>2118</v>
      </c>
      <c r="F694" t="s">
        <v>866</v>
      </c>
      <c r="G694" t="s">
        <v>867</v>
      </c>
      <c r="H694" t="s">
        <v>6</v>
      </c>
      <c r="I694" t="s">
        <v>2112</v>
      </c>
      <c r="J694" t="s">
        <v>2111</v>
      </c>
      <c r="K694">
        <v>166.24</v>
      </c>
      <c r="L694">
        <f t="shared" si="20"/>
        <v>16624</v>
      </c>
      <c r="M694">
        <f t="shared" si="21"/>
        <v>3324.8</v>
      </c>
    </row>
    <row r="695" spans="1:13" x14ac:dyDescent="0.3">
      <c r="A695">
        <v>694</v>
      </c>
      <c r="B695" t="s">
        <v>865</v>
      </c>
      <c r="C695" s="1">
        <v>42457</v>
      </c>
      <c r="D695" s="1">
        <v>42462</v>
      </c>
      <c r="E695" t="s">
        <v>2118</v>
      </c>
      <c r="F695" t="s">
        <v>866</v>
      </c>
      <c r="G695" t="s">
        <v>867</v>
      </c>
      <c r="H695" t="s">
        <v>6</v>
      </c>
      <c r="I695" t="s">
        <v>2112</v>
      </c>
      <c r="J695" t="s">
        <v>2110</v>
      </c>
      <c r="K695">
        <v>33.4</v>
      </c>
      <c r="L695">
        <f t="shared" si="20"/>
        <v>3340</v>
      </c>
      <c r="M695">
        <f t="shared" si="21"/>
        <v>668</v>
      </c>
    </row>
    <row r="696" spans="1:13" x14ac:dyDescent="0.3">
      <c r="A696">
        <v>695</v>
      </c>
      <c r="B696" t="s">
        <v>868</v>
      </c>
      <c r="C696" s="1">
        <v>42504</v>
      </c>
      <c r="D696" s="1">
        <v>42507</v>
      </c>
      <c r="E696" t="s">
        <v>2120</v>
      </c>
      <c r="F696" t="s">
        <v>869</v>
      </c>
      <c r="G696" t="s">
        <v>870</v>
      </c>
      <c r="H696" t="s">
        <v>26</v>
      </c>
      <c r="I696" t="s">
        <v>2114</v>
      </c>
      <c r="J696" t="s">
        <v>2110</v>
      </c>
      <c r="K696">
        <v>198.27199999999999</v>
      </c>
      <c r="L696">
        <f t="shared" si="20"/>
        <v>19827.2</v>
      </c>
      <c r="M696">
        <f t="shared" si="21"/>
        <v>3965.4400000000005</v>
      </c>
    </row>
    <row r="697" spans="1:13" x14ac:dyDescent="0.3">
      <c r="A697">
        <v>696</v>
      </c>
      <c r="B697" t="s">
        <v>868</v>
      </c>
      <c r="C697" s="1">
        <v>42504</v>
      </c>
      <c r="D697" s="1">
        <v>42507</v>
      </c>
      <c r="E697" t="s">
        <v>2120</v>
      </c>
      <c r="F697" t="s">
        <v>869</v>
      </c>
      <c r="G697" t="s">
        <v>870</v>
      </c>
      <c r="H697" t="s">
        <v>26</v>
      </c>
      <c r="I697" t="s">
        <v>2114</v>
      </c>
      <c r="J697" t="s">
        <v>2110</v>
      </c>
      <c r="K697">
        <v>47.36</v>
      </c>
      <c r="L697">
        <f t="shared" si="20"/>
        <v>4736</v>
      </c>
      <c r="M697">
        <f t="shared" si="21"/>
        <v>947.2</v>
      </c>
    </row>
    <row r="698" spans="1:13" x14ac:dyDescent="0.3">
      <c r="A698">
        <v>697</v>
      </c>
      <c r="B698" t="s">
        <v>868</v>
      </c>
      <c r="C698" s="1">
        <v>42504</v>
      </c>
      <c r="D698" s="1">
        <v>42507</v>
      </c>
      <c r="E698" t="s">
        <v>2120</v>
      </c>
      <c r="F698" t="s">
        <v>869</v>
      </c>
      <c r="G698" t="s">
        <v>870</v>
      </c>
      <c r="H698" t="s">
        <v>26</v>
      </c>
      <c r="I698" t="s">
        <v>2114</v>
      </c>
      <c r="J698" t="s">
        <v>2110</v>
      </c>
      <c r="K698">
        <v>200.98400000000001</v>
      </c>
      <c r="L698">
        <f t="shared" si="20"/>
        <v>20098.400000000001</v>
      </c>
      <c r="M698">
        <f t="shared" si="21"/>
        <v>4019.6800000000003</v>
      </c>
    </row>
    <row r="699" spans="1:13" x14ac:dyDescent="0.3">
      <c r="A699">
        <v>698</v>
      </c>
      <c r="B699" t="s">
        <v>868</v>
      </c>
      <c r="C699" s="1">
        <v>42504</v>
      </c>
      <c r="D699" s="1">
        <v>42507</v>
      </c>
      <c r="E699" t="s">
        <v>2120</v>
      </c>
      <c r="F699" t="s">
        <v>869</v>
      </c>
      <c r="G699" t="s">
        <v>870</v>
      </c>
      <c r="H699" t="s">
        <v>26</v>
      </c>
      <c r="I699" t="s">
        <v>2114</v>
      </c>
      <c r="J699" t="s">
        <v>2110</v>
      </c>
      <c r="K699">
        <v>97.695999999999998</v>
      </c>
      <c r="L699">
        <f t="shared" si="20"/>
        <v>9769.6</v>
      </c>
      <c r="M699">
        <f t="shared" si="21"/>
        <v>1953.92</v>
      </c>
    </row>
    <row r="700" spans="1:13" x14ac:dyDescent="0.3">
      <c r="A700">
        <v>699</v>
      </c>
      <c r="B700" t="s">
        <v>868</v>
      </c>
      <c r="C700" s="1">
        <v>42504</v>
      </c>
      <c r="D700" s="1">
        <v>42507</v>
      </c>
      <c r="E700" t="s">
        <v>2120</v>
      </c>
      <c r="F700" t="s">
        <v>869</v>
      </c>
      <c r="G700" t="s">
        <v>870</v>
      </c>
      <c r="H700" t="s">
        <v>26</v>
      </c>
      <c r="I700" t="s">
        <v>2114</v>
      </c>
      <c r="J700" t="s">
        <v>2110</v>
      </c>
      <c r="K700">
        <v>2.6960000000000002</v>
      </c>
      <c r="L700">
        <f t="shared" si="20"/>
        <v>269.60000000000002</v>
      </c>
      <c r="M700">
        <f t="shared" si="21"/>
        <v>53.920000000000009</v>
      </c>
    </row>
    <row r="701" spans="1:13" x14ac:dyDescent="0.3">
      <c r="A701">
        <v>700</v>
      </c>
      <c r="B701" t="s">
        <v>868</v>
      </c>
      <c r="C701" s="1">
        <v>42504</v>
      </c>
      <c r="D701" s="1">
        <v>42507</v>
      </c>
      <c r="E701" t="s">
        <v>2120</v>
      </c>
      <c r="F701" t="s">
        <v>869</v>
      </c>
      <c r="G701" t="s">
        <v>870</v>
      </c>
      <c r="H701" t="s">
        <v>26</v>
      </c>
      <c r="I701" t="s">
        <v>2114</v>
      </c>
      <c r="J701" t="s">
        <v>2110</v>
      </c>
      <c r="K701">
        <v>18.588000000000001</v>
      </c>
      <c r="L701">
        <f t="shared" si="20"/>
        <v>1858.8000000000002</v>
      </c>
      <c r="M701">
        <f t="shared" si="21"/>
        <v>371.76000000000005</v>
      </c>
    </row>
    <row r="702" spans="1:13" x14ac:dyDescent="0.3">
      <c r="A702">
        <v>701</v>
      </c>
      <c r="B702" t="s">
        <v>868</v>
      </c>
      <c r="C702" s="1">
        <v>42504</v>
      </c>
      <c r="D702" s="1">
        <v>42507</v>
      </c>
      <c r="E702" t="s">
        <v>2120</v>
      </c>
      <c r="F702" t="s">
        <v>869</v>
      </c>
      <c r="G702" t="s">
        <v>870</v>
      </c>
      <c r="H702" t="s">
        <v>26</v>
      </c>
      <c r="I702" t="s">
        <v>2114</v>
      </c>
      <c r="J702" t="s">
        <v>2110</v>
      </c>
      <c r="K702">
        <v>4.8959999999999999</v>
      </c>
      <c r="L702">
        <f t="shared" si="20"/>
        <v>489.59999999999997</v>
      </c>
      <c r="M702">
        <f t="shared" si="21"/>
        <v>97.92</v>
      </c>
    </row>
    <row r="703" spans="1:13" x14ac:dyDescent="0.3">
      <c r="A703">
        <v>702</v>
      </c>
      <c r="B703" t="s">
        <v>871</v>
      </c>
      <c r="C703" s="1">
        <v>43345</v>
      </c>
      <c r="D703" s="1">
        <v>43351</v>
      </c>
      <c r="E703" t="s">
        <v>2118</v>
      </c>
      <c r="F703" t="s">
        <v>354</v>
      </c>
      <c r="G703" t="s">
        <v>355</v>
      </c>
      <c r="H703" t="s">
        <v>10</v>
      </c>
      <c r="I703" t="s">
        <v>2114</v>
      </c>
      <c r="J703" t="s">
        <v>2109</v>
      </c>
      <c r="K703">
        <v>15.071999999999999</v>
      </c>
      <c r="L703">
        <f t="shared" si="20"/>
        <v>1507.1999999999998</v>
      </c>
      <c r="M703">
        <f t="shared" si="21"/>
        <v>301.44</v>
      </c>
    </row>
    <row r="704" spans="1:13" x14ac:dyDescent="0.3">
      <c r="A704">
        <v>703</v>
      </c>
      <c r="B704" t="s">
        <v>872</v>
      </c>
      <c r="C704" s="1">
        <v>43043</v>
      </c>
      <c r="D704" s="1">
        <v>43047</v>
      </c>
      <c r="E704" t="s">
        <v>2119</v>
      </c>
      <c r="F704" t="s">
        <v>488</v>
      </c>
      <c r="G704" t="s">
        <v>489</v>
      </c>
      <c r="H704" t="s">
        <v>10</v>
      </c>
      <c r="I704" t="s">
        <v>2112</v>
      </c>
      <c r="J704" t="s">
        <v>2109</v>
      </c>
      <c r="K704">
        <v>209.88</v>
      </c>
      <c r="L704">
        <f t="shared" si="20"/>
        <v>20988</v>
      </c>
      <c r="M704">
        <f t="shared" si="21"/>
        <v>4197.6000000000004</v>
      </c>
    </row>
    <row r="705" spans="1:13" x14ac:dyDescent="0.3">
      <c r="A705">
        <v>704</v>
      </c>
      <c r="B705" t="s">
        <v>873</v>
      </c>
      <c r="C705" s="1">
        <v>42469</v>
      </c>
      <c r="D705" s="1">
        <v>42474</v>
      </c>
      <c r="E705" t="s">
        <v>2118</v>
      </c>
      <c r="F705" t="s">
        <v>874</v>
      </c>
      <c r="G705" t="s">
        <v>875</v>
      </c>
      <c r="H705" t="s">
        <v>6</v>
      </c>
      <c r="I705" t="s">
        <v>2112</v>
      </c>
      <c r="J705" t="s">
        <v>2109</v>
      </c>
      <c r="K705">
        <v>369.91199999999998</v>
      </c>
      <c r="L705">
        <f t="shared" si="20"/>
        <v>36991.199999999997</v>
      </c>
      <c r="M705">
        <f t="shared" si="21"/>
        <v>7398.24</v>
      </c>
    </row>
    <row r="706" spans="1:13" x14ac:dyDescent="0.3">
      <c r="A706">
        <v>705</v>
      </c>
      <c r="B706" t="s">
        <v>876</v>
      </c>
      <c r="C706" s="1">
        <v>42259</v>
      </c>
      <c r="D706" s="1">
        <v>42264</v>
      </c>
      <c r="E706" t="s">
        <v>2118</v>
      </c>
      <c r="F706" t="s">
        <v>877</v>
      </c>
      <c r="G706" t="s">
        <v>878</v>
      </c>
      <c r="H706" t="s">
        <v>10</v>
      </c>
      <c r="I706" t="s">
        <v>2115</v>
      </c>
      <c r="J706" t="s">
        <v>2110</v>
      </c>
      <c r="K706">
        <v>10.368</v>
      </c>
      <c r="L706">
        <f t="shared" ref="L706:L769" si="22">K706*100</f>
        <v>1036.8</v>
      </c>
      <c r="M706">
        <f t="shared" si="21"/>
        <v>207.36</v>
      </c>
    </row>
    <row r="707" spans="1:13" x14ac:dyDescent="0.3">
      <c r="A707">
        <v>706</v>
      </c>
      <c r="B707" t="s">
        <v>876</v>
      </c>
      <c r="C707" s="1">
        <v>42259</v>
      </c>
      <c r="D707" s="1">
        <v>42264</v>
      </c>
      <c r="E707" t="s">
        <v>2118</v>
      </c>
      <c r="F707" t="s">
        <v>877</v>
      </c>
      <c r="G707" t="s">
        <v>878</v>
      </c>
      <c r="H707" t="s">
        <v>10</v>
      </c>
      <c r="I707" t="s">
        <v>2115</v>
      </c>
      <c r="J707" t="s">
        <v>2110</v>
      </c>
      <c r="K707">
        <v>166.84</v>
      </c>
      <c r="L707">
        <f t="shared" si="22"/>
        <v>16684</v>
      </c>
      <c r="M707">
        <f t="shared" ref="M707:M770" si="23">L707*0.2</f>
        <v>3336.8</v>
      </c>
    </row>
    <row r="708" spans="1:13" x14ac:dyDescent="0.3">
      <c r="A708">
        <v>707</v>
      </c>
      <c r="B708" t="s">
        <v>876</v>
      </c>
      <c r="C708" s="1">
        <v>42259</v>
      </c>
      <c r="D708" s="1">
        <v>42264</v>
      </c>
      <c r="E708" t="s">
        <v>2118</v>
      </c>
      <c r="F708" t="s">
        <v>877</v>
      </c>
      <c r="G708" t="s">
        <v>878</v>
      </c>
      <c r="H708" t="s">
        <v>10</v>
      </c>
      <c r="I708" t="s">
        <v>2115</v>
      </c>
      <c r="J708" t="s">
        <v>2111</v>
      </c>
      <c r="K708">
        <v>15.215999999999999</v>
      </c>
      <c r="L708">
        <f t="shared" si="22"/>
        <v>1521.6</v>
      </c>
      <c r="M708">
        <f t="shared" si="23"/>
        <v>304.32</v>
      </c>
    </row>
    <row r="709" spans="1:13" x14ac:dyDescent="0.3">
      <c r="A709">
        <v>708</v>
      </c>
      <c r="B709" t="s">
        <v>879</v>
      </c>
      <c r="C709" s="1">
        <v>42340</v>
      </c>
      <c r="D709" s="1">
        <v>42342</v>
      </c>
      <c r="E709" t="s">
        <v>2120</v>
      </c>
      <c r="F709" t="s">
        <v>880</v>
      </c>
      <c r="G709" t="s">
        <v>881</v>
      </c>
      <c r="H709" t="s">
        <v>6</v>
      </c>
      <c r="I709" t="s">
        <v>2114</v>
      </c>
      <c r="J709" t="s">
        <v>2111</v>
      </c>
      <c r="K709">
        <v>119.96</v>
      </c>
      <c r="L709">
        <f t="shared" si="22"/>
        <v>11996</v>
      </c>
      <c r="M709">
        <f t="shared" si="23"/>
        <v>2399.2000000000003</v>
      </c>
    </row>
    <row r="710" spans="1:13" x14ac:dyDescent="0.3">
      <c r="A710">
        <v>709</v>
      </c>
      <c r="B710" t="s">
        <v>879</v>
      </c>
      <c r="C710" s="1">
        <v>42340</v>
      </c>
      <c r="D710" s="1">
        <v>42342</v>
      </c>
      <c r="E710" t="s">
        <v>2120</v>
      </c>
      <c r="F710" t="s">
        <v>880</v>
      </c>
      <c r="G710" t="s">
        <v>881</v>
      </c>
      <c r="H710" t="s">
        <v>6</v>
      </c>
      <c r="I710" t="s">
        <v>2114</v>
      </c>
      <c r="J710" t="s">
        <v>2109</v>
      </c>
      <c r="K710">
        <v>883.92</v>
      </c>
      <c r="L710">
        <f t="shared" si="22"/>
        <v>88392</v>
      </c>
      <c r="M710">
        <f t="shared" si="23"/>
        <v>17678.400000000001</v>
      </c>
    </row>
    <row r="711" spans="1:13" x14ac:dyDescent="0.3">
      <c r="A711">
        <v>710</v>
      </c>
      <c r="B711" t="s">
        <v>879</v>
      </c>
      <c r="C711" s="1">
        <v>42340</v>
      </c>
      <c r="D711" s="1">
        <v>42342</v>
      </c>
      <c r="E711" t="s">
        <v>2120</v>
      </c>
      <c r="F711" t="s">
        <v>880</v>
      </c>
      <c r="G711" t="s">
        <v>881</v>
      </c>
      <c r="H711" t="s">
        <v>6</v>
      </c>
      <c r="I711" t="s">
        <v>2114</v>
      </c>
      <c r="J711" t="s">
        <v>2110</v>
      </c>
      <c r="K711">
        <v>46.72</v>
      </c>
      <c r="L711">
        <f t="shared" si="22"/>
        <v>4672</v>
      </c>
      <c r="M711">
        <f t="shared" si="23"/>
        <v>934.40000000000009</v>
      </c>
    </row>
    <row r="712" spans="1:13" x14ac:dyDescent="0.3">
      <c r="A712">
        <v>711</v>
      </c>
      <c r="B712" t="s">
        <v>882</v>
      </c>
      <c r="C712" s="1">
        <v>42099</v>
      </c>
      <c r="D712" s="1">
        <v>42101</v>
      </c>
      <c r="E712" t="s">
        <v>2120</v>
      </c>
      <c r="F712" t="s">
        <v>883</v>
      </c>
      <c r="G712" t="s">
        <v>884</v>
      </c>
      <c r="H712" t="s">
        <v>26</v>
      </c>
      <c r="I712" t="s">
        <v>2114</v>
      </c>
      <c r="J712" t="s">
        <v>2110</v>
      </c>
      <c r="K712">
        <v>55.48</v>
      </c>
      <c r="L712">
        <f t="shared" si="22"/>
        <v>5548</v>
      </c>
      <c r="M712">
        <f t="shared" si="23"/>
        <v>1109.6000000000001</v>
      </c>
    </row>
    <row r="713" spans="1:13" x14ac:dyDescent="0.3">
      <c r="A713">
        <v>712</v>
      </c>
      <c r="B713" t="s">
        <v>885</v>
      </c>
      <c r="C713" s="1">
        <v>43346</v>
      </c>
      <c r="D713" s="1">
        <v>43350</v>
      </c>
      <c r="E713" t="s">
        <v>2118</v>
      </c>
      <c r="F713" t="s">
        <v>886</v>
      </c>
      <c r="G713" t="s">
        <v>887</v>
      </c>
      <c r="H713" t="s">
        <v>6</v>
      </c>
      <c r="I713" t="s">
        <v>2115</v>
      </c>
      <c r="J713" t="s">
        <v>2110</v>
      </c>
      <c r="K713">
        <v>24.448</v>
      </c>
      <c r="L713">
        <f t="shared" si="22"/>
        <v>2444.8000000000002</v>
      </c>
      <c r="M713">
        <f t="shared" si="23"/>
        <v>488.96000000000004</v>
      </c>
    </row>
    <row r="714" spans="1:13" x14ac:dyDescent="0.3">
      <c r="A714">
        <v>713</v>
      </c>
      <c r="B714" t="s">
        <v>888</v>
      </c>
      <c r="C714" s="1">
        <v>43239</v>
      </c>
      <c r="D714" s="1">
        <v>43244</v>
      </c>
      <c r="E714" t="s">
        <v>2118</v>
      </c>
      <c r="F714" t="s">
        <v>889</v>
      </c>
      <c r="G714" t="s">
        <v>890</v>
      </c>
      <c r="H714" t="s">
        <v>10</v>
      </c>
      <c r="I714" t="s">
        <v>2114</v>
      </c>
      <c r="J714" t="s">
        <v>2110</v>
      </c>
      <c r="K714">
        <v>281.33999999999997</v>
      </c>
      <c r="L714">
        <f t="shared" si="22"/>
        <v>28133.999999999996</v>
      </c>
      <c r="M714">
        <f t="shared" si="23"/>
        <v>5626.7999999999993</v>
      </c>
    </row>
    <row r="715" spans="1:13" x14ac:dyDescent="0.3">
      <c r="A715">
        <v>714</v>
      </c>
      <c r="B715" t="s">
        <v>888</v>
      </c>
      <c r="C715" s="1">
        <v>43239</v>
      </c>
      <c r="D715" s="1">
        <v>43244</v>
      </c>
      <c r="E715" t="s">
        <v>2118</v>
      </c>
      <c r="F715" t="s">
        <v>889</v>
      </c>
      <c r="G715" t="s">
        <v>890</v>
      </c>
      <c r="H715" t="s">
        <v>10</v>
      </c>
      <c r="I715" t="s">
        <v>2114</v>
      </c>
      <c r="J715" t="s">
        <v>2111</v>
      </c>
      <c r="K715">
        <v>307.98</v>
      </c>
      <c r="L715">
        <f t="shared" si="22"/>
        <v>30798</v>
      </c>
      <c r="M715">
        <f t="shared" si="23"/>
        <v>6159.6</v>
      </c>
    </row>
    <row r="716" spans="1:13" x14ac:dyDescent="0.3">
      <c r="A716">
        <v>715</v>
      </c>
      <c r="B716" t="s">
        <v>888</v>
      </c>
      <c r="C716" s="1">
        <v>43239</v>
      </c>
      <c r="D716" s="1">
        <v>43244</v>
      </c>
      <c r="E716" t="s">
        <v>2118</v>
      </c>
      <c r="F716" t="s">
        <v>889</v>
      </c>
      <c r="G716" t="s">
        <v>890</v>
      </c>
      <c r="H716" t="s">
        <v>10</v>
      </c>
      <c r="I716" t="s">
        <v>2114</v>
      </c>
      <c r="J716" t="s">
        <v>2111</v>
      </c>
      <c r="K716">
        <v>299.97000000000003</v>
      </c>
      <c r="L716">
        <f t="shared" si="22"/>
        <v>29997.000000000004</v>
      </c>
      <c r="M716">
        <f t="shared" si="23"/>
        <v>5999.4000000000015</v>
      </c>
    </row>
    <row r="717" spans="1:13" x14ac:dyDescent="0.3">
      <c r="A717">
        <v>716</v>
      </c>
      <c r="B717" t="s">
        <v>891</v>
      </c>
      <c r="C717" s="1">
        <v>42186</v>
      </c>
      <c r="D717" s="1">
        <v>42191</v>
      </c>
      <c r="E717" t="s">
        <v>2119</v>
      </c>
      <c r="F717" t="s">
        <v>354</v>
      </c>
      <c r="G717" t="s">
        <v>355</v>
      </c>
      <c r="H717" t="s">
        <v>10</v>
      </c>
      <c r="I717" t="s">
        <v>2112</v>
      </c>
      <c r="J717" t="s">
        <v>2110</v>
      </c>
      <c r="K717">
        <v>19.920000000000002</v>
      </c>
      <c r="L717">
        <f t="shared" si="22"/>
        <v>1992.0000000000002</v>
      </c>
      <c r="M717">
        <f t="shared" si="23"/>
        <v>398.40000000000009</v>
      </c>
    </row>
    <row r="718" spans="1:13" x14ac:dyDescent="0.3">
      <c r="A718">
        <v>717</v>
      </c>
      <c r="B718" t="s">
        <v>892</v>
      </c>
      <c r="C718" s="1">
        <v>42015</v>
      </c>
      <c r="D718" s="1">
        <v>42018</v>
      </c>
      <c r="E718" t="s">
        <v>2120</v>
      </c>
      <c r="F718" t="s">
        <v>893</v>
      </c>
      <c r="G718" t="s">
        <v>894</v>
      </c>
      <c r="H718" t="s">
        <v>6</v>
      </c>
      <c r="I718" t="s">
        <v>2114</v>
      </c>
      <c r="J718" t="s">
        <v>2109</v>
      </c>
      <c r="K718">
        <v>9.94</v>
      </c>
      <c r="L718">
        <f t="shared" si="22"/>
        <v>994</v>
      </c>
      <c r="M718">
        <f t="shared" si="23"/>
        <v>198.8</v>
      </c>
    </row>
    <row r="719" spans="1:13" x14ac:dyDescent="0.3">
      <c r="A719">
        <v>718</v>
      </c>
      <c r="B719" t="s">
        <v>895</v>
      </c>
      <c r="C719" s="1">
        <v>43367</v>
      </c>
      <c r="D719" s="1">
        <v>43372</v>
      </c>
      <c r="E719" t="s">
        <v>2118</v>
      </c>
      <c r="F719" t="s">
        <v>342</v>
      </c>
      <c r="G719" t="s">
        <v>343</v>
      </c>
      <c r="H719" t="s">
        <v>6</v>
      </c>
      <c r="I719" t="s">
        <v>2114</v>
      </c>
      <c r="J719" t="s">
        <v>2109</v>
      </c>
      <c r="K719">
        <v>103.056</v>
      </c>
      <c r="L719">
        <f t="shared" si="22"/>
        <v>10305.6</v>
      </c>
      <c r="M719">
        <f t="shared" si="23"/>
        <v>2061.1200000000003</v>
      </c>
    </row>
    <row r="720" spans="1:13" x14ac:dyDescent="0.3">
      <c r="A720">
        <v>719</v>
      </c>
      <c r="B720" t="s">
        <v>896</v>
      </c>
      <c r="C720" s="1">
        <v>42157</v>
      </c>
      <c r="D720" s="1">
        <v>42162</v>
      </c>
      <c r="E720" t="s">
        <v>2118</v>
      </c>
      <c r="F720" t="s">
        <v>897</v>
      </c>
      <c r="G720" t="s">
        <v>898</v>
      </c>
      <c r="H720" t="s">
        <v>26</v>
      </c>
      <c r="I720" t="s">
        <v>2112</v>
      </c>
      <c r="J720" t="s">
        <v>2110</v>
      </c>
      <c r="K720">
        <v>59.808</v>
      </c>
      <c r="L720">
        <f t="shared" si="22"/>
        <v>5980.8</v>
      </c>
      <c r="M720">
        <f t="shared" si="23"/>
        <v>1196.1600000000001</v>
      </c>
    </row>
    <row r="721" spans="1:13" x14ac:dyDescent="0.3">
      <c r="A721">
        <v>720</v>
      </c>
      <c r="B721" t="s">
        <v>896</v>
      </c>
      <c r="C721" s="1">
        <v>42157</v>
      </c>
      <c r="D721" s="1">
        <v>42162</v>
      </c>
      <c r="E721" t="s">
        <v>2118</v>
      </c>
      <c r="F721" t="s">
        <v>897</v>
      </c>
      <c r="G721" t="s">
        <v>898</v>
      </c>
      <c r="H721" t="s">
        <v>26</v>
      </c>
      <c r="I721" t="s">
        <v>2112</v>
      </c>
      <c r="J721" t="s">
        <v>2109</v>
      </c>
      <c r="K721">
        <v>73.319999999999993</v>
      </c>
      <c r="L721">
        <f t="shared" si="22"/>
        <v>7331.9999999999991</v>
      </c>
      <c r="M721">
        <f t="shared" si="23"/>
        <v>1466.3999999999999</v>
      </c>
    </row>
    <row r="722" spans="1:13" x14ac:dyDescent="0.3">
      <c r="A722">
        <v>721</v>
      </c>
      <c r="B722" t="s">
        <v>899</v>
      </c>
      <c r="C722" s="1">
        <v>42779</v>
      </c>
      <c r="D722" s="1">
        <v>42784</v>
      </c>
      <c r="E722" t="s">
        <v>2118</v>
      </c>
      <c r="F722" t="s">
        <v>900</v>
      </c>
      <c r="G722" t="s">
        <v>901</v>
      </c>
      <c r="H722" t="s">
        <v>26</v>
      </c>
      <c r="I722" t="s">
        <v>2112</v>
      </c>
      <c r="J722" t="s">
        <v>2110</v>
      </c>
      <c r="K722">
        <v>146.82</v>
      </c>
      <c r="L722">
        <f t="shared" si="22"/>
        <v>14682</v>
      </c>
      <c r="M722">
        <f t="shared" si="23"/>
        <v>2936.4</v>
      </c>
    </row>
    <row r="723" spans="1:13" x14ac:dyDescent="0.3">
      <c r="A723">
        <v>722</v>
      </c>
      <c r="B723" t="s">
        <v>902</v>
      </c>
      <c r="C723" s="1">
        <v>43084</v>
      </c>
      <c r="D723" s="1">
        <v>43088</v>
      </c>
      <c r="E723" t="s">
        <v>2118</v>
      </c>
      <c r="F723" t="s">
        <v>544</v>
      </c>
      <c r="G723" t="s">
        <v>545</v>
      </c>
      <c r="H723" t="s">
        <v>10</v>
      </c>
      <c r="I723" t="s">
        <v>2117</v>
      </c>
      <c r="J723" t="s">
        <v>2109</v>
      </c>
      <c r="K723">
        <v>1652.94</v>
      </c>
      <c r="L723">
        <f t="shared" si="22"/>
        <v>165294</v>
      </c>
      <c r="M723">
        <f t="shared" si="23"/>
        <v>33058.800000000003</v>
      </c>
    </row>
    <row r="724" spans="1:13" x14ac:dyDescent="0.3">
      <c r="A724">
        <v>723</v>
      </c>
      <c r="B724" t="s">
        <v>902</v>
      </c>
      <c r="C724" s="1">
        <v>43084</v>
      </c>
      <c r="D724" s="1">
        <v>43088</v>
      </c>
      <c r="E724" t="s">
        <v>2118</v>
      </c>
      <c r="F724" t="s">
        <v>544</v>
      </c>
      <c r="G724" t="s">
        <v>545</v>
      </c>
      <c r="H724" t="s">
        <v>10</v>
      </c>
      <c r="I724" t="s">
        <v>2117</v>
      </c>
      <c r="J724" t="s">
        <v>2110</v>
      </c>
      <c r="K724">
        <v>296.37</v>
      </c>
      <c r="L724">
        <f t="shared" si="22"/>
        <v>29637</v>
      </c>
      <c r="M724">
        <f t="shared" si="23"/>
        <v>5927.4000000000005</v>
      </c>
    </row>
    <row r="725" spans="1:13" x14ac:dyDescent="0.3">
      <c r="A725">
        <v>724</v>
      </c>
      <c r="B725" t="s">
        <v>903</v>
      </c>
      <c r="C725" s="1">
        <v>42284</v>
      </c>
      <c r="D725" s="1">
        <v>42290</v>
      </c>
      <c r="E725" t="s">
        <v>2118</v>
      </c>
      <c r="F725" t="s">
        <v>904</v>
      </c>
      <c r="G725" t="s">
        <v>905</v>
      </c>
      <c r="H725" t="s">
        <v>26</v>
      </c>
      <c r="I725" t="s">
        <v>2114</v>
      </c>
      <c r="J725" t="s">
        <v>2109</v>
      </c>
      <c r="K725">
        <v>129.91999999999999</v>
      </c>
      <c r="L725">
        <f t="shared" si="22"/>
        <v>12991.999999999998</v>
      </c>
      <c r="M725">
        <f t="shared" si="23"/>
        <v>2598.3999999999996</v>
      </c>
    </row>
    <row r="726" spans="1:13" x14ac:dyDescent="0.3">
      <c r="A726">
        <v>725</v>
      </c>
      <c r="B726" t="s">
        <v>906</v>
      </c>
      <c r="C726" s="1">
        <v>42923</v>
      </c>
      <c r="D726" s="1">
        <v>42928</v>
      </c>
      <c r="E726" t="s">
        <v>2118</v>
      </c>
      <c r="F726" t="s">
        <v>907</v>
      </c>
      <c r="G726" t="s">
        <v>908</v>
      </c>
      <c r="H726" t="s">
        <v>10</v>
      </c>
      <c r="I726" t="s">
        <v>2115</v>
      </c>
      <c r="J726" t="s">
        <v>2110</v>
      </c>
      <c r="K726">
        <v>45.584000000000003</v>
      </c>
      <c r="L726">
        <f t="shared" si="22"/>
        <v>4558.4000000000005</v>
      </c>
      <c r="M726">
        <f t="shared" si="23"/>
        <v>911.68000000000018</v>
      </c>
    </row>
    <row r="727" spans="1:13" x14ac:dyDescent="0.3">
      <c r="A727">
        <v>726</v>
      </c>
      <c r="B727" t="s">
        <v>909</v>
      </c>
      <c r="C727" s="1">
        <v>43359</v>
      </c>
      <c r="D727" s="1">
        <v>43363</v>
      </c>
      <c r="E727" t="s">
        <v>2118</v>
      </c>
      <c r="F727" t="s">
        <v>910</v>
      </c>
      <c r="G727" t="s">
        <v>911</v>
      </c>
      <c r="H727" t="s">
        <v>6</v>
      </c>
      <c r="I727" t="s">
        <v>2117</v>
      </c>
      <c r="J727" t="s">
        <v>2110</v>
      </c>
      <c r="K727">
        <v>17.568000000000001</v>
      </c>
      <c r="L727">
        <f t="shared" si="22"/>
        <v>1756.8000000000002</v>
      </c>
      <c r="M727">
        <f t="shared" si="23"/>
        <v>351.36000000000007</v>
      </c>
    </row>
    <row r="728" spans="1:13" x14ac:dyDescent="0.3">
      <c r="A728">
        <v>727</v>
      </c>
      <c r="B728" t="s">
        <v>909</v>
      </c>
      <c r="C728" s="1">
        <v>43359</v>
      </c>
      <c r="D728" s="1">
        <v>43363</v>
      </c>
      <c r="E728" t="s">
        <v>2118</v>
      </c>
      <c r="F728" t="s">
        <v>910</v>
      </c>
      <c r="G728" t="s">
        <v>911</v>
      </c>
      <c r="H728" t="s">
        <v>6</v>
      </c>
      <c r="I728" t="s">
        <v>2117</v>
      </c>
      <c r="J728" t="s">
        <v>2111</v>
      </c>
      <c r="K728">
        <v>55.991999999999997</v>
      </c>
      <c r="L728">
        <f t="shared" si="22"/>
        <v>5599.2</v>
      </c>
      <c r="M728">
        <f t="shared" si="23"/>
        <v>1119.8399999999999</v>
      </c>
    </row>
    <row r="729" spans="1:13" x14ac:dyDescent="0.3">
      <c r="A729">
        <v>728</v>
      </c>
      <c r="B729" t="s">
        <v>912</v>
      </c>
      <c r="C729" s="1">
        <v>43072</v>
      </c>
      <c r="D729" s="1">
        <v>43075</v>
      </c>
      <c r="E729" t="s">
        <v>2120</v>
      </c>
      <c r="F729" t="s">
        <v>913</v>
      </c>
      <c r="G729" t="s">
        <v>914</v>
      </c>
      <c r="H729" t="s">
        <v>6</v>
      </c>
      <c r="I729" t="s">
        <v>2114</v>
      </c>
      <c r="J729" t="s">
        <v>2110</v>
      </c>
      <c r="K729">
        <v>182.72</v>
      </c>
      <c r="L729">
        <f t="shared" si="22"/>
        <v>18272</v>
      </c>
      <c r="M729">
        <f t="shared" si="23"/>
        <v>3654.4</v>
      </c>
    </row>
    <row r="730" spans="1:13" x14ac:dyDescent="0.3">
      <c r="A730">
        <v>729</v>
      </c>
      <c r="B730" t="s">
        <v>912</v>
      </c>
      <c r="C730" s="1">
        <v>43072</v>
      </c>
      <c r="D730" s="1">
        <v>43075</v>
      </c>
      <c r="E730" t="s">
        <v>2120</v>
      </c>
      <c r="F730" t="s">
        <v>913</v>
      </c>
      <c r="G730" t="s">
        <v>914</v>
      </c>
      <c r="H730" t="s">
        <v>6</v>
      </c>
      <c r="I730" t="s">
        <v>2114</v>
      </c>
      <c r="J730" t="s">
        <v>2109</v>
      </c>
      <c r="K730">
        <v>400.03199999999998</v>
      </c>
      <c r="L730">
        <f t="shared" si="22"/>
        <v>40003.199999999997</v>
      </c>
      <c r="M730">
        <f t="shared" si="23"/>
        <v>8000.6399999999994</v>
      </c>
    </row>
    <row r="731" spans="1:13" x14ac:dyDescent="0.3">
      <c r="A731">
        <v>730</v>
      </c>
      <c r="B731" t="s">
        <v>912</v>
      </c>
      <c r="C731" s="1">
        <v>43072</v>
      </c>
      <c r="D731" s="1">
        <v>43075</v>
      </c>
      <c r="E731" t="s">
        <v>2120</v>
      </c>
      <c r="F731" t="s">
        <v>913</v>
      </c>
      <c r="G731" t="s">
        <v>914</v>
      </c>
      <c r="H731" t="s">
        <v>6</v>
      </c>
      <c r="I731" t="s">
        <v>2114</v>
      </c>
      <c r="J731" t="s">
        <v>2110</v>
      </c>
      <c r="K731">
        <v>33.630000000000003</v>
      </c>
      <c r="L731">
        <f t="shared" si="22"/>
        <v>3363.0000000000005</v>
      </c>
      <c r="M731">
        <f t="shared" si="23"/>
        <v>672.60000000000014</v>
      </c>
    </row>
    <row r="732" spans="1:13" x14ac:dyDescent="0.3">
      <c r="A732">
        <v>731</v>
      </c>
      <c r="B732" t="s">
        <v>912</v>
      </c>
      <c r="C732" s="1">
        <v>43072</v>
      </c>
      <c r="D732" s="1">
        <v>43075</v>
      </c>
      <c r="E732" t="s">
        <v>2120</v>
      </c>
      <c r="F732" t="s">
        <v>913</v>
      </c>
      <c r="G732" t="s">
        <v>914</v>
      </c>
      <c r="H732" t="s">
        <v>6</v>
      </c>
      <c r="I732" t="s">
        <v>2114</v>
      </c>
      <c r="J732" t="s">
        <v>2109</v>
      </c>
      <c r="K732">
        <v>542.64599999999996</v>
      </c>
      <c r="L732">
        <f t="shared" si="22"/>
        <v>54264.6</v>
      </c>
      <c r="M732">
        <f t="shared" si="23"/>
        <v>10852.92</v>
      </c>
    </row>
    <row r="733" spans="1:13" x14ac:dyDescent="0.3">
      <c r="A733">
        <v>732</v>
      </c>
      <c r="B733" t="s">
        <v>912</v>
      </c>
      <c r="C733" s="1">
        <v>43072</v>
      </c>
      <c r="D733" s="1">
        <v>43075</v>
      </c>
      <c r="E733" t="s">
        <v>2120</v>
      </c>
      <c r="F733" t="s">
        <v>913</v>
      </c>
      <c r="G733" t="s">
        <v>914</v>
      </c>
      <c r="H733" t="s">
        <v>6</v>
      </c>
      <c r="I733" t="s">
        <v>2114</v>
      </c>
      <c r="J733" t="s">
        <v>2110</v>
      </c>
      <c r="K733">
        <v>6.3</v>
      </c>
      <c r="L733">
        <f t="shared" si="22"/>
        <v>630</v>
      </c>
      <c r="M733">
        <f t="shared" si="23"/>
        <v>126</v>
      </c>
    </row>
    <row r="734" spans="1:13" x14ac:dyDescent="0.3">
      <c r="A734">
        <v>733</v>
      </c>
      <c r="B734" t="s">
        <v>915</v>
      </c>
      <c r="C734" s="1">
        <v>43121</v>
      </c>
      <c r="D734" s="1">
        <v>43125</v>
      </c>
      <c r="E734" t="s">
        <v>2118</v>
      </c>
      <c r="F734" t="s">
        <v>916</v>
      </c>
      <c r="G734" t="s">
        <v>917</v>
      </c>
      <c r="H734" t="s">
        <v>26</v>
      </c>
      <c r="I734" t="s">
        <v>2112</v>
      </c>
      <c r="J734" t="s">
        <v>2110</v>
      </c>
      <c r="K734">
        <v>242.94</v>
      </c>
      <c r="L734">
        <f t="shared" si="22"/>
        <v>24294</v>
      </c>
      <c r="M734">
        <f t="shared" si="23"/>
        <v>4858.8</v>
      </c>
    </row>
    <row r="735" spans="1:13" x14ac:dyDescent="0.3">
      <c r="A735">
        <v>734</v>
      </c>
      <c r="B735" t="s">
        <v>915</v>
      </c>
      <c r="C735" s="1">
        <v>43121</v>
      </c>
      <c r="D735" s="1">
        <v>43125</v>
      </c>
      <c r="E735" t="s">
        <v>2118</v>
      </c>
      <c r="F735" t="s">
        <v>916</v>
      </c>
      <c r="G735" t="s">
        <v>917</v>
      </c>
      <c r="H735" t="s">
        <v>26</v>
      </c>
      <c r="I735" t="s">
        <v>2112</v>
      </c>
      <c r="J735" t="s">
        <v>2111</v>
      </c>
      <c r="K735">
        <v>179.97</v>
      </c>
      <c r="L735">
        <f t="shared" si="22"/>
        <v>17997</v>
      </c>
      <c r="M735">
        <f t="shared" si="23"/>
        <v>3599.4</v>
      </c>
    </row>
    <row r="736" spans="1:13" x14ac:dyDescent="0.3">
      <c r="A736">
        <v>735</v>
      </c>
      <c r="B736" t="s">
        <v>915</v>
      </c>
      <c r="C736" s="1">
        <v>43121</v>
      </c>
      <c r="D736" s="1">
        <v>43125</v>
      </c>
      <c r="E736" t="s">
        <v>2118</v>
      </c>
      <c r="F736" t="s">
        <v>916</v>
      </c>
      <c r="G736" t="s">
        <v>917</v>
      </c>
      <c r="H736" t="s">
        <v>26</v>
      </c>
      <c r="I736" t="s">
        <v>2112</v>
      </c>
      <c r="J736" t="s">
        <v>2110</v>
      </c>
      <c r="K736">
        <v>99.695999999999998</v>
      </c>
      <c r="L736">
        <f t="shared" si="22"/>
        <v>9969.6</v>
      </c>
      <c r="M736">
        <f t="shared" si="23"/>
        <v>1993.92</v>
      </c>
    </row>
    <row r="737" spans="1:13" x14ac:dyDescent="0.3">
      <c r="A737">
        <v>736</v>
      </c>
      <c r="B737" t="s">
        <v>915</v>
      </c>
      <c r="C737" s="1">
        <v>43121</v>
      </c>
      <c r="D737" s="1">
        <v>43125</v>
      </c>
      <c r="E737" t="s">
        <v>2118</v>
      </c>
      <c r="F737" t="s">
        <v>916</v>
      </c>
      <c r="G737" t="s">
        <v>917</v>
      </c>
      <c r="H737" t="s">
        <v>26</v>
      </c>
      <c r="I737" t="s">
        <v>2112</v>
      </c>
      <c r="J737" t="s">
        <v>2110</v>
      </c>
      <c r="K737">
        <v>27.936</v>
      </c>
      <c r="L737">
        <f t="shared" si="22"/>
        <v>2793.6</v>
      </c>
      <c r="M737">
        <f t="shared" si="23"/>
        <v>558.72</v>
      </c>
    </row>
    <row r="738" spans="1:13" x14ac:dyDescent="0.3">
      <c r="A738">
        <v>737</v>
      </c>
      <c r="B738" t="s">
        <v>915</v>
      </c>
      <c r="C738" s="1">
        <v>43121</v>
      </c>
      <c r="D738" s="1">
        <v>43125</v>
      </c>
      <c r="E738" t="s">
        <v>2118</v>
      </c>
      <c r="F738" t="s">
        <v>916</v>
      </c>
      <c r="G738" t="s">
        <v>917</v>
      </c>
      <c r="H738" t="s">
        <v>26</v>
      </c>
      <c r="I738" t="s">
        <v>2112</v>
      </c>
      <c r="J738" t="s">
        <v>2109</v>
      </c>
      <c r="K738">
        <v>84.98</v>
      </c>
      <c r="L738">
        <f t="shared" si="22"/>
        <v>8498</v>
      </c>
      <c r="M738">
        <f t="shared" si="23"/>
        <v>1699.6000000000001</v>
      </c>
    </row>
    <row r="739" spans="1:13" x14ac:dyDescent="0.3">
      <c r="A739">
        <v>738</v>
      </c>
      <c r="B739" t="s">
        <v>915</v>
      </c>
      <c r="C739" s="1">
        <v>43121</v>
      </c>
      <c r="D739" s="1">
        <v>43125</v>
      </c>
      <c r="E739" t="s">
        <v>2118</v>
      </c>
      <c r="F739" t="s">
        <v>916</v>
      </c>
      <c r="G739" t="s">
        <v>917</v>
      </c>
      <c r="H739" t="s">
        <v>26</v>
      </c>
      <c r="I739" t="s">
        <v>2112</v>
      </c>
      <c r="J739" t="s">
        <v>2110</v>
      </c>
      <c r="K739">
        <v>18.72</v>
      </c>
      <c r="L739">
        <f t="shared" si="22"/>
        <v>1872</v>
      </c>
      <c r="M739">
        <f t="shared" si="23"/>
        <v>374.40000000000003</v>
      </c>
    </row>
    <row r="740" spans="1:13" x14ac:dyDescent="0.3">
      <c r="A740">
        <v>739</v>
      </c>
      <c r="B740" t="s">
        <v>918</v>
      </c>
      <c r="C740" s="1">
        <v>42255</v>
      </c>
      <c r="D740" s="1">
        <v>42259</v>
      </c>
      <c r="E740" t="s">
        <v>2118</v>
      </c>
      <c r="F740" t="s">
        <v>151</v>
      </c>
      <c r="G740" t="s">
        <v>152</v>
      </c>
      <c r="H740" t="s">
        <v>6</v>
      </c>
      <c r="I740" t="s">
        <v>2112</v>
      </c>
      <c r="J740" t="s">
        <v>2111</v>
      </c>
      <c r="K740">
        <v>49.98</v>
      </c>
      <c r="L740">
        <f t="shared" si="22"/>
        <v>4998</v>
      </c>
      <c r="M740">
        <f t="shared" si="23"/>
        <v>999.6</v>
      </c>
    </row>
    <row r="741" spans="1:13" x14ac:dyDescent="0.3">
      <c r="A741">
        <v>740</v>
      </c>
      <c r="B741" t="s">
        <v>919</v>
      </c>
      <c r="C741" s="1">
        <v>42008</v>
      </c>
      <c r="D741" s="1">
        <v>42012</v>
      </c>
      <c r="E741" t="s">
        <v>2118</v>
      </c>
      <c r="F741" t="s">
        <v>920</v>
      </c>
      <c r="G741" t="s">
        <v>921</v>
      </c>
      <c r="H741" t="s">
        <v>26</v>
      </c>
      <c r="I741" t="s">
        <v>2117</v>
      </c>
      <c r="J741" t="s">
        <v>2110</v>
      </c>
      <c r="K741">
        <v>11.784000000000001</v>
      </c>
      <c r="L741">
        <f t="shared" si="22"/>
        <v>1178.4000000000001</v>
      </c>
      <c r="M741">
        <f t="shared" si="23"/>
        <v>235.68000000000004</v>
      </c>
    </row>
    <row r="742" spans="1:13" x14ac:dyDescent="0.3">
      <c r="A742">
        <v>741</v>
      </c>
      <c r="B742" t="s">
        <v>919</v>
      </c>
      <c r="C742" s="1">
        <v>42008</v>
      </c>
      <c r="D742" s="1">
        <v>42012</v>
      </c>
      <c r="E742" t="s">
        <v>2118</v>
      </c>
      <c r="F742" t="s">
        <v>920</v>
      </c>
      <c r="G742" t="s">
        <v>921</v>
      </c>
      <c r="H742" t="s">
        <v>26</v>
      </c>
      <c r="I742" t="s">
        <v>2117</v>
      </c>
      <c r="J742" t="s">
        <v>2110</v>
      </c>
      <c r="K742">
        <v>272.73599999999999</v>
      </c>
      <c r="L742">
        <f t="shared" si="22"/>
        <v>27273.599999999999</v>
      </c>
      <c r="M742">
        <f t="shared" si="23"/>
        <v>5454.72</v>
      </c>
    </row>
    <row r="743" spans="1:13" x14ac:dyDescent="0.3">
      <c r="A743">
        <v>742</v>
      </c>
      <c r="B743" t="s">
        <v>919</v>
      </c>
      <c r="C743" s="1">
        <v>42008</v>
      </c>
      <c r="D743" s="1">
        <v>42012</v>
      </c>
      <c r="E743" t="s">
        <v>2118</v>
      </c>
      <c r="F743" t="s">
        <v>920</v>
      </c>
      <c r="G743" t="s">
        <v>921</v>
      </c>
      <c r="H743" t="s">
        <v>26</v>
      </c>
      <c r="I743" t="s">
        <v>2117</v>
      </c>
      <c r="J743" t="s">
        <v>2110</v>
      </c>
      <c r="K743">
        <v>3.54</v>
      </c>
      <c r="L743">
        <f t="shared" si="22"/>
        <v>354</v>
      </c>
      <c r="M743">
        <f t="shared" si="23"/>
        <v>70.8</v>
      </c>
    </row>
    <row r="744" spans="1:13" x14ac:dyDescent="0.3">
      <c r="A744">
        <v>743</v>
      </c>
      <c r="B744" t="s">
        <v>922</v>
      </c>
      <c r="C744" s="1">
        <v>42974</v>
      </c>
      <c r="D744" s="1">
        <v>42979</v>
      </c>
      <c r="E744" t="s">
        <v>2118</v>
      </c>
      <c r="F744" t="s">
        <v>923</v>
      </c>
      <c r="G744" t="s">
        <v>924</v>
      </c>
      <c r="H744" t="s">
        <v>6</v>
      </c>
      <c r="I744" t="s">
        <v>2117</v>
      </c>
      <c r="J744" t="s">
        <v>2110</v>
      </c>
      <c r="K744">
        <v>51.52</v>
      </c>
      <c r="L744">
        <f t="shared" si="22"/>
        <v>5152</v>
      </c>
      <c r="M744">
        <f t="shared" si="23"/>
        <v>1030.4000000000001</v>
      </c>
    </row>
    <row r="745" spans="1:13" x14ac:dyDescent="0.3">
      <c r="A745">
        <v>744</v>
      </c>
      <c r="B745" t="s">
        <v>922</v>
      </c>
      <c r="C745" s="1">
        <v>42974</v>
      </c>
      <c r="D745" s="1">
        <v>42979</v>
      </c>
      <c r="E745" t="s">
        <v>2118</v>
      </c>
      <c r="F745" t="s">
        <v>923</v>
      </c>
      <c r="G745" t="s">
        <v>924</v>
      </c>
      <c r="H745" t="s">
        <v>6</v>
      </c>
      <c r="I745" t="s">
        <v>2117</v>
      </c>
      <c r="J745" t="s">
        <v>2110</v>
      </c>
      <c r="K745">
        <v>3.528</v>
      </c>
      <c r="L745">
        <f t="shared" si="22"/>
        <v>352.8</v>
      </c>
      <c r="M745">
        <f t="shared" si="23"/>
        <v>70.56</v>
      </c>
    </row>
    <row r="746" spans="1:13" x14ac:dyDescent="0.3">
      <c r="A746">
        <v>745</v>
      </c>
      <c r="B746" t="s">
        <v>922</v>
      </c>
      <c r="C746" s="1">
        <v>42974</v>
      </c>
      <c r="D746" s="1">
        <v>42979</v>
      </c>
      <c r="E746" t="s">
        <v>2118</v>
      </c>
      <c r="F746" t="s">
        <v>923</v>
      </c>
      <c r="G746" t="s">
        <v>924</v>
      </c>
      <c r="H746" t="s">
        <v>6</v>
      </c>
      <c r="I746" t="s">
        <v>2117</v>
      </c>
      <c r="J746" t="s">
        <v>2110</v>
      </c>
      <c r="K746">
        <v>4.6239999999999997</v>
      </c>
      <c r="L746">
        <f t="shared" si="22"/>
        <v>462.4</v>
      </c>
      <c r="M746">
        <f t="shared" si="23"/>
        <v>92.48</v>
      </c>
    </row>
    <row r="747" spans="1:13" x14ac:dyDescent="0.3">
      <c r="A747">
        <v>746</v>
      </c>
      <c r="B747" t="s">
        <v>922</v>
      </c>
      <c r="C747" s="1">
        <v>42974</v>
      </c>
      <c r="D747" s="1">
        <v>42979</v>
      </c>
      <c r="E747" t="s">
        <v>2118</v>
      </c>
      <c r="F747" t="s">
        <v>923</v>
      </c>
      <c r="G747" t="s">
        <v>924</v>
      </c>
      <c r="H747" t="s">
        <v>6</v>
      </c>
      <c r="I747" t="s">
        <v>2117</v>
      </c>
      <c r="J747" t="s">
        <v>2110</v>
      </c>
      <c r="K747">
        <v>55.167999999999999</v>
      </c>
      <c r="L747">
        <f t="shared" si="22"/>
        <v>5516.8</v>
      </c>
      <c r="M747">
        <f t="shared" si="23"/>
        <v>1103.3600000000001</v>
      </c>
    </row>
    <row r="748" spans="1:13" x14ac:dyDescent="0.3">
      <c r="A748">
        <v>747</v>
      </c>
      <c r="B748" t="s">
        <v>925</v>
      </c>
      <c r="C748" s="1">
        <v>42151</v>
      </c>
      <c r="D748" s="1">
        <v>42151</v>
      </c>
      <c r="E748" t="s">
        <v>2120</v>
      </c>
      <c r="F748" t="s">
        <v>595</v>
      </c>
      <c r="G748" t="s">
        <v>596</v>
      </c>
      <c r="H748" t="s">
        <v>10</v>
      </c>
      <c r="I748" t="s">
        <v>2112</v>
      </c>
      <c r="J748" t="s">
        <v>2109</v>
      </c>
      <c r="K748">
        <v>567.12</v>
      </c>
      <c r="L748">
        <f t="shared" si="22"/>
        <v>56712</v>
      </c>
      <c r="M748">
        <f t="shared" si="23"/>
        <v>11342.400000000001</v>
      </c>
    </row>
    <row r="749" spans="1:13" x14ac:dyDescent="0.3">
      <c r="A749">
        <v>748</v>
      </c>
      <c r="B749" t="s">
        <v>925</v>
      </c>
      <c r="C749" s="1">
        <v>42151</v>
      </c>
      <c r="D749" s="1">
        <v>42151</v>
      </c>
      <c r="E749" t="s">
        <v>2120</v>
      </c>
      <c r="F749" t="s">
        <v>595</v>
      </c>
      <c r="G749" t="s">
        <v>596</v>
      </c>
      <c r="H749" t="s">
        <v>10</v>
      </c>
      <c r="I749" t="s">
        <v>2112</v>
      </c>
      <c r="J749" t="s">
        <v>2110</v>
      </c>
      <c r="K749">
        <v>359.32</v>
      </c>
      <c r="L749">
        <f t="shared" si="22"/>
        <v>35932</v>
      </c>
      <c r="M749">
        <f t="shared" si="23"/>
        <v>7186.4000000000005</v>
      </c>
    </row>
    <row r="750" spans="1:13" x14ac:dyDescent="0.3">
      <c r="A750">
        <v>749</v>
      </c>
      <c r="B750" t="s">
        <v>926</v>
      </c>
      <c r="C750" s="1">
        <v>42814</v>
      </c>
      <c r="D750" s="1">
        <v>42816</v>
      </c>
      <c r="E750" t="s">
        <v>2119</v>
      </c>
      <c r="F750" t="s">
        <v>927</v>
      </c>
      <c r="G750" t="s">
        <v>928</v>
      </c>
      <c r="H750" t="s">
        <v>6</v>
      </c>
      <c r="I750" t="s">
        <v>2117</v>
      </c>
      <c r="J750" t="s">
        <v>2111</v>
      </c>
      <c r="K750">
        <v>11.992000000000001</v>
      </c>
      <c r="L750">
        <f t="shared" si="22"/>
        <v>1199.2</v>
      </c>
      <c r="M750">
        <f t="shared" si="23"/>
        <v>239.84000000000003</v>
      </c>
    </row>
    <row r="751" spans="1:13" x14ac:dyDescent="0.3">
      <c r="A751">
        <v>750</v>
      </c>
      <c r="B751" t="s">
        <v>929</v>
      </c>
      <c r="C751" s="1">
        <v>43375</v>
      </c>
      <c r="D751" s="1">
        <v>43379</v>
      </c>
      <c r="E751" t="s">
        <v>2118</v>
      </c>
      <c r="F751" t="s">
        <v>930</v>
      </c>
      <c r="G751" t="s">
        <v>931</v>
      </c>
      <c r="H751" t="s">
        <v>6</v>
      </c>
      <c r="I751" t="s">
        <v>2117</v>
      </c>
      <c r="J751" t="s">
        <v>2110</v>
      </c>
      <c r="K751">
        <v>58.05</v>
      </c>
      <c r="L751">
        <f t="shared" si="22"/>
        <v>5805</v>
      </c>
      <c r="M751">
        <f t="shared" si="23"/>
        <v>1161</v>
      </c>
    </row>
    <row r="752" spans="1:13" x14ac:dyDescent="0.3">
      <c r="A752">
        <v>751</v>
      </c>
      <c r="B752" t="s">
        <v>929</v>
      </c>
      <c r="C752" s="1">
        <v>43375</v>
      </c>
      <c r="D752" s="1">
        <v>43379</v>
      </c>
      <c r="E752" t="s">
        <v>2118</v>
      </c>
      <c r="F752" t="s">
        <v>930</v>
      </c>
      <c r="G752" t="s">
        <v>931</v>
      </c>
      <c r="H752" t="s">
        <v>6</v>
      </c>
      <c r="I752" t="s">
        <v>2117</v>
      </c>
      <c r="J752" t="s">
        <v>2109</v>
      </c>
      <c r="K752">
        <v>157.74</v>
      </c>
      <c r="L752">
        <f t="shared" si="22"/>
        <v>15774</v>
      </c>
      <c r="M752">
        <f t="shared" si="23"/>
        <v>3154.8</v>
      </c>
    </row>
    <row r="753" spans="1:13" x14ac:dyDescent="0.3">
      <c r="A753">
        <v>752</v>
      </c>
      <c r="B753" t="s">
        <v>929</v>
      </c>
      <c r="C753" s="1">
        <v>43375</v>
      </c>
      <c r="D753" s="1">
        <v>43379</v>
      </c>
      <c r="E753" t="s">
        <v>2118</v>
      </c>
      <c r="F753" t="s">
        <v>930</v>
      </c>
      <c r="G753" t="s">
        <v>931</v>
      </c>
      <c r="H753" t="s">
        <v>6</v>
      </c>
      <c r="I753" t="s">
        <v>2117</v>
      </c>
      <c r="J753" t="s">
        <v>2110</v>
      </c>
      <c r="K753">
        <v>56.98</v>
      </c>
      <c r="L753">
        <f t="shared" si="22"/>
        <v>5698</v>
      </c>
      <c r="M753">
        <f t="shared" si="23"/>
        <v>1139.6000000000001</v>
      </c>
    </row>
    <row r="754" spans="1:13" x14ac:dyDescent="0.3">
      <c r="A754">
        <v>753</v>
      </c>
      <c r="B754" t="s">
        <v>929</v>
      </c>
      <c r="C754" s="1">
        <v>43375</v>
      </c>
      <c r="D754" s="1">
        <v>43379</v>
      </c>
      <c r="E754" t="s">
        <v>2118</v>
      </c>
      <c r="F754" t="s">
        <v>930</v>
      </c>
      <c r="G754" t="s">
        <v>931</v>
      </c>
      <c r="H754" t="s">
        <v>6</v>
      </c>
      <c r="I754" t="s">
        <v>2117</v>
      </c>
      <c r="J754" t="s">
        <v>2110</v>
      </c>
      <c r="K754">
        <v>2.88</v>
      </c>
      <c r="L754">
        <f t="shared" si="22"/>
        <v>288</v>
      </c>
      <c r="M754">
        <f t="shared" si="23"/>
        <v>57.6</v>
      </c>
    </row>
    <row r="755" spans="1:13" x14ac:dyDescent="0.3">
      <c r="A755">
        <v>754</v>
      </c>
      <c r="B755" t="s">
        <v>932</v>
      </c>
      <c r="C755" s="1">
        <v>42832</v>
      </c>
      <c r="D755" s="1">
        <v>42834</v>
      </c>
      <c r="E755" t="s">
        <v>2120</v>
      </c>
      <c r="F755" t="s">
        <v>933</v>
      </c>
      <c r="G755" t="s">
        <v>934</v>
      </c>
      <c r="H755" t="s">
        <v>10</v>
      </c>
      <c r="I755" t="s">
        <v>2112</v>
      </c>
      <c r="J755" t="s">
        <v>2111</v>
      </c>
      <c r="K755">
        <v>1199.9760000000001</v>
      </c>
      <c r="L755">
        <f t="shared" si="22"/>
        <v>119997.6</v>
      </c>
      <c r="M755">
        <f t="shared" si="23"/>
        <v>23999.520000000004</v>
      </c>
    </row>
    <row r="756" spans="1:13" x14ac:dyDescent="0.3">
      <c r="A756">
        <v>755</v>
      </c>
      <c r="B756" t="s">
        <v>935</v>
      </c>
      <c r="C756" s="1">
        <v>42711</v>
      </c>
      <c r="D756" s="1">
        <v>42716</v>
      </c>
      <c r="E756" t="s">
        <v>2118</v>
      </c>
      <c r="F756" t="s">
        <v>751</v>
      </c>
      <c r="G756" t="s">
        <v>752</v>
      </c>
      <c r="H756" t="s">
        <v>6</v>
      </c>
      <c r="I756" t="s">
        <v>2112</v>
      </c>
      <c r="J756" t="s">
        <v>2109</v>
      </c>
      <c r="K756">
        <v>79.92</v>
      </c>
      <c r="L756">
        <f t="shared" si="22"/>
        <v>7992</v>
      </c>
      <c r="M756">
        <f t="shared" si="23"/>
        <v>1598.4</v>
      </c>
    </row>
    <row r="757" spans="1:13" x14ac:dyDescent="0.3">
      <c r="A757">
        <v>756</v>
      </c>
      <c r="B757" t="s">
        <v>936</v>
      </c>
      <c r="C757" s="1">
        <v>42996</v>
      </c>
      <c r="D757" s="1">
        <v>43000</v>
      </c>
      <c r="E757" t="s">
        <v>2118</v>
      </c>
      <c r="F757" t="s">
        <v>769</v>
      </c>
      <c r="G757" t="s">
        <v>770</v>
      </c>
      <c r="H757" t="s">
        <v>10</v>
      </c>
      <c r="I757" t="s">
        <v>2115</v>
      </c>
      <c r="J757" t="s">
        <v>2109</v>
      </c>
      <c r="K757">
        <v>383.43799999999999</v>
      </c>
      <c r="L757">
        <f t="shared" si="22"/>
        <v>38343.799999999996</v>
      </c>
      <c r="M757">
        <f t="shared" si="23"/>
        <v>7668.7599999999993</v>
      </c>
    </row>
    <row r="758" spans="1:13" x14ac:dyDescent="0.3">
      <c r="A758">
        <v>757</v>
      </c>
      <c r="B758" t="s">
        <v>937</v>
      </c>
      <c r="C758" s="1">
        <v>42367</v>
      </c>
      <c r="D758" s="1">
        <v>42371</v>
      </c>
      <c r="E758" t="s">
        <v>2118</v>
      </c>
      <c r="F758" t="s">
        <v>938</v>
      </c>
      <c r="G758" t="s">
        <v>939</v>
      </c>
      <c r="H758" t="s">
        <v>6</v>
      </c>
      <c r="I758" t="s">
        <v>2117</v>
      </c>
      <c r="J758" t="s">
        <v>2110</v>
      </c>
      <c r="K758">
        <v>24.56</v>
      </c>
      <c r="L758">
        <f t="shared" si="22"/>
        <v>2456</v>
      </c>
      <c r="M758">
        <f t="shared" si="23"/>
        <v>491.20000000000005</v>
      </c>
    </row>
    <row r="759" spans="1:13" x14ac:dyDescent="0.3">
      <c r="A759">
        <v>758</v>
      </c>
      <c r="B759" t="s">
        <v>937</v>
      </c>
      <c r="C759" s="1">
        <v>42367</v>
      </c>
      <c r="D759" s="1">
        <v>42371</v>
      </c>
      <c r="E759" t="s">
        <v>2118</v>
      </c>
      <c r="F759" t="s">
        <v>938</v>
      </c>
      <c r="G759" t="s">
        <v>939</v>
      </c>
      <c r="H759" t="s">
        <v>6</v>
      </c>
      <c r="I759" t="s">
        <v>2117</v>
      </c>
      <c r="J759" t="s">
        <v>2111</v>
      </c>
      <c r="K759">
        <v>119.8</v>
      </c>
      <c r="L759">
        <f t="shared" si="22"/>
        <v>11980</v>
      </c>
      <c r="M759">
        <f t="shared" si="23"/>
        <v>2396</v>
      </c>
    </row>
    <row r="760" spans="1:13" x14ac:dyDescent="0.3">
      <c r="A760">
        <v>759</v>
      </c>
      <c r="B760" t="s">
        <v>940</v>
      </c>
      <c r="C760" s="1">
        <v>43304</v>
      </c>
      <c r="D760" s="1">
        <v>43309</v>
      </c>
      <c r="E760" t="s">
        <v>2118</v>
      </c>
      <c r="F760" t="s">
        <v>941</v>
      </c>
      <c r="G760" t="s">
        <v>942</v>
      </c>
      <c r="H760" t="s">
        <v>10</v>
      </c>
      <c r="I760" t="s">
        <v>2114</v>
      </c>
      <c r="J760" t="s">
        <v>2110</v>
      </c>
      <c r="K760">
        <v>13.128</v>
      </c>
      <c r="L760">
        <f t="shared" si="22"/>
        <v>1312.8</v>
      </c>
      <c r="M760">
        <f t="shared" si="23"/>
        <v>262.56</v>
      </c>
    </row>
    <row r="761" spans="1:13" x14ac:dyDescent="0.3">
      <c r="A761">
        <v>760</v>
      </c>
      <c r="B761" t="s">
        <v>943</v>
      </c>
      <c r="C761" s="1">
        <v>43361</v>
      </c>
      <c r="D761" s="1">
        <v>43365</v>
      </c>
      <c r="E761" t="s">
        <v>2118</v>
      </c>
      <c r="F761" t="s">
        <v>944</v>
      </c>
      <c r="G761" t="s">
        <v>945</v>
      </c>
      <c r="H761" t="s">
        <v>10</v>
      </c>
      <c r="I761" t="s">
        <v>2117</v>
      </c>
      <c r="J761" t="s">
        <v>2110</v>
      </c>
      <c r="K761">
        <v>22.72</v>
      </c>
      <c r="L761">
        <f t="shared" si="22"/>
        <v>2272</v>
      </c>
      <c r="M761">
        <f t="shared" si="23"/>
        <v>454.40000000000003</v>
      </c>
    </row>
    <row r="762" spans="1:13" x14ac:dyDescent="0.3">
      <c r="A762">
        <v>761</v>
      </c>
      <c r="B762" t="s">
        <v>946</v>
      </c>
      <c r="C762" s="1">
        <v>42613</v>
      </c>
      <c r="D762" s="1">
        <v>42618</v>
      </c>
      <c r="E762" t="s">
        <v>2118</v>
      </c>
      <c r="F762" t="s">
        <v>766</v>
      </c>
      <c r="G762" t="s">
        <v>767</v>
      </c>
      <c r="H762" t="s">
        <v>6</v>
      </c>
      <c r="I762" t="s">
        <v>2112</v>
      </c>
      <c r="J762" t="s">
        <v>2110</v>
      </c>
      <c r="K762">
        <v>58.32</v>
      </c>
      <c r="L762">
        <f t="shared" si="22"/>
        <v>5832</v>
      </c>
      <c r="M762">
        <f t="shared" si="23"/>
        <v>1166.4000000000001</v>
      </c>
    </row>
    <row r="763" spans="1:13" x14ac:dyDescent="0.3">
      <c r="A763">
        <v>762</v>
      </c>
      <c r="B763" t="s">
        <v>947</v>
      </c>
      <c r="C763" s="1">
        <v>43407</v>
      </c>
      <c r="D763" s="1">
        <v>43411</v>
      </c>
      <c r="E763" t="s">
        <v>2118</v>
      </c>
      <c r="F763" t="s">
        <v>117</v>
      </c>
      <c r="G763" t="s">
        <v>118</v>
      </c>
      <c r="H763" t="s">
        <v>10</v>
      </c>
      <c r="I763" t="s">
        <v>2115</v>
      </c>
      <c r="J763" t="s">
        <v>2110</v>
      </c>
      <c r="K763">
        <v>12.39</v>
      </c>
      <c r="L763">
        <f t="shared" si="22"/>
        <v>1239</v>
      </c>
      <c r="M763">
        <f t="shared" si="23"/>
        <v>247.8</v>
      </c>
    </row>
    <row r="764" spans="1:13" x14ac:dyDescent="0.3">
      <c r="A764">
        <v>763</v>
      </c>
      <c r="B764" t="s">
        <v>948</v>
      </c>
      <c r="C764" s="1">
        <v>42408</v>
      </c>
      <c r="D764" s="1">
        <v>42413</v>
      </c>
      <c r="E764" t="s">
        <v>2118</v>
      </c>
      <c r="F764" t="s">
        <v>949</v>
      </c>
      <c r="G764" t="s">
        <v>950</v>
      </c>
      <c r="H764" t="s">
        <v>6</v>
      </c>
      <c r="I764" t="s">
        <v>2114</v>
      </c>
      <c r="J764" t="s">
        <v>2111</v>
      </c>
      <c r="K764">
        <v>107.982</v>
      </c>
      <c r="L764">
        <f t="shared" si="22"/>
        <v>10798.2</v>
      </c>
      <c r="M764">
        <f t="shared" si="23"/>
        <v>2159.6400000000003</v>
      </c>
    </row>
    <row r="765" spans="1:13" x14ac:dyDescent="0.3">
      <c r="A765">
        <v>764</v>
      </c>
      <c r="B765" t="s">
        <v>951</v>
      </c>
      <c r="C765" s="1">
        <v>42017</v>
      </c>
      <c r="D765" s="1">
        <v>42019</v>
      </c>
      <c r="E765" t="s">
        <v>2119</v>
      </c>
      <c r="F765" t="s">
        <v>952</v>
      </c>
      <c r="G765" t="s">
        <v>953</v>
      </c>
      <c r="H765" t="s">
        <v>10</v>
      </c>
      <c r="I765" t="s">
        <v>2115</v>
      </c>
      <c r="J765" t="s">
        <v>2110</v>
      </c>
      <c r="K765">
        <v>11.36</v>
      </c>
      <c r="L765">
        <f t="shared" si="22"/>
        <v>1136</v>
      </c>
      <c r="M765">
        <f t="shared" si="23"/>
        <v>227.20000000000002</v>
      </c>
    </row>
    <row r="766" spans="1:13" x14ac:dyDescent="0.3">
      <c r="A766">
        <v>765</v>
      </c>
      <c r="B766" t="s">
        <v>951</v>
      </c>
      <c r="C766" s="1">
        <v>42017</v>
      </c>
      <c r="D766" s="1">
        <v>42019</v>
      </c>
      <c r="E766" t="s">
        <v>2119</v>
      </c>
      <c r="F766" t="s">
        <v>952</v>
      </c>
      <c r="G766" t="s">
        <v>953</v>
      </c>
      <c r="H766" t="s">
        <v>10</v>
      </c>
      <c r="I766" t="s">
        <v>2115</v>
      </c>
      <c r="J766" t="s">
        <v>2110</v>
      </c>
      <c r="K766">
        <v>50.94</v>
      </c>
      <c r="L766">
        <f t="shared" si="22"/>
        <v>5094</v>
      </c>
      <c r="M766">
        <f t="shared" si="23"/>
        <v>1018.8000000000001</v>
      </c>
    </row>
    <row r="767" spans="1:13" x14ac:dyDescent="0.3">
      <c r="A767">
        <v>766</v>
      </c>
      <c r="B767" t="s">
        <v>951</v>
      </c>
      <c r="C767" s="1">
        <v>42017</v>
      </c>
      <c r="D767" s="1">
        <v>42019</v>
      </c>
      <c r="E767" t="s">
        <v>2119</v>
      </c>
      <c r="F767" t="s">
        <v>952</v>
      </c>
      <c r="G767" t="s">
        <v>953</v>
      </c>
      <c r="H767" t="s">
        <v>10</v>
      </c>
      <c r="I767" t="s">
        <v>2115</v>
      </c>
      <c r="J767" t="s">
        <v>2111</v>
      </c>
      <c r="K767">
        <v>646.74</v>
      </c>
      <c r="L767">
        <f t="shared" si="22"/>
        <v>64674</v>
      </c>
      <c r="M767">
        <f t="shared" si="23"/>
        <v>12934.800000000001</v>
      </c>
    </row>
    <row r="768" spans="1:13" x14ac:dyDescent="0.3">
      <c r="A768">
        <v>767</v>
      </c>
      <c r="B768" t="s">
        <v>951</v>
      </c>
      <c r="C768" s="1">
        <v>42017</v>
      </c>
      <c r="D768" s="1">
        <v>42019</v>
      </c>
      <c r="E768" t="s">
        <v>2119</v>
      </c>
      <c r="F768" t="s">
        <v>952</v>
      </c>
      <c r="G768" t="s">
        <v>953</v>
      </c>
      <c r="H768" t="s">
        <v>10</v>
      </c>
      <c r="I768" t="s">
        <v>2115</v>
      </c>
      <c r="J768" t="s">
        <v>2110</v>
      </c>
      <c r="K768">
        <v>5.64</v>
      </c>
      <c r="L768">
        <f t="shared" si="22"/>
        <v>564</v>
      </c>
      <c r="M768">
        <f t="shared" si="23"/>
        <v>112.80000000000001</v>
      </c>
    </row>
    <row r="769" spans="1:13" x14ac:dyDescent="0.3">
      <c r="A769">
        <v>768</v>
      </c>
      <c r="B769" t="s">
        <v>951</v>
      </c>
      <c r="C769" s="1">
        <v>42017</v>
      </c>
      <c r="D769" s="1">
        <v>42019</v>
      </c>
      <c r="E769" t="s">
        <v>2119</v>
      </c>
      <c r="F769" t="s">
        <v>952</v>
      </c>
      <c r="G769" t="s">
        <v>953</v>
      </c>
      <c r="H769" t="s">
        <v>10</v>
      </c>
      <c r="I769" t="s">
        <v>2115</v>
      </c>
      <c r="J769" t="s">
        <v>2110</v>
      </c>
      <c r="K769">
        <v>572.58000000000004</v>
      </c>
      <c r="L769">
        <f t="shared" si="22"/>
        <v>57258.000000000007</v>
      </c>
      <c r="M769">
        <f t="shared" si="23"/>
        <v>11451.600000000002</v>
      </c>
    </row>
    <row r="770" spans="1:13" x14ac:dyDescent="0.3">
      <c r="A770">
        <v>769</v>
      </c>
      <c r="B770" t="s">
        <v>954</v>
      </c>
      <c r="C770" s="1">
        <v>42138</v>
      </c>
      <c r="D770" s="1">
        <v>42144</v>
      </c>
      <c r="E770" t="s">
        <v>2118</v>
      </c>
      <c r="F770" t="s">
        <v>955</v>
      </c>
      <c r="G770" t="s">
        <v>956</v>
      </c>
      <c r="H770" t="s">
        <v>10</v>
      </c>
      <c r="I770" t="s">
        <v>2115</v>
      </c>
      <c r="J770" t="s">
        <v>2109</v>
      </c>
      <c r="K770">
        <v>310.88</v>
      </c>
      <c r="L770">
        <f t="shared" ref="L770:L833" si="24">K770*100</f>
        <v>31088</v>
      </c>
      <c r="M770">
        <f t="shared" si="23"/>
        <v>6217.6</v>
      </c>
    </row>
    <row r="771" spans="1:13" x14ac:dyDescent="0.3">
      <c r="A771">
        <v>770</v>
      </c>
      <c r="B771" t="s">
        <v>957</v>
      </c>
      <c r="C771" s="1">
        <v>42874</v>
      </c>
      <c r="D771" s="1">
        <v>42879</v>
      </c>
      <c r="E771" t="s">
        <v>2118</v>
      </c>
      <c r="F771" t="s">
        <v>302</v>
      </c>
      <c r="G771" t="s">
        <v>303</v>
      </c>
      <c r="H771" t="s">
        <v>6</v>
      </c>
      <c r="I771" t="s">
        <v>2115</v>
      </c>
      <c r="J771" t="s">
        <v>2109</v>
      </c>
      <c r="K771">
        <v>641.96</v>
      </c>
      <c r="L771">
        <f t="shared" si="24"/>
        <v>64196</v>
      </c>
      <c r="M771">
        <f t="shared" ref="M771:M834" si="25">L771*0.2</f>
        <v>12839.2</v>
      </c>
    </row>
    <row r="772" spans="1:13" x14ac:dyDescent="0.3">
      <c r="A772">
        <v>771</v>
      </c>
      <c r="B772" t="s">
        <v>958</v>
      </c>
      <c r="C772" s="1">
        <v>43130</v>
      </c>
      <c r="D772" s="1">
        <v>43136</v>
      </c>
      <c r="E772" t="s">
        <v>2118</v>
      </c>
      <c r="F772" t="s">
        <v>959</v>
      </c>
      <c r="G772" t="s">
        <v>960</v>
      </c>
      <c r="H772" t="s">
        <v>10</v>
      </c>
      <c r="I772" t="s">
        <v>2117</v>
      </c>
      <c r="J772" t="s">
        <v>2110</v>
      </c>
      <c r="K772">
        <v>18.28</v>
      </c>
      <c r="L772">
        <f t="shared" si="24"/>
        <v>1828</v>
      </c>
      <c r="M772">
        <f t="shared" si="25"/>
        <v>365.6</v>
      </c>
    </row>
    <row r="773" spans="1:13" x14ac:dyDescent="0.3">
      <c r="A773">
        <v>772</v>
      </c>
      <c r="B773" t="s">
        <v>958</v>
      </c>
      <c r="C773" s="1">
        <v>43130</v>
      </c>
      <c r="D773" s="1">
        <v>43136</v>
      </c>
      <c r="E773" t="s">
        <v>2118</v>
      </c>
      <c r="F773" t="s">
        <v>959</v>
      </c>
      <c r="G773" t="s">
        <v>960</v>
      </c>
      <c r="H773" t="s">
        <v>10</v>
      </c>
      <c r="I773" t="s">
        <v>2117</v>
      </c>
      <c r="J773" t="s">
        <v>2111</v>
      </c>
      <c r="K773">
        <v>207</v>
      </c>
      <c r="L773">
        <f t="shared" si="24"/>
        <v>20700</v>
      </c>
      <c r="M773">
        <f t="shared" si="25"/>
        <v>4140</v>
      </c>
    </row>
    <row r="774" spans="1:13" x14ac:dyDescent="0.3">
      <c r="A774">
        <v>773</v>
      </c>
      <c r="B774" t="s">
        <v>958</v>
      </c>
      <c r="C774" s="1">
        <v>43130</v>
      </c>
      <c r="D774" s="1">
        <v>43136</v>
      </c>
      <c r="E774" t="s">
        <v>2118</v>
      </c>
      <c r="F774" t="s">
        <v>959</v>
      </c>
      <c r="G774" t="s">
        <v>960</v>
      </c>
      <c r="H774" t="s">
        <v>10</v>
      </c>
      <c r="I774" t="s">
        <v>2117</v>
      </c>
      <c r="J774" t="s">
        <v>2110</v>
      </c>
      <c r="K774">
        <v>32.35</v>
      </c>
      <c r="L774">
        <f t="shared" si="24"/>
        <v>3235</v>
      </c>
      <c r="M774">
        <f t="shared" si="25"/>
        <v>647</v>
      </c>
    </row>
    <row r="775" spans="1:13" x14ac:dyDescent="0.3">
      <c r="A775">
        <v>774</v>
      </c>
      <c r="B775" t="s">
        <v>958</v>
      </c>
      <c r="C775" s="1">
        <v>43130</v>
      </c>
      <c r="D775" s="1">
        <v>43136</v>
      </c>
      <c r="E775" t="s">
        <v>2118</v>
      </c>
      <c r="F775" t="s">
        <v>959</v>
      </c>
      <c r="G775" t="s">
        <v>960</v>
      </c>
      <c r="H775" t="s">
        <v>10</v>
      </c>
      <c r="I775" t="s">
        <v>2117</v>
      </c>
      <c r="J775" t="s">
        <v>2110</v>
      </c>
      <c r="K775">
        <v>7.71</v>
      </c>
      <c r="L775">
        <f t="shared" si="24"/>
        <v>771</v>
      </c>
      <c r="M775">
        <f t="shared" si="25"/>
        <v>154.20000000000002</v>
      </c>
    </row>
    <row r="776" spans="1:13" x14ac:dyDescent="0.3">
      <c r="A776">
        <v>775</v>
      </c>
      <c r="B776" t="s">
        <v>958</v>
      </c>
      <c r="C776" s="1">
        <v>43130</v>
      </c>
      <c r="D776" s="1">
        <v>43136</v>
      </c>
      <c r="E776" t="s">
        <v>2118</v>
      </c>
      <c r="F776" t="s">
        <v>959</v>
      </c>
      <c r="G776" t="s">
        <v>960</v>
      </c>
      <c r="H776" t="s">
        <v>10</v>
      </c>
      <c r="I776" t="s">
        <v>2117</v>
      </c>
      <c r="J776" t="s">
        <v>2110</v>
      </c>
      <c r="K776">
        <v>40.299999999999997</v>
      </c>
      <c r="L776">
        <f t="shared" si="24"/>
        <v>4029.9999999999995</v>
      </c>
      <c r="M776">
        <f t="shared" si="25"/>
        <v>806</v>
      </c>
    </row>
    <row r="777" spans="1:13" x14ac:dyDescent="0.3">
      <c r="A777">
        <v>776</v>
      </c>
      <c r="B777" t="s">
        <v>958</v>
      </c>
      <c r="C777" s="1">
        <v>43130</v>
      </c>
      <c r="D777" s="1">
        <v>43136</v>
      </c>
      <c r="E777" t="s">
        <v>2118</v>
      </c>
      <c r="F777" t="s">
        <v>959</v>
      </c>
      <c r="G777" t="s">
        <v>960</v>
      </c>
      <c r="H777" t="s">
        <v>10</v>
      </c>
      <c r="I777" t="s">
        <v>2117</v>
      </c>
      <c r="J777" t="s">
        <v>2109</v>
      </c>
      <c r="K777">
        <v>34.58</v>
      </c>
      <c r="L777">
        <f t="shared" si="24"/>
        <v>3458</v>
      </c>
      <c r="M777">
        <f t="shared" si="25"/>
        <v>691.6</v>
      </c>
    </row>
    <row r="778" spans="1:13" x14ac:dyDescent="0.3">
      <c r="A778">
        <v>777</v>
      </c>
      <c r="B778" t="s">
        <v>961</v>
      </c>
      <c r="C778" s="1">
        <v>42184</v>
      </c>
      <c r="D778" s="1">
        <v>42191</v>
      </c>
      <c r="E778" t="s">
        <v>2118</v>
      </c>
      <c r="F778" t="s">
        <v>962</v>
      </c>
      <c r="G778" t="s">
        <v>963</v>
      </c>
      <c r="H778" t="s">
        <v>6</v>
      </c>
      <c r="I778" t="s">
        <v>2114</v>
      </c>
      <c r="J778" t="s">
        <v>2110</v>
      </c>
      <c r="K778">
        <v>32.76</v>
      </c>
      <c r="L778">
        <f t="shared" si="24"/>
        <v>3276</v>
      </c>
      <c r="M778">
        <f t="shared" si="25"/>
        <v>655.20000000000005</v>
      </c>
    </row>
    <row r="779" spans="1:13" x14ac:dyDescent="0.3">
      <c r="A779">
        <v>778</v>
      </c>
      <c r="B779" t="s">
        <v>964</v>
      </c>
      <c r="C779" s="1">
        <v>42603</v>
      </c>
      <c r="D779" s="1">
        <v>42605</v>
      </c>
      <c r="E779" t="s">
        <v>2120</v>
      </c>
      <c r="F779" t="s">
        <v>391</v>
      </c>
      <c r="G779" t="s">
        <v>392</v>
      </c>
      <c r="H779" t="s">
        <v>26</v>
      </c>
      <c r="I779" t="s">
        <v>2112</v>
      </c>
      <c r="J779" t="s">
        <v>2109</v>
      </c>
      <c r="K779">
        <v>544.00800000000004</v>
      </c>
      <c r="L779">
        <f t="shared" si="24"/>
        <v>54400.800000000003</v>
      </c>
      <c r="M779">
        <f t="shared" si="25"/>
        <v>10880.160000000002</v>
      </c>
    </row>
    <row r="780" spans="1:13" x14ac:dyDescent="0.3">
      <c r="A780">
        <v>779</v>
      </c>
      <c r="B780" t="s">
        <v>964</v>
      </c>
      <c r="C780" s="1">
        <v>42603</v>
      </c>
      <c r="D780" s="1">
        <v>42605</v>
      </c>
      <c r="E780" t="s">
        <v>2120</v>
      </c>
      <c r="F780" t="s">
        <v>391</v>
      </c>
      <c r="G780" t="s">
        <v>392</v>
      </c>
      <c r="H780" t="s">
        <v>26</v>
      </c>
      <c r="I780" t="s">
        <v>2112</v>
      </c>
      <c r="J780" t="s">
        <v>2110</v>
      </c>
      <c r="K780">
        <v>59.94</v>
      </c>
      <c r="L780">
        <f t="shared" si="24"/>
        <v>5994</v>
      </c>
      <c r="M780">
        <f t="shared" si="25"/>
        <v>1198.8</v>
      </c>
    </row>
    <row r="781" spans="1:13" x14ac:dyDescent="0.3">
      <c r="A781">
        <v>780</v>
      </c>
      <c r="B781" t="s">
        <v>964</v>
      </c>
      <c r="C781" s="1">
        <v>42603</v>
      </c>
      <c r="D781" s="1">
        <v>42605</v>
      </c>
      <c r="E781" t="s">
        <v>2120</v>
      </c>
      <c r="F781" t="s">
        <v>391</v>
      </c>
      <c r="G781" t="s">
        <v>392</v>
      </c>
      <c r="H781" t="s">
        <v>26</v>
      </c>
      <c r="I781" t="s">
        <v>2112</v>
      </c>
      <c r="J781" t="s">
        <v>2110</v>
      </c>
      <c r="K781">
        <v>23.92</v>
      </c>
      <c r="L781">
        <f t="shared" si="24"/>
        <v>2392</v>
      </c>
      <c r="M781">
        <f t="shared" si="25"/>
        <v>478.40000000000003</v>
      </c>
    </row>
    <row r="782" spans="1:13" x14ac:dyDescent="0.3">
      <c r="A782">
        <v>781</v>
      </c>
      <c r="B782" t="s">
        <v>964</v>
      </c>
      <c r="C782" s="1">
        <v>42603</v>
      </c>
      <c r="D782" s="1">
        <v>42605</v>
      </c>
      <c r="E782" t="s">
        <v>2120</v>
      </c>
      <c r="F782" t="s">
        <v>391</v>
      </c>
      <c r="G782" t="s">
        <v>392</v>
      </c>
      <c r="H782" t="s">
        <v>26</v>
      </c>
      <c r="I782" t="s">
        <v>2112</v>
      </c>
      <c r="J782" t="s">
        <v>2110</v>
      </c>
      <c r="K782">
        <v>4.28</v>
      </c>
      <c r="L782">
        <f t="shared" si="24"/>
        <v>428</v>
      </c>
      <c r="M782">
        <f t="shared" si="25"/>
        <v>85.600000000000009</v>
      </c>
    </row>
    <row r="783" spans="1:13" x14ac:dyDescent="0.3">
      <c r="A783">
        <v>782</v>
      </c>
      <c r="B783" t="s">
        <v>965</v>
      </c>
      <c r="C783" s="1">
        <v>42646</v>
      </c>
      <c r="D783" s="1">
        <v>42649</v>
      </c>
      <c r="E783" t="s">
        <v>2119</v>
      </c>
      <c r="F783" t="s">
        <v>966</v>
      </c>
      <c r="G783" t="s">
        <v>967</v>
      </c>
      <c r="H783" t="s">
        <v>6</v>
      </c>
      <c r="I783" t="s">
        <v>2114</v>
      </c>
      <c r="J783" t="s">
        <v>2110</v>
      </c>
      <c r="K783">
        <v>32.07</v>
      </c>
      <c r="L783">
        <f t="shared" si="24"/>
        <v>3207</v>
      </c>
      <c r="M783">
        <f t="shared" si="25"/>
        <v>641.40000000000009</v>
      </c>
    </row>
    <row r="784" spans="1:13" x14ac:dyDescent="0.3">
      <c r="A784">
        <v>783</v>
      </c>
      <c r="B784" t="s">
        <v>965</v>
      </c>
      <c r="C784" s="1">
        <v>42646</v>
      </c>
      <c r="D784" s="1">
        <v>42649</v>
      </c>
      <c r="E784" t="s">
        <v>2119</v>
      </c>
      <c r="F784" t="s">
        <v>966</v>
      </c>
      <c r="G784" t="s">
        <v>967</v>
      </c>
      <c r="H784" t="s">
        <v>6</v>
      </c>
      <c r="I784" t="s">
        <v>2114</v>
      </c>
      <c r="J784" t="s">
        <v>2111</v>
      </c>
      <c r="K784">
        <v>24</v>
      </c>
      <c r="L784">
        <f t="shared" si="24"/>
        <v>2400</v>
      </c>
      <c r="M784">
        <f t="shared" si="25"/>
        <v>480</v>
      </c>
    </row>
    <row r="785" spans="1:13" x14ac:dyDescent="0.3">
      <c r="A785">
        <v>784</v>
      </c>
      <c r="B785" t="s">
        <v>965</v>
      </c>
      <c r="C785" s="1">
        <v>42646</v>
      </c>
      <c r="D785" s="1">
        <v>42649</v>
      </c>
      <c r="E785" t="s">
        <v>2119</v>
      </c>
      <c r="F785" t="s">
        <v>966</v>
      </c>
      <c r="G785" t="s">
        <v>967</v>
      </c>
      <c r="H785" t="s">
        <v>6</v>
      </c>
      <c r="I785" t="s">
        <v>2114</v>
      </c>
      <c r="J785" t="s">
        <v>2109</v>
      </c>
      <c r="K785">
        <v>35.49</v>
      </c>
      <c r="L785">
        <f t="shared" si="24"/>
        <v>3549</v>
      </c>
      <c r="M785">
        <f t="shared" si="25"/>
        <v>709.80000000000007</v>
      </c>
    </row>
    <row r="786" spans="1:13" x14ac:dyDescent="0.3">
      <c r="A786">
        <v>785</v>
      </c>
      <c r="B786" t="s">
        <v>965</v>
      </c>
      <c r="C786" s="1">
        <v>42646</v>
      </c>
      <c r="D786" s="1">
        <v>42649</v>
      </c>
      <c r="E786" t="s">
        <v>2119</v>
      </c>
      <c r="F786" t="s">
        <v>966</v>
      </c>
      <c r="G786" t="s">
        <v>967</v>
      </c>
      <c r="H786" t="s">
        <v>6</v>
      </c>
      <c r="I786" t="s">
        <v>2114</v>
      </c>
      <c r="J786" t="s">
        <v>2111</v>
      </c>
      <c r="K786">
        <v>47.984000000000002</v>
      </c>
      <c r="L786">
        <f t="shared" si="24"/>
        <v>4798.4000000000005</v>
      </c>
      <c r="M786">
        <f t="shared" si="25"/>
        <v>959.68000000000018</v>
      </c>
    </row>
    <row r="787" spans="1:13" x14ac:dyDescent="0.3">
      <c r="A787">
        <v>786</v>
      </c>
      <c r="B787" t="s">
        <v>968</v>
      </c>
      <c r="C787" s="1">
        <v>42513</v>
      </c>
      <c r="D787" s="1">
        <v>42518</v>
      </c>
      <c r="E787" t="s">
        <v>2118</v>
      </c>
      <c r="F787" t="s">
        <v>326</v>
      </c>
      <c r="G787" t="s">
        <v>327</v>
      </c>
      <c r="H787" t="s">
        <v>10</v>
      </c>
      <c r="I787" t="s">
        <v>2115</v>
      </c>
      <c r="J787" t="s">
        <v>2110</v>
      </c>
      <c r="K787">
        <v>186.69</v>
      </c>
      <c r="L787">
        <f t="shared" si="24"/>
        <v>18669</v>
      </c>
      <c r="M787">
        <f t="shared" si="25"/>
        <v>3733.8</v>
      </c>
    </row>
    <row r="788" spans="1:13" x14ac:dyDescent="0.3">
      <c r="A788">
        <v>787</v>
      </c>
      <c r="B788" t="s">
        <v>969</v>
      </c>
      <c r="C788" s="1">
        <v>43176</v>
      </c>
      <c r="D788" s="1">
        <v>43180</v>
      </c>
      <c r="E788" t="s">
        <v>2119</v>
      </c>
      <c r="F788" t="s">
        <v>166</v>
      </c>
      <c r="G788" t="s">
        <v>167</v>
      </c>
      <c r="H788" t="s">
        <v>6</v>
      </c>
      <c r="I788" t="s">
        <v>2112</v>
      </c>
      <c r="J788" t="s">
        <v>2110</v>
      </c>
      <c r="K788">
        <v>17.456</v>
      </c>
      <c r="L788">
        <f t="shared" si="24"/>
        <v>1745.6</v>
      </c>
      <c r="M788">
        <f t="shared" si="25"/>
        <v>349.12</v>
      </c>
    </row>
    <row r="789" spans="1:13" x14ac:dyDescent="0.3">
      <c r="A789">
        <v>788</v>
      </c>
      <c r="B789" t="s">
        <v>970</v>
      </c>
      <c r="C789" s="1">
        <v>42716</v>
      </c>
      <c r="D789" s="1">
        <v>42720</v>
      </c>
      <c r="E789" t="s">
        <v>2118</v>
      </c>
      <c r="F789" t="s">
        <v>971</v>
      </c>
      <c r="G789" t="s">
        <v>972</v>
      </c>
      <c r="H789" t="s">
        <v>6</v>
      </c>
      <c r="I789" t="s">
        <v>2112</v>
      </c>
      <c r="J789" t="s">
        <v>2109</v>
      </c>
      <c r="K789">
        <v>348.928</v>
      </c>
      <c r="L789">
        <f t="shared" si="24"/>
        <v>34892.800000000003</v>
      </c>
      <c r="M789">
        <f t="shared" si="25"/>
        <v>6978.5600000000013</v>
      </c>
    </row>
    <row r="790" spans="1:13" x14ac:dyDescent="0.3">
      <c r="A790">
        <v>789</v>
      </c>
      <c r="B790" t="s">
        <v>973</v>
      </c>
      <c r="C790" s="1">
        <v>42547</v>
      </c>
      <c r="D790" s="1">
        <v>42551</v>
      </c>
      <c r="E790" t="s">
        <v>2118</v>
      </c>
      <c r="F790" t="s">
        <v>617</v>
      </c>
      <c r="G790" t="s">
        <v>618</v>
      </c>
      <c r="H790" t="s">
        <v>6</v>
      </c>
      <c r="I790" t="s">
        <v>2115</v>
      </c>
      <c r="J790" t="s">
        <v>2110</v>
      </c>
      <c r="K790">
        <v>143.96</v>
      </c>
      <c r="L790">
        <f t="shared" si="24"/>
        <v>14396</v>
      </c>
      <c r="M790">
        <f t="shared" si="25"/>
        <v>2879.2000000000003</v>
      </c>
    </row>
    <row r="791" spans="1:13" x14ac:dyDescent="0.3">
      <c r="A791">
        <v>790</v>
      </c>
      <c r="B791" t="s">
        <v>973</v>
      </c>
      <c r="C791" s="1">
        <v>42547</v>
      </c>
      <c r="D791" s="1">
        <v>42551</v>
      </c>
      <c r="E791" t="s">
        <v>2118</v>
      </c>
      <c r="F791" t="s">
        <v>617</v>
      </c>
      <c r="G791" t="s">
        <v>618</v>
      </c>
      <c r="H791" t="s">
        <v>6</v>
      </c>
      <c r="I791" t="s">
        <v>2115</v>
      </c>
      <c r="J791" t="s">
        <v>2110</v>
      </c>
      <c r="K791">
        <v>15.42</v>
      </c>
      <c r="L791">
        <f t="shared" si="24"/>
        <v>1542</v>
      </c>
      <c r="M791">
        <f t="shared" si="25"/>
        <v>308.40000000000003</v>
      </c>
    </row>
    <row r="792" spans="1:13" x14ac:dyDescent="0.3">
      <c r="A792">
        <v>791</v>
      </c>
      <c r="B792" t="s">
        <v>973</v>
      </c>
      <c r="C792" s="1">
        <v>42547</v>
      </c>
      <c r="D792" s="1">
        <v>42551</v>
      </c>
      <c r="E792" t="s">
        <v>2118</v>
      </c>
      <c r="F792" t="s">
        <v>617</v>
      </c>
      <c r="G792" t="s">
        <v>618</v>
      </c>
      <c r="H792" t="s">
        <v>6</v>
      </c>
      <c r="I792" t="s">
        <v>2115</v>
      </c>
      <c r="J792" t="s">
        <v>2110</v>
      </c>
      <c r="K792">
        <v>43.04</v>
      </c>
      <c r="L792">
        <f t="shared" si="24"/>
        <v>4304</v>
      </c>
      <c r="M792">
        <f t="shared" si="25"/>
        <v>860.80000000000007</v>
      </c>
    </row>
    <row r="793" spans="1:13" x14ac:dyDescent="0.3">
      <c r="A793">
        <v>792</v>
      </c>
      <c r="B793" t="s">
        <v>973</v>
      </c>
      <c r="C793" s="1">
        <v>42547</v>
      </c>
      <c r="D793" s="1">
        <v>42551</v>
      </c>
      <c r="E793" t="s">
        <v>2118</v>
      </c>
      <c r="F793" t="s">
        <v>617</v>
      </c>
      <c r="G793" t="s">
        <v>618</v>
      </c>
      <c r="H793" t="s">
        <v>6</v>
      </c>
      <c r="I793" t="s">
        <v>2115</v>
      </c>
      <c r="J793" t="s">
        <v>2109</v>
      </c>
      <c r="K793">
        <v>332.94</v>
      </c>
      <c r="L793">
        <f t="shared" si="24"/>
        <v>33294</v>
      </c>
      <c r="M793">
        <f t="shared" si="25"/>
        <v>6658.8</v>
      </c>
    </row>
    <row r="794" spans="1:13" x14ac:dyDescent="0.3">
      <c r="A794">
        <v>793</v>
      </c>
      <c r="B794" t="s">
        <v>974</v>
      </c>
      <c r="C794" s="1">
        <v>42875</v>
      </c>
      <c r="D794" s="1">
        <v>42875</v>
      </c>
      <c r="E794" t="s">
        <v>2120</v>
      </c>
      <c r="F794" t="s">
        <v>975</v>
      </c>
      <c r="G794" t="s">
        <v>976</v>
      </c>
      <c r="H794" t="s">
        <v>6</v>
      </c>
      <c r="I794" t="s">
        <v>2115</v>
      </c>
      <c r="J794" t="s">
        <v>2111</v>
      </c>
      <c r="K794">
        <v>1363.96</v>
      </c>
      <c r="L794">
        <f t="shared" si="24"/>
        <v>136396</v>
      </c>
      <c r="M794">
        <f t="shared" si="25"/>
        <v>27279.200000000001</v>
      </c>
    </row>
    <row r="795" spans="1:13" x14ac:dyDescent="0.3">
      <c r="A795">
        <v>794</v>
      </c>
      <c r="B795" t="s">
        <v>977</v>
      </c>
      <c r="C795" s="1">
        <v>42267</v>
      </c>
      <c r="D795" s="1">
        <v>42273</v>
      </c>
      <c r="E795" t="s">
        <v>2118</v>
      </c>
      <c r="F795" t="s">
        <v>978</v>
      </c>
      <c r="G795" t="s">
        <v>979</v>
      </c>
      <c r="H795" t="s">
        <v>6</v>
      </c>
      <c r="I795" t="s">
        <v>2112</v>
      </c>
      <c r="J795" t="s">
        <v>2110</v>
      </c>
      <c r="K795">
        <v>9.9600000000000009</v>
      </c>
      <c r="L795">
        <f t="shared" si="24"/>
        <v>996.00000000000011</v>
      </c>
      <c r="M795">
        <f t="shared" si="25"/>
        <v>199.20000000000005</v>
      </c>
    </row>
    <row r="796" spans="1:13" x14ac:dyDescent="0.3">
      <c r="A796">
        <v>795</v>
      </c>
      <c r="B796" t="s">
        <v>977</v>
      </c>
      <c r="C796" s="1">
        <v>42267</v>
      </c>
      <c r="D796" s="1">
        <v>42273</v>
      </c>
      <c r="E796" t="s">
        <v>2118</v>
      </c>
      <c r="F796" t="s">
        <v>978</v>
      </c>
      <c r="G796" t="s">
        <v>979</v>
      </c>
      <c r="H796" t="s">
        <v>6</v>
      </c>
      <c r="I796" t="s">
        <v>2112</v>
      </c>
      <c r="J796" t="s">
        <v>2110</v>
      </c>
      <c r="K796">
        <v>21.72</v>
      </c>
      <c r="L796">
        <f t="shared" si="24"/>
        <v>2172</v>
      </c>
      <c r="M796">
        <f t="shared" si="25"/>
        <v>434.40000000000003</v>
      </c>
    </row>
    <row r="797" spans="1:13" x14ac:dyDescent="0.3">
      <c r="A797">
        <v>796</v>
      </c>
      <c r="B797" t="s">
        <v>980</v>
      </c>
      <c r="C797" s="1">
        <v>43364</v>
      </c>
      <c r="D797" s="1">
        <v>43369</v>
      </c>
      <c r="E797" t="s">
        <v>2118</v>
      </c>
      <c r="F797" t="s">
        <v>981</v>
      </c>
      <c r="G797" t="s">
        <v>982</v>
      </c>
      <c r="H797" t="s">
        <v>6</v>
      </c>
      <c r="I797" t="s">
        <v>2117</v>
      </c>
      <c r="J797" t="s">
        <v>2110</v>
      </c>
      <c r="K797">
        <v>20.16</v>
      </c>
      <c r="L797">
        <f t="shared" si="24"/>
        <v>2016</v>
      </c>
      <c r="M797">
        <f t="shared" si="25"/>
        <v>403.20000000000005</v>
      </c>
    </row>
    <row r="798" spans="1:13" x14ac:dyDescent="0.3">
      <c r="A798">
        <v>797</v>
      </c>
      <c r="B798" t="s">
        <v>983</v>
      </c>
      <c r="C798" s="1">
        <v>42728</v>
      </c>
      <c r="D798" s="1">
        <v>42730</v>
      </c>
      <c r="E798" t="s">
        <v>2120</v>
      </c>
      <c r="F798" t="s">
        <v>330</v>
      </c>
      <c r="G798" t="s">
        <v>331</v>
      </c>
      <c r="H798" t="s">
        <v>10</v>
      </c>
      <c r="I798" t="s">
        <v>2114</v>
      </c>
      <c r="J798" t="s">
        <v>2110</v>
      </c>
      <c r="K798">
        <v>132.79</v>
      </c>
      <c r="L798">
        <f t="shared" si="24"/>
        <v>13279</v>
      </c>
      <c r="M798">
        <f t="shared" si="25"/>
        <v>2655.8</v>
      </c>
    </row>
    <row r="799" spans="1:13" x14ac:dyDescent="0.3">
      <c r="A799">
        <v>798</v>
      </c>
      <c r="B799" t="s">
        <v>983</v>
      </c>
      <c r="C799" s="1">
        <v>42728</v>
      </c>
      <c r="D799" s="1">
        <v>42730</v>
      </c>
      <c r="E799" t="s">
        <v>2120</v>
      </c>
      <c r="F799" t="s">
        <v>330</v>
      </c>
      <c r="G799" t="s">
        <v>331</v>
      </c>
      <c r="H799" t="s">
        <v>10</v>
      </c>
      <c r="I799" t="s">
        <v>2114</v>
      </c>
      <c r="J799" t="s">
        <v>2110</v>
      </c>
      <c r="K799">
        <v>12.96</v>
      </c>
      <c r="L799">
        <f t="shared" si="24"/>
        <v>1296</v>
      </c>
      <c r="M799">
        <f t="shared" si="25"/>
        <v>259.2</v>
      </c>
    </row>
    <row r="800" spans="1:13" x14ac:dyDescent="0.3">
      <c r="A800">
        <v>799</v>
      </c>
      <c r="B800" t="s">
        <v>983</v>
      </c>
      <c r="C800" s="1">
        <v>42728</v>
      </c>
      <c r="D800" s="1">
        <v>42730</v>
      </c>
      <c r="E800" t="s">
        <v>2120</v>
      </c>
      <c r="F800" t="s">
        <v>330</v>
      </c>
      <c r="G800" t="s">
        <v>331</v>
      </c>
      <c r="H800" t="s">
        <v>10</v>
      </c>
      <c r="I800" t="s">
        <v>2114</v>
      </c>
      <c r="J800" t="s">
        <v>2110</v>
      </c>
      <c r="K800">
        <v>21.56</v>
      </c>
      <c r="L800">
        <f t="shared" si="24"/>
        <v>2156</v>
      </c>
      <c r="M800">
        <f t="shared" si="25"/>
        <v>431.20000000000005</v>
      </c>
    </row>
    <row r="801" spans="1:13" x14ac:dyDescent="0.3">
      <c r="A801">
        <v>800</v>
      </c>
      <c r="B801" t="s">
        <v>984</v>
      </c>
      <c r="C801" s="1">
        <v>42701</v>
      </c>
      <c r="D801" s="1">
        <v>42707</v>
      </c>
      <c r="E801" t="s">
        <v>2118</v>
      </c>
      <c r="F801" t="s">
        <v>985</v>
      </c>
      <c r="G801" t="s">
        <v>986</v>
      </c>
      <c r="H801" t="s">
        <v>6</v>
      </c>
      <c r="I801" t="s">
        <v>2112</v>
      </c>
      <c r="J801" t="s">
        <v>2109</v>
      </c>
      <c r="K801">
        <v>283.92</v>
      </c>
      <c r="L801">
        <f t="shared" si="24"/>
        <v>28392</v>
      </c>
      <c r="M801">
        <f t="shared" si="25"/>
        <v>5678.4000000000005</v>
      </c>
    </row>
    <row r="802" spans="1:13" x14ac:dyDescent="0.3">
      <c r="A802">
        <v>801</v>
      </c>
      <c r="B802" t="s">
        <v>987</v>
      </c>
      <c r="C802" s="1">
        <v>43151</v>
      </c>
      <c r="D802" s="1">
        <v>43154</v>
      </c>
      <c r="E802" t="s">
        <v>2120</v>
      </c>
      <c r="F802" t="s">
        <v>988</v>
      </c>
      <c r="G802" t="s">
        <v>989</v>
      </c>
      <c r="H802" t="s">
        <v>10</v>
      </c>
      <c r="I802" t="s">
        <v>2112</v>
      </c>
      <c r="J802" t="s">
        <v>2109</v>
      </c>
      <c r="K802">
        <v>22.23</v>
      </c>
      <c r="L802">
        <f t="shared" si="24"/>
        <v>2223</v>
      </c>
      <c r="M802">
        <f t="shared" si="25"/>
        <v>444.6</v>
      </c>
    </row>
    <row r="803" spans="1:13" x14ac:dyDescent="0.3">
      <c r="A803">
        <v>802</v>
      </c>
      <c r="B803" t="s">
        <v>987</v>
      </c>
      <c r="C803" s="1">
        <v>43151</v>
      </c>
      <c r="D803" s="1">
        <v>43154</v>
      </c>
      <c r="E803" t="s">
        <v>2120</v>
      </c>
      <c r="F803" t="s">
        <v>988</v>
      </c>
      <c r="G803" t="s">
        <v>989</v>
      </c>
      <c r="H803" t="s">
        <v>10</v>
      </c>
      <c r="I803" t="s">
        <v>2112</v>
      </c>
      <c r="J803" t="s">
        <v>2111</v>
      </c>
      <c r="K803">
        <v>215.96799999999999</v>
      </c>
      <c r="L803">
        <f t="shared" si="24"/>
        <v>21596.799999999999</v>
      </c>
      <c r="M803">
        <f t="shared" si="25"/>
        <v>4319.3599999999997</v>
      </c>
    </row>
    <row r="804" spans="1:13" x14ac:dyDescent="0.3">
      <c r="A804">
        <v>803</v>
      </c>
      <c r="B804" t="s">
        <v>990</v>
      </c>
      <c r="C804" s="1">
        <v>42965</v>
      </c>
      <c r="D804" s="1">
        <v>42970</v>
      </c>
      <c r="E804" t="s">
        <v>2119</v>
      </c>
      <c r="F804" t="s">
        <v>988</v>
      </c>
      <c r="G804" t="s">
        <v>989</v>
      </c>
      <c r="H804" t="s">
        <v>10</v>
      </c>
      <c r="I804" t="s">
        <v>2114</v>
      </c>
      <c r="J804" t="s">
        <v>2110</v>
      </c>
      <c r="K804">
        <v>355.32</v>
      </c>
      <c r="L804">
        <f t="shared" si="24"/>
        <v>35532</v>
      </c>
      <c r="M804">
        <f t="shared" si="25"/>
        <v>7106.4000000000005</v>
      </c>
    </row>
    <row r="805" spans="1:13" x14ac:dyDescent="0.3">
      <c r="A805">
        <v>804</v>
      </c>
      <c r="B805" t="s">
        <v>991</v>
      </c>
      <c r="C805" s="1">
        <v>42806</v>
      </c>
      <c r="D805" s="1">
        <v>42811</v>
      </c>
      <c r="E805" t="s">
        <v>2118</v>
      </c>
      <c r="F805" t="s">
        <v>992</v>
      </c>
      <c r="G805" t="s">
        <v>993</v>
      </c>
      <c r="H805" t="s">
        <v>10</v>
      </c>
      <c r="I805" t="s">
        <v>2115</v>
      </c>
      <c r="J805" t="s">
        <v>2110</v>
      </c>
      <c r="K805">
        <v>12.96</v>
      </c>
      <c r="L805">
        <f t="shared" si="24"/>
        <v>1296</v>
      </c>
      <c r="M805">
        <f t="shared" si="25"/>
        <v>259.2</v>
      </c>
    </row>
    <row r="806" spans="1:13" x14ac:dyDescent="0.3">
      <c r="A806">
        <v>805</v>
      </c>
      <c r="B806" t="s">
        <v>994</v>
      </c>
      <c r="C806" s="1">
        <v>43212</v>
      </c>
      <c r="D806" s="1">
        <v>43214</v>
      </c>
      <c r="E806" t="s">
        <v>2120</v>
      </c>
      <c r="F806" t="s">
        <v>995</v>
      </c>
      <c r="G806" t="s">
        <v>996</v>
      </c>
      <c r="H806" t="s">
        <v>6</v>
      </c>
      <c r="I806" t="s">
        <v>2112</v>
      </c>
      <c r="J806" t="s">
        <v>2109</v>
      </c>
      <c r="K806">
        <v>18.28</v>
      </c>
      <c r="L806">
        <f t="shared" si="24"/>
        <v>1828</v>
      </c>
      <c r="M806">
        <f t="shared" si="25"/>
        <v>365.6</v>
      </c>
    </row>
    <row r="807" spans="1:13" x14ac:dyDescent="0.3">
      <c r="A807">
        <v>806</v>
      </c>
      <c r="B807" t="s">
        <v>997</v>
      </c>
      <c r="C807" s="1">
        <v>42309</v>
      </c>
      <c r="D807" s="1">
        <v>42315</v>
      </c>
      <c r="E807" t="s">
        <v>2118</v>
      </c>
      <c r="F807" t="s">
        <v>485</v>
      </c>
      <c r="G807" t="s">
        <v>486</v>
      </c>
      <c r="H807" t="s">
        <v>6</v>
      </c>
      <c r="I807" t="s">
        <v>2112</v>
      </c>
      <c r="J807" t="s">
        <v>2110</v>
      </c>
      <c r="K807">
        <v>43.176000000000002</v>
      </c>
      <c r="L807">
        <f t="shared" si="24"/>
        <v>4317.6000000000004</v>
      </c>
      <c r="M807">
        <f t="shared" si="25"/>
        <v>863.5200000000001</v>
      </c>
    </row>
    <row r="808" spans="1:13" x14ac:dyDescent="0.3">
      <c r="A808">
        <v>807</v>
      </c>
      <c r="B808" t="s">
        <v>997</v>
      </c>
      <c r="C808" s="1">
        <v>42309</v>
      </c>
      <c r="D808" s="1">
        <v>42315</v>
      </c>
      <c r="E808" t="s">
        <v>2118</v>
      </c>
      <c r="F808" t="s">
        <v>485</v>
      </c>
      <c r="G808" t="s">
        <v>486</v>
      </c>
      <c r="H808" t="s">
        <v>6</v>
      </c>
      <c r="I808" t="s">
        <v>2112</v>
      </c>
      <c r="J808" t="s">
        <v>2111</v>
      </c>
      <c r="K808">
        <v>1983.9680000000001</v>
      </c>
      <c r="L808">
        <f t="shared" si="24"/>
        <v>198396.80000000002</v>
      </c>
      <c r="M808">
        <f t="shared" si="25"/>
        <v>39679.360000000008</v>
      </c>
    </row>
    <row r="809" spans="1:13" x14ac:dyDescent="0.3">
      <c r="A809">
        <v>808</v>
      </c>
      <c r="B809" t="s">
        <v>998</v>
      </c>
      <c r="C809" s="1">
        <v>42403</v>
      </c>
      <c r="D809" s="1">
        <v>42405</v>
      </c>
      <c r="E809" t="s">
        <v>2120</v>
      </c>
      <c r="F809" t="s">
        <v>676</v>
      </c>
      <c r="G809" t="s">
        <v>677</v>
      </c>
      <c r="H809" t="s">
        <v>6</v>
      </c>
      <c r="I809" t="s">
        <v>2117</v>
      </c>
      <c r="J809" t="s">
        <v>2109</v>
      </c>
      <c r="K809">
        <v>28.4</v>
      </c>
      <c r="L809">
        <f t="shared" si="24"/>
        <v>2840</v>
      </c>
      <c r="M809">
        <f t="shared" si="25"/>
        <v>568</v>
      </c>
    </row>
    <row r="810" spans="1:13" x14ac:dyDescent="0.3">
      <c r="A810">
        <v>809</v>
      </c>
      <c r="B810" t="s">
        <v>998</v>
      </c>
      <c r="C810" s="1">
        <v>42403</v>
      </c>
      <c r="D810" s="1">
        <v>42405</v>
      </c>
      <c r="E810" t="s">
        <v>2120</v>
      </c>
      <c r="F810" t="s">
        <v>676</v>
      </c>
      <c r="G810" t="s">
        <v>677</v>
      </c>
      <c r="H810" t="s">
        <v>6</v>
      </c>
      <c r="I810" t="s">
        <v>2117</v>
      </c>
      <c r="J810" t="s">
        <v>2111</v>
      </c>
      <c r="K810">
        <v>149.97</v>
      </c>
      <c r="L810">
        <f t="shared" si="24"/>
        <v>14997</v>
      </c>
      <c r="M810">
        <f t="shared" si="25"/>
        <v>2999.4</v>
      </c>
    </row>
    <row r="811" spans="1:13" x14ac:dyDescent="0.3">
      <c r="A811">
        <v>810</v>
      </c>
      <c r="B811" t="s">
        <v>999</v>
      </c>
      <c r="C811" s="1">
        <v>42290</v>
      </c>
      <c r="D811" s="1">
        <v>42292</v>
      </c>
      <c r="E811" t="s">
        <v>2120</v>
      </c>
      <c r="F811" t="s">
        <v>748</v>
      </c>
      <c r="G811" t="s">
        <v>749</v>
      </c>
      <c r="H811" t="s">
        <v>6</v>
      </c>
      <c r="I811" t="s">
        <v>2112</v>
      </c>
      <c r="J811" t="s">
        <v>2110</v>
      </c>
      <c r="K811">
        <v>11.52</v>
      </c>
      <c r="L811">
        <f t="shared" si="24"/>
        <v>1152</v>
      </c>
      <c r="M811">
        <f t="shared" si="25"/>
        <v>230.4</v>
      </c>
    </row>
    <row r="812" spans="1:13" x14ac:dyDescent="0.3">
      <c r="A812">
        <v>811</v>
      </c>
      <c r="B812" t="s">
        <v>999</v>
      </c>
      <c r="C812" s="1">
        <v>42290</v>
      </c>
      <c r="D812" s="1">
        <v>42292</v>
      </c>
      <c r="E812" t="s">
        <v>2120</v>
      </c>
      <c r="F812" t="s">
        <v>748</v>
      </c>
      <c r="G812" t="s">
        <v>749</v>
      </c>
      <c r="H812" t="s">
        <v>6</v>
      </c>
      <c r="I812" t="s">
        <v>2112</v>
      </c>
      <c r="J812" t="s">
        <v>2109</v>
      </c>
      <c r="K812">
        <v>1298.55</v>
      </c>
      <c r="L812">
        <f t="shared" si="24"/>
        <v>129855</v>
      </c>
      <c r="M812">
        <f t="shared" si="25"/>
        <v>25971</v>
      </c>
    </row>
    <row r="813" spans="1:13" x14ac:dyDescent="0.3">
      <c r="A813">
        <v>812</v>
      </c>
      <c r="B813" t="s">
        <v>999</v>
      </c>
      <c r="C813" s="1">
        <v>42290</v>
      </c>
      <c r="D813" s="1">
        <v>42292</v>
      </c>
      <c r="E813" t="s">
        <v>2120</v>
      </c>
      <c r="F813" t="s">
        <v>748</v>
      </c>
      <c r="G813" t="s">
        <v>749</v>
      </c>
      <c r="H813" t="s">
        <v>6</v>
      </c>
      <c r="I813" t="s">
        <v>2112</v>
      </c>
      <c r="J813" t="s">
        <v>2110</v>
      </c>
      <c r="K813">
        <v>213.92</v>
      </c>
      <c r="L813">
        <f t="shared" si="24"/>
        <v>21392</v>
      </c>
      <c r="M813">
        <f t="shared" si="25"/>
        <v>4278.4000000000005</v>
      </c>
    </row>
    <row r="814" spans="1:13" x14ac:dyDescent="0.3">
      <c r="A814">
        <v>813</v>
      </c>
      <c r="B814" t="s">
        <v>999</v>
      </c>
      <c r="C814" s="1">
        <v>42290</v>
      </c>
      <c r="D814" s="1">
        <v>42292</v>
      </c>
      <c r="E814" t="s">
        <v>2120</v>
      </c>
      <c r="F814" t="s">
        <v>748</v>
      </c>
      <c r="G814" t="s">
        <v>749</v>
      </c>
      <c r="H814" t="s">
        <v>6</v>
      </c>
      <c r="I814" t="s">
        <v>2112</v>
      </c>
      <c r="J814" t="s">
        <v>2111</v>
      </c>
      <c r="K814">
        <v>25.78</v>
      </c>
      <c r="L814">
        <f t="shared" si="24"/>
        <v>2578</v>
      </c>
      <c r="M814">
        <f t="shared" si="25"/>
        <v>515.6</v>
      </c>
    </row>
    <row r="815" spans="1:13" x14ac:dyDescent="0.3">
      <c r="A815">
        <v>814</v>
      </c>
      <c r="B815" t="s">
        <v>1000</v>
      </c>
      <c r="C815" s="1">
        <v>43234</v>
      </c>
      <c r="D815" s="1">
        <v>43234</v>
      </c>
      <c r="E815" t="s">
        <v>2120</v>
      </c>
      <c r="F815" t="s">
        <v>1001</v>
      </c>
      <c r="G815" t="s">
        <v>1002</v>
      </c>
      <c r="H815" t="s">
        <v>6</v>
      </c>
      <c r="I815" t="s">
        <v>2112</v>
      </c>
      <c r="J815" t="s">
        <v>2109</v>
      </c>
      <c r="K815">
        <v>18.28</v>
      </c>
      <c r="L815">
        <f t="shared" si="24"/>
        <v>1828</v>
      </c>
      <c r="M815">
        <f t="shared" si="25"/>
        <v>365.6</v>
      </c>
    </row>
    <row r="816" spans="1:13" x14ac:dyDescent="0.3">
      <c r="A816">
        <v>815</v>
      </c>
      <c r="B816" t="s">
        <v>1000</v>
      </c>
      <c r="C816" s="1">
        <v>43234</v>
      </c>
      <c r="D816" s="1">
        <v>43234</v>
      </c>
      <c r="E816" t="s">
        <v>2120</v>
      </c>
      <c r="F816" t="s">
        <v>1001</v>
      </c>
      <c r="G816" t="s">
        <v>1002</v>
      </c>
      <c r="H816" t="s">
        <v>6</v>
      </c>
      <c r="I816" t="s">
        <v>2112</v>
      </c>
      <c r="J816" t="s">
        <v>2111</v>
      </c>
      <c r="K816">
        <v>1399.93</v>
      </c>
      <c r="L816">
        <f t="shared" si="24"/>
        <v>139993</v>
      </c>
      <c r="M816">
        <f t="shared" si="25"/>
        <v>27998.600000000002</v>
      </c>
    </row>
    <row r="817" spans="1:13" x14ac:dyDescent="0.3">
      <c r="A817">
        <v>816</v>
      </c>
      <c r="B817" t="s">
        <v>1003</v>
      </c>
      <c r="C817" s="1">
        <v>42449</v>
      </c>
      <c r="D817" s="1">
        <v>42452</v>
      </c>
      <c r="E817" t="s">
        <v>2120</v>
      </c>
      <c r="F817" t="s">
        <v>1004</v>
      </c>
      <c r="G817" t="s">
        <v>1005</v>
      </c>
      <c r="H817" t="s">
        <v>10</v>
      </c>
      <c r="I817" t="s">
        <v>2117</v>
      </c>
      <c r="J817" t="s">
        <v>2110</v>
      </c>
      <c r="K817">
        <v>51.84</v>
      </c>
      <c r="L817">
        <f t="shared" si="24"/>
        <v>5184</v>
      </c>
      <c r="M817">
        <f t="shared" si="25"/>
        <v>1036.8</v>
      </c>
    </row>
    <row r="818" spans="1:13" x14ac:dyDescent="0.3">
      <c r="A818">
        <v>817</v>
      </c>
      <c r="B818" t="s">
        <v>1006</v>
      </c>
      <c r="C818" s="1">
        <v>42993</v>
      </c>
      <c r="D818" s="1">
        <v>42997</v>
      </c>
      <c r="E818" t="s">
        <v>2118</v>
      </c>
      <c r="F818" t="s">
        <v>651</v>
      </c>
      <c r="G818" t="s">
        <v>652</v>
      </c>
      <c r="H818" t="s">
        <v>6</v>
      </c>
      <c r="I818" t="s">
        <v>2114</v>
      </c>
      <c r="J818" t="s">
        <v>2110</v>
      </c>
      <c r="K818">
        <v>5.3440000000000003</v>
      </c>
      <c r="L818">
        <f t="shared" si="24"/>
        <v>534.4</v>
      </c>
      <c r="M818">
        <f t="shared" si="25"/>
        <v>106.88</v>
      </c>
    </row>
    <row r="819" spans="1:13" x14ac:dyDescent="0.3">
      <c r="A819">
        <v>818</v>
      </c>
      <c r="B819" t="s">
        <v>1007</v>
      </c>
      <c r="C819" s="1">
        <v>42183</v>
      </c>
      <c r="D819" s="1">
        <v>42187</v>
      </c>
      <c r="E819" t="s">
        <v>2118</v>
      </c>
      <c r="F819" t="s">
        <v>715</v>
      </c>
      <c r="G819" t="s">
        <v>716</v>
      </c>
      <c r="H819" t="s">
        <v>6</v>
      </c>
      <c r="I819" t="s">
        <v>2114</v>
      </c>
      <c r="J819" t="s">
        <v>2110</v>
      </c>
      <c r="K819">
        <v>41.472000000000001</v>
      </c>
      <c r="L819">
        <f t="shared" si="24"/>
        <v>4147.2</v>
      </c>
      <c r="M819">
        <f t="shared" si="25"/>
        <v>829.44</v>
      </c>
    </row>
    <row r="820" spans="1:13" x14ac:dyDescent="0.3">
      <c r="A820">
        <v>819</v>
      </c>
      <c r="B820" t="s">
        <v>1007</v>
      </c>
      <c r="C820" s="1">
        <v>42183</v>
      </c>
      <c r="D820" s="1">
        <v>42187</v>
      </c>
      <c r="E820" t="s">
        <v>2118</v>
      </c>
      <c r="F820" t="s">
        <v>715</v>
      </c>
      <c r="G820" t="s">
        <v>716</v>
      </c>
      <c r="H820" t="s">
        <v>6</v>
      </c>
      <c r="I820" t="s">
        <v>2114</v>
      </c>
      <c r="J820" t="s">
        <v>2110</v>
      </c>
      <c r="K820">
        <v>3.1680000000000001</v>
      </c>
      <c r="L820">
        <f t="shared" si="24"/>
        <v>316.8</v>
      </c>
      <c r="M820">
        <f t="shared" si="25"/>
        <v>63.360000000000007</v>
      </c>
    </row>
    <row r="821" spans="1:13" x14ac:dyDescent="0.3">
      <c r="A821">
        <v>820</v>
      </c>
      <c r="B821" t="s">
        <v>1007</v>
      </c>
      <c r="C821" s="1">
        <v>42183</v>
      </c>
      <c r="D821" s="1">
        <v>42187</v>
      </c>
      <c r="E821" t="s">
        <v>2118</v>
      </c>
      <c r="F821" t="s">
        <v>715</v>
      </c>
      <c r="G821" t="s">
        <v>716</v>
      </c>
      <c r="H821" t="s">
        <v>6</v>
      </c>
      <c r="I821" t="s">
        <v>2114</v>
      </c>
      <c r="J821" t="s">
        <v>2109</v>
      </c>
      <c r="K821">
        <v>1228.4649999999999</v>
      </c>
      <c r="L821">
        <f t="shared" si="24"/>
        <v>122846.49999999999</v>
      </c>
      <c r="M821">
        <f t="shared" si="25"/>
        <v>24569.3</v>
      </c>
    </row>
    <row r="822" spans="1:13" x14ac:dyDescent="0.3">
      <c r="A822">
        <v>821</v>
      </c>
      <c r="B822" t="s">
        <v>1007</v>
      </c>
      <c r="C822" s="1">
        <v>42183</v>
      </c>
      <c r="D822" s="1">
        <v>42187</v>
      </c>
      <c r="E822" t="s">
        <v>2118</v>
      </c>
      <c r="F822" t="s">
        <v>715</v>
      </c>
      <c r="G822" t="s">
        <v>716</v>
      </c>
      <c r="H822" t="s">
        <v>6</v>
      </c>
      <c r="I822" t="s">
        <v>2114</v>
      </c>
      <c r="J822" t="s">
        <v>2110</v>
      </c>
      <c r="K822">
        <v>31.085999999999999</v>
      </c>
      <c r="L822">
        <f t="shared" si="24"/>
        <v>3108.6</v>
      </c>
      <c r="M822">
        <f t="shared" si="25"/>
        <v>621.72</v>
      </c>
    </row>
    <row r="823" spans="1:13" x14ac:dyDescent="0.3">
      <c r="A823">
        <v>822</v>
      </c>
      <c r="B823" t="s">
        <v>1007</v>
      </c>
      <c r="C823" s="1">
        <v>42183</v>
      </c>
      <c r="D823" s="1">
        <v>42187</v>
      </c>
      <c r="E823" t="s">
        <v>2118</v>
      </c>
      <c r="F823" t="s">
        <v>715</v>
      </c>
      <c r="G823" t="s">
        <v>716</v>
      </c>
      <c r="H823" t="s">
        <v>6</v>
      </c>
      <c r="I823" t="s">
        <v>2114</v>
      </c>
      <c r="J823" t="s">
        <v>2110</v>
      </c>
      <c r="K823">
        <v>335.52</v>
      </c>
      <c r="L823">
        <f t="shared" si="24"/>
        <v>33552</v>
      </c>
      <c r="M823">
        <f t="shared" si="25"/>
        <v>6710.4000000000005</v>
      </c>
    </row>
    <row r="824" spans="1:13" x14ac:dyDescent="0.3">
      <c r="A824">
        <v>823</v>
      </c>
      <c r="B824" t="s">
        <v>1008</v>
      </c>
      <c r="C824" s="1">
        <v>43271</v>
      </c>
      <c r="D824" s="1">
        <v>43278</v>
      </c>
      <c r="E824" t="s">
        <v>2118</v>
      </c>
      <c r="F824" t="s">
        <v>1009</v>
      </c>
      <c r="G824" t="s">
        <v>1010</v>
      </c>
      <c r="H824" t="s">
        <v>6</v>
      </c>
      <c r="I824" t="s">
        <v>2114</v>
      </c>
      <c r="J824" t="s">
        <v>2111</v>
      </c>
      <c r="K824">
        <v>239.97</v>
      </c>
      <c r="L824">
        <f t="shared" si="24"/>
        <v>23997</v>
      </c>
      <c r="M824">
        <f t="shared" si="25"/>
        <v>4799.4000000000005</v>
      </c>
    </row>
    <row r="825" spans="1:13" x14ac:dyDescent="0.3">
      <c r="A825">
        <v>824</v>
      </c>
      <c r="B825" t="s">
        <v>1008</v>
      </c>
      <c r="C825" s="1">
        <v>43271</v>
      </c>
      <c r="D825" s="1">
        <v>43278</v>
      </c>
      <c r="E825" t="s">
        <v>2118</v>
      </c>
      <c r="F825" t="s">
        <v>1009</v>
      </c>
      <c r="G825" t="s">
        <v>1010</v>
      </c>
      <c r="H825" t="s">
        <v>6</v>
      </c>
      <c r="I825" t="s">
        <v>2114</v>
      </c>
      <c r="J825" t="s">
        <v>2110</v>
      </c>
      <c r="K825">
        <v>9.82</v>
      </c>
      <c r="L825">
        <f t="shared" si="24"/>
        <v>982</v>
      </c>
      <c r="M825">
        <f t="shared" si="25"/>
        <v>196.4</v>
      </c>
    </row>
    <row r="826" spans="1:13" x14ac:dyDescent="0.3">
      <c r="A826">
        <v>825</v>
      </c>
      <c r="B826" t="s">
        <v>1011</v>
      </c>
      <c r="C826" s="1">
        <v>42133</v>
      </c>
      <c r="D826" s="1">
        <v>42139</v>
      </c>
      <c r="E826" t="s">
        <v>2118</v>
      </c>
      <c r="F826" t="s">
        <v>1012</v>
      </c>
      <c r="G826" t="s">
        <v>1013</v>
      </c>
      <c r="H826" t="s">
        <v>6</v>
      </c>
      <c r="I826" t="s">
        <v>2112</v>
      </c>
      <c r="J826" t="s">
        <v>2111</v>
      </c>
      <c r="K826">
        <v>67.8</v>
      </c>
      <c r="L826">
        <f t="shared" si="24"/>
        <v>6780</v>
      </c>
      <c r="M826">
        <f t="shared" si="25"/>
        <v>1356</v>
      </c>
    </row>
    <row r="827" spans="1:13" x14ac:dyDescent="0.3">
      <c r="A827">
        <v>826</v>
      </c>
      <c r="B827" t="s">
        <v>1011</v>
      </c>
      <c r="C827" s="1">
        <v>42133</v>
      </c>
      <c r="D827" s="1">
        <v>42139</v>
      </c>
      <c r="E827" t="s">
        <v>2118</v>
      </c>
      <c r="F827" t="s">
        <v>1012</v>
      </c>
      <c r="G827" t="s">
        <v>1013</v>
      </c>
      <c r="H827" t="s">
        <v>6</v>
      </c>
      <c r="I827" t="s">
        <v>2112</v>
      </c>
      <c r="J827" t="s">
        <v>2111</v>
      </c>
      <c r="K827">
        <v>167.97</v>
      </c>
      <c r="L827">
        <f t="shared" si="24"/>
        <v>16797</v>
      </c>
      <c r="M827">
        <f t="shared" si="25"/>
        <v>3359.4</v>
      </c>
    </row>
    <row r="828" spans="1:13" x14ac:dyDescent="0.3">
      <c r="A828">
        <v>827</v>
      </c>
      <c r="B828" t="s">
        <v>1014</v>
      </c>
      <c r="C828" s="1">
        <v>43333</v>
      </c>
      <c r="D828" s="1">
        <v>43340</v>
      </c>
      <c r="E828" t="s">
        <v>2118</v>
      </c>
      <c r="F828" t="s">
        <v>702</v>
      </c>
      <c r="G828" t="s">
        <v>703</v>
      </c>
      <c r="H828" t="s">
        <v>6</v>
      </c>
      <c r="I828" t="s">
        <v>2117</v>
      </c>
      <c r="J828" t="s">
        <v>2110</v>
      </c>
      <c r="K828">
        <v>35</v>
      </c>
      <c r="L828">
        <f t="shared" si="24"/>
        <v>3500</v>
      </c>
      <c r="M828">
        <f t="shared" si="25"/>
        <v>700</v>
      </c>
    </row>
    <row r="829" spans="1:13" x14ac:dyDescent="0.3">
      <c r="A829">
        <v>828</v>
      </c>
      <c r="B829" t="s">
        <v>1014</v>
      </c>
      <c r="C829" s="1">
        <v>43333</v>
      </c>
      <c r="D829" s="1">
        <v>43340</v>
      </c>
      <c r="E829" t="s">
        <v>2118</v>
      </c>
      <c r="F829" t="s">
        <v>702</v>
      </c>
      <c r="G829" t="s">
        <v>703</v>
      </c>
      <c r="H829" t="s">
        <v>6</v>
      </c>
      <c r="I829" t="s">
        <v>2117</v>
      </c>
      <c r="J829" t="s">
        <v>2110</v>
      </c>
      <c r="K829">
        <v>37.24</v>
      </c>
      <c r="L829">
        <f t="shared" si="24"/>
        <v>3724</v>
      </c>
      <c r="M829">
        <f t="shared" si="25"/>
        <v>744.80000000000007</v>
      </c>
    </row>
    <row r="830" spans="1:13" x14ac:dyDescent="0.3">
      <c r="A830">
        <v>829</v>
      </c>
      <c r="B830" t="s">
        <v>1014</v>
      </c>
      <c r="C830" s="1">
        <v>43333</v>
      </c>
      <c r="D830" s="1">
        <v>43340</v>
      </c>
      <c r="E830" t="s">
        <v>2118</v>
      </c>
      <c r="F830" t="s">
        <v>702</v>
      </c>
      <c r="G830" t="s">
        <v>703</v>
      </c>
      <c r="H830" t="s">
        <v>6</v>
      </c>
      <c r="I830" t="s">
        <v>2117</v>
      </c>
      <c r="J830" t="s">
        <v>2110</v>
      </c>
      <c r="K830">
        <v>15.28</v>
      </c>
      <c r="L830">
        <f t="shared" si="24"/>
        <v>1528</v>
      </c>
      <c r="M830">
        <f t="shared" si="25"/>
        <v>305.60000000000002</v>
      </c>
    </row>
    <row r="831" spans="1:13" x14ac:dyDescent="0.3">
      <c r="A831">
        <v>830</v>
      </c>
      <c r="B831" t="s">
        <v>1015</v>
      </c>
      <c r="C831" s="1">
        <v>43267</v>
      </c>
      <c r="D831" s="1">
        <v>43272</v>
      </c>
      <c r="E831" t="s">
        <v>2119</v>
      </c>
      <c r="F831" t="s">
        <v>104</v>
      </c>
      <c r="G831" t="s">
        <v>105</v>
      </c>
      <c r="H831" t="s">
        <v>6</v>
      </c>
      <c r="I831" t="s">
        <v>2115</v>
      </c>
      <c r="J831" t="s">
        <v>2109</v>
      </c>
      <c r="K831">
        <v>301.95999999999998</v>
      </c>
      <c r="L831">
        <f t="shared" si="24"/>
        <v>30195.999999999996</v>
      </c>
      <c r="M831">
        <f t="shared" si="25"/>
        <v>6039.2</v>
      </c>
    </row>
    <row r="832" spans="1:13" x14ac:dyDescent="0.3">
      <c r="A832">
        <v>831</v>
      </c>
      <c r="B832" t="s">
        <v>1015</v>
      </c>
      <c r="C832" s="1">
        <v>43267</v>
      </c>
      <c r="D832" s="1">
        <v>43272</v>
      </c>
      <c r="E832" t="s">
        <v>2119</v>
      </c>
      <c r="F832" t="s">
        <v>104</v>
      </c>
      <c r="G832" t="s">
        <v>105</v>
      </c>
      <c r="H832" t="s">
        <v>6</v>
      </c>
      <c r="I832" t="s">
        <v>2115</v>
      </c>
      <c r="J832" t="s">
        <v>2110</v>
      </c>
      <c r="K832">
        <v>180.66</v>
      </c>
      <c r="L832">
        <f t="shared" si="24"/>
        <v>18066</v>
      </c>
      <c r="M832">
        <f t="shared" si="25"/>
        <v>3613.2000000000003</v>
      </c>
    </row>
    <row r="833" spans="1:13" x14ac:dyDescent="0.3">
      <c r="A833">
        <v>832</v>
      </c>
      <c r="B833" t="s">
        <v>1015</v>
      </c>
      <c r="C833" s="1">
        <v>43267</v>
      </c>
      <c r="D833" s="1">
        <v>43272</v>
      </c>
      <c r="E833" t="s">
        <v>2119</v>
      </c>
      <c r="F833" t="s">
        <v>104</v>
      </c>
      <c r="G833" t="s">
        <v>105</v>
      </c>
      <c r="H833" t="s">
        <v>6</v>
      </c>
      <c r="I833" t="s">
        <v>2115</v>
      </c>
      <c r="J833" t="s">
        <v>2111</v>
      </c>
      <c r="K833">
        <v>191.98</v>
      </c>
      <c r="L833">
        <f t="shared" si="24"/>
        <v>19198</v>
      </c>
      <c r="M833">
        <f t="shared" si="25"/>
        <v>3839.6000000000004</v>
      </c>
    </row>
    <row r="834" spans="1:13" x14ac:dyDescent="0.3">
      <c r="A834">
        <v>833</v>
      </c>
      <c r="B834" t="s">
        <v>1015</v>
      </c>
      <c r="C834" s="1">
        <v>43267</v>
      </c>
      <c r="D834" s="1">
        <v>43272</v>
      </c>
      <c r="E834" t="s">
        <v>2119</v>
      </c>
      <c r="F834" t="s">
        <v>104</v>
      </c>
      <c r="G834" t="s">
        <v>105</v>
      </c>
      <c r="H834" t="s">
        <v>6</v>
      </c>
      <c r="I834" t="s">
        <v>2115</v>
      </c>
      <c r="J834" t="s">
        <v>2111</v>
      </c>
      <c r="K834">
        <v>65.989999999999995</v>
      </c>
      <c r="L834">
        <f t="shared" ref="L834:L897" si="26">K834*100</f>
        <v>6598.9999999999991</v>
      </c>
      <c r="M834">
        <f t="shared" si="25"/>
        <v>1319.8</v>
      </c>
    </row>
    <row r="835" spans="1:13" x14ac:dyDescent="0.3">
      <c r="A835">
        <v>834</v>
      </c>
      <c r="B835" t="s">
        <v>1016</v>
      </c>
      <c r="C835" s="1">
        <v>42939</v>
      </c>
      <c r="D835" s="1">
        <v>42943</v>
      </c>
      <c r="E835" t="s">
        <v>2118</v>
      </c>
      <c r="F835" t="s">
        <v>250</v>
      </c>
      <c r="G835" t="s">
        <v>251</v>
      </c>
      <c r="H835" t="s">
        <v>10</v>
      </c>
      <c r="I835" t="s">
        <v>2115</v>
      </c>
      <c r="J835" t="s">
        <v>2110</v>
      </c>
      <c r="K835">
        <v>35.216000000000001</v>
      </c>
      <c r="L835">
        <f t="shared" si="26"/>
        <v>3521.6</v>
      </c>
      <c r="M835">
        <f t="shared" ref="M835:M898" si="27">L835*0.2</f>
        <v>704.32</v>
      </c>
    </row>
    <row r="836" spans="1:13" x14ac:dyDescent="0.3">
      <c r="A836">
        <v>835</v>
      </c>
      <c r="B836" t="s">
        <v>1016</v>
      </c>
      <c r="C836" s="1">
        <v>42939</v>
      </c>
      <c r="D836" s="1">
        <v>42943</v>
      </c>
      <c r="E836" t="s">
        <v>2118</v>
      </c>
      <c r="F836" t="s">
        <v>250</v>
      </c>
      <c r="G836" t="s">
        <v>251</v>
      </c>
      <c r="H836" t="s">
        <v>10</v>
      </c>
      <c r="I836" t="s">
        <v>2115</v>
      </c>
      <c r="J836" t="s">
        <v>2110</v>
      </c>
      <c r="K836">
        <v>23.696000000000002</v>
      </c>
      <c r="L836">
        <f t="shared" si="26"/>
        <v>2369.6000000000004</v>
      </c>
      <c r="M836">
        <f t="shared" si="27"/>
        <v>473.92000000000007</v>
      </c>
    </row>
    <row r="837" spans="1:13" x14ac:dyDescent="0.3">
      <c r="A837">
        <v>836</v>
      </c>
      <c r="B837" t="s">
        <v>1016</v>
      </c>
      <c r="C837" s="1">
        <v>42939</v>
      </c>
      <c r="D837" s="1">
        <v>42943</v>
      </c>
      <c r="E837" t="s">
        <v>2118</v>
      </c>
      <c r="F837" t="s">
        <v>250</v>
      </c>
      <c r="G837" t="s">
        <v>251</v>
      </c>
      <c r="H837" t="s">
        <v>10</v>
      </c>
      <c r="I837" t="s">
        <v>2115</v>
      </c>
      <c r="J837" t="s">
        <v>2111</v>
      </c>
      <c r="K837">
        <v>265.47500000000002</v>
      </c>
      <c r="L837">
        <f t="shared" si="26"/>
        <v>26547.500000000004</v>
      </c>
      <c r="M837">
        <f t="shared" si="27"/>
        <v>5309.5000000000009</v>
      </c>
    </row>
    <row r="838" spans="1:13" x14ac:dyDescent="0.3">
      <c r="A838">
        <v>837</v>
      </c>
      <c r="B838" t="s">
        <v>1017</v>
      </c>
      <c r="C838" s="1">
        <v>42255</v>
      </c>
      <c r="D838" s="1">
        <v>42260</v>
      </c>
      <c r="E838" t="s">
        <v>2119</v>
      </c>
      <c r="F838" t="s">
        <v>949</v>
      </c>
      <c r="G838" t="s">
        <v>950</v>
      </c>
      <c r="H838" t="s">
        <v>6</v>
      </c>
      <c r="I838" t="s">
        <v>2117</v>
      </c>
      <c r="J838" t="s">
        <v>2110</v>
      </c>
      <c r="K838">
        <v>51.183999999999997</v>
      </c>
      <c r="L838">
        <f t="shared" si="26"/>
        <v>5118.3999999999996</v>
      </c>
      <c r="M838">
        <f t="shared" si="27"/>
        <v>1023.68</v>
      </c>
    </row>
    <row r="839" spans="1:13" x14ac:dyDescent="0.3">
      <c r="A839">
        <v>838</v>
      </c>
      <c r="B839" t="s">
        <v>1018</v>
      </c>
      <c r="C839" s="1">
        <v>43408</v>
      </c>
      <c r="D839" s="1">
        <v>43415</v>
      </c>
      <c r="E839" t="s">
        <v>2118</v>
      </c>
      <c r="F839" t="s">
        <v>1019</v>
      </c>
      <c r="G839" t="s">
        <v>1020</v>
      </c>
      <c r="H839" t="s">
        <v>26</v>
      </c>
      <c r="I839" t="s">
        <v>2115</v>
      </c>
      <c r="J839" t="s">
        <v>2110</v>
      </c>
      <c r="K839">
        <v>9.6639999999999997</v>
      </c>
      <c r="L839">
        <f t="shared" si="26"/>
        <v>966.4</v>
      </c>
      <c r="M839">
        <f t="shared" si="27"/>
        <v>193.28</v>
      </c>
    </row>
    <row r="840" spans="1:13" x14ac:dyDescent="0.3">
      <c r="A840">
        <v>839</v>
      </c>
      <c r="B840" t="s">
        <v>1021</v>
      </c>
      <c r="C840" s="1">
        <v>42801</v>
      </c>
      <c r="D840" s="1">
        <v>42806</v>
      </c>
      <c r="E840" t="s">
        <v>2118</v>
      </c>
      <c r="F840" t="s">
        <v>578</v>
      </c>
      <c r="G840" t="s">
        <v>579</v>
      </c>
      <c r="H840" t="s">
        <v>10</v>
      </c>
      <c r="I840" t="s">
        <v>2117</v>
      </c>
      <c r="J840" t="s">
        <v>2111</v>
      </c>
      <c r="K840">
        <v>21.071999999999999</v>
      </c>
      <c r="L840">
        <f t="shared" si="26"/>
        <v>2107.1999999999998</v>
      </c>
      <c r="M840">
        <f t="shared" si="27"/>
        <v>421.44</v>
      </c>
    </row>
    <row r="841" spans="1:13" x14ac:dyDescent="0.3">
      <c r="A841">
        <v>840</v>
      </c>
      <c r="B841" t="s">
        <v>1022</v>
      </c>
      <c r="C841" s="1">
        <v>42694</v>
      </c>
      <c r="D841" s="1">
        <v>42699</v>
      </c>
      <c r="E841" t="s">
        <v>2118</v>
      </c>
      <c r="F841" t="s">
        <v>1023</v>
      </c>
      <c r="G841" t="s">
        <v>1024</v>
      </c>
      <c r="H841" t="s">
        <v>10</v>
      </c>
      <c r="I841" t="s">
        <v>2114</v>
      </c>
      <c r="J841" t="s">
        <v>2110</v>
      </c>
      <c r="K841">
        <v>60.45</v>
      </c>
      <c r="L841">
        <f t="shared" si="26"/>
        <v>6045</v>
      </c>
      <c r="M841">
        <f t="shared" si="27"/>
        <v>1209</v>
      </c>
    </row>
    <row r="842" spans="1:13" x14ac:dyDescent="0.3">
      <c r="A842">
        <v>841</v>
      </c>
      <c r="B842" t="s">
        <v>1022</v>
      </c>
      <c r="C842" s="1">
        <v>42694</v>
      </c>
      <c r="D842" s="1">
        <v>42699</v>
      </c>
      <c r="E842" t="s">
        <v>2118</v>
      </c>
      <c r="F842" t="s">
        <v>1023</v>
      </c>
      <c r="G842" t="s">
        <v>1024</v>
      </c>
      <c r="H842" t="s">
        <v>10</v>
      </c>
      <c r="I842" t="s">
        <v>2114</v>
      </c>
      <c r="J842" t="s">
        <v>2110</v>
      </c>
      <c r="K842">
        <v>11.52</v>
      </c>
      <c r="L842">
        <f t="shared" si="26"/>
        <v>1152</v>
      </c>
      <c r="M842">
        <f t="shared" si="27"/>
        <v>230.4</v>
      </c>
    </row>
    <row r="843" spans="1:13" x14ac:dyDescent="0.3">
      <c r="A843">
        <v>842</v>
      </c>
      <c r="B843" t="s">
        <v>1022</v>
      </c>
      <c r="C843" s="1">
        <v>42694</v>
      </c>
      <c r="D843" s="1">
        <v>42699</v>
      </c>
      <c r="E843" t="s">
        <v>2118</v>
      </c>
      <c r="F843" t="s">
        <v>1023</v>
      </c>
      <c r="G843" t="s">
        <v>1024</v>
      </c>
      <c r="H843" t="s">
        <v>10</v>
      </c>
      <c r="I843" t="s">
        <v>2114</v>
      </c>
      <c r="J843" t="s">
        <v>2109</v>
      </c>
      <c r="K843">
        <v>186.048</v>
      </c>
      <c r="L843">
        <f t="shared" si="26"/>
        <v>18604.8</v>
      </c>
      <c r="M843">
        <f t="shared" si="27"/>
        <v>3720.96</v>
      </c>
    </row>
    <row r="844" spans="1:13" x14ac:dyDescent="0.3">
      <c r="A844">
        <v>843</v>
      </c>
      <c r="B844" t="s">
        <v>1025</v>
      </c>
      <c r="C844" s="1">
        <v>43046</v>
      </c>
      <c r="D844" s="1">
        <v>43048</v>
      </c>
      <c r="E844" t="s">
        <v>2120</v>
      </c>
      <c r="F844" t="s">
        <v>1026</v>
      </c>
      <c r="G844" t="s">
        <v>1027</v>
      </c>
      <c r="H844" t="s">
        <v>10</v>
      </c>
      <c r="I844" t="s">
        <v>2112</v>
      </c>
      <c r="J844" t="s">
        <v>2110</v>
      </c>
      <c r="K844">
        <v>37.44</v>
      </c>
      <c r="L844">
        <f t="shared" si="26"/>
        <v>3744</v>
      </c>
      <c r="M844">
        <f t="shared" si="27"/>
        <v>748.80000000000007</v>
      </c>
    </row>
    <row r="845" spans="1:13" x14ac:dyDescent="0.3">
      <c r="A845">
        <v>844</v>
      </c>
      <c r="B845" t="s">
        <v>1025</v>
      </c>
      <c r="C845" s="1">
        <v>43046</v>
      </c>
      <c r="D845" s="1">
        <v>43048</v>
      </c>
      <c r="E845" t="s">
        <v>2120</v>
      </c>
      <c r="F845" t="s">
        <v>1026</v>
      </c>
      <c r="G845" t="s">
        <v>1027</v>
      </c>
      <c r="H845" t="s">
        <v>10</v>
      </c>
      <c r="I845" t="s">
        <v>2112</v>
      </c>
      <c r="J845" t="s">
        <v>2110</v>
      </c>
      <c r="K845">
        <v>26.975999999999999</v>
      </c>
      <c r="L845">
        <f t="shared" si="26"/>
        <v>2697.6</v>
      </c>
      <c r="M845">
        <f t="shared" si="27"/>
        <v>539.52</v>
      </c>
    </row>
    <row r="846" spans="1:13" x14ac:dyDescent="0.3">
      <c r="A846">
        <v>845</v>
      </c>
      <c r="B846" t="s">
        <v>1025</v>
      </c>
      <c r="C846" s="1">
        <v>43046</v>
      </c>
      <c r="D846" s="1">
        <v>43048</v>
      </c>
      <c r="E846" t="s">
        <v>2120</v>
      </c>
      <c r="F846" t="s">
        <v>1026</v>
      </c>
      <c r="G846" t="s">
        <v>1027</v>
      </c>
      <c r="H846" t="s">
        <v>10</v>
      </c>
      <c r="I846" t="s">
        <v>2112</v>
      </c>
      <c r="J846" t="s">
        <v>2110</v>
      </c>
      <c r="K846">
        <v>11.36</v>
      </c>
      <c r="L846">
        <f t="shared" si="26"/>
        <v>1136</v>
      </c>
      <c r="M846">
        <f t="shared" si="27"/>
        <v>227.20000000000002</v>
      </c>
    </row>
    <row r="847" spans="1:13" x14ac:dyDescent="0.3">
      <c r="A847">
        <v>846</v>
      </c>
      <c r="B847" t="s">
        <v>1025</v>
      </c>
      <c r="C847" s="1">
        <v>43046</v>
      </c>
      <c r="D847" s="1">
        <v>43048</v>
      </c>
      <c r="E847" t="s">
        <v>2120</v>
      </c>
      <c r="F847" t="s">
        <v>1026</v>
      </c>
      <c r="G847" t="s">
        <v>1027</v>
      </c>
      <c r="H847" t="s">
        <v>10</v>
      </c>
      <c r="I847" t="s">
        <v>2112</v>
      </c>
      <c r="J847" t="s">
        <v>2110</v>
      </c>
      <c r="K847">
        <v>14.62</v>
      </c>
      <c r="L847">
        <f t="shared" si="26"/>
        <v>1462</v>
      </c>
      <c r="M847">
        <f t="shared" si="27"/>
        <v>292.40000000000003</v>
      </c>
    </row>
    <row r="848" spans="1:13" x14ac:dyDescent="0.3">
      <c r="A848">
        <v>847</v>
      </c>
      <c r="B848" t="s">
        <v>1028</v>
      </c>
      <c r="C848" s="1">
        <v>42656</v>
      </c>
      <c r="D848" s="1">
        <v>42660</v>
      </c>
      <c r="E848" t="s">
        <v>2118</v>
      </c>
      <c r="F848" t="s">
        <v>1029</v>
      </c>
      <c r="G848" t="s">
        <v>1030</v>
      </c>
      <c r="H848" t="s">
        <v>6</v>
      </c>
      <c r="I848" t="s">
        <v>2115</v>
      </c>
      <c r="J848" t="s">
        <v>2111</v>
      </c>
      <c r="K848">
        <v>83.72</v>
      </c>
      <c r="L848">
        <f t="shared" si="26"/>
        <v>8372</v>
      </c>
      <c r="M848">
        <f t="shared" si="27"/>
        <v>1674.4</v>
      </c>
    </row>
    <row r="849" spans="1:13" x14ac:dyDescent="0.3">
      <c r="A849">
        <v>848</v>
      </c>
      <c r="B849" t="s">
        <v>1028</v>
      </c>
      <c r="C849" s="1">
        <v>42656</v>
      </c>
      <c r="D849" s="1">
        <v>42660</v>
      </c>
      <c r="E849" t="s">
        <v>2118</v>
      </c>
      <c r="F849" t="s">
        <v>1029</v>
      </c>
      <c r="G849" t="s">
        <v>1030</v>
      </c>
      <c r="H849" t="s">
        <v>6</v>
      </c>
      <c r="I849" t="s">
        <v>2115</v>
      </c>
      <c r="J849" t="s">
        <v>2109</v>
      </c>
      <c r="K849">
        <v>287.94</v>
      </c>
      <c r="L849">
        <f t="shared" si="26"/>
        <v>28794</v>
      </c>
      <c r="M849">
        <f t="shared" si="27"/>
        <v>5758.8</v>
      </c>
    </row>
    <row r="850" spans="1:13" x14ac:dyDescent="0.3">
      <c r="A850">
        <v>849</v>
      </c>
      <c r="B850" t="s">
        <v>1031</v>
      </c>
      <c r="C850" s="1">
        <v>43101</v>
      </c>
      <c r="D850" s="1">
        <v>43106</v>
      </c>
      <c r="E850" t="s">
        <v>2118</v>
      </c>
      <c r="F850" t="s">
        <v>1032</v>
      </c>
      <c r="G850" t="s">
        <v>1033</v>
      </c>
      <c r="H850" t="s">
        <v>6</v>
      </c>
      <c r="I850" t="s">
        <v>2114</v>
      </c>
      <c r="J850" t="s">
        <v>2109</v>
      </c>
      <c r="K850">
        <v>48.896000000000001</v>
      </c>
      <c r="L850">
        <f t="shared" si="26"/>
        <v>4889.6000000000004</v>
      </c>
      <c r="M850">
        <f t="shared" si="27"/>
        <v>977.92000000000007</v>
      </c>
    </row>
    <row r="851" spans="1:13" x14ac:dyDescent="0.3">
      <c r="A851">
        <v>850</v>
      </c>
      <c r="B851" t="s">
        <v>1034</v>
      </c>
      <c r="C851" s="1">
        <v>42042</v>
      </c>
      <c r="D851" s="1">
        <v>42047</v>
      </c>
      <c r="E851" t="s">
        <v>2118</v>
      </c>
      <c r="F851" t="s">
        <v>1035</v>
      </c>
      <c r="G851" t="s">
        <v>1036</v>
      </c>
      <c r="H851" t="s">
        <v>10</v>
      </c>
      <c r="I851" t="s">
        <v>2114</v>
      </c>
      <c r="J851" t="s">
        <v>2111</v>
      </c>
      <c r="K851">
        <v>115.36</v>
      </c>
      <c r="L851">
        <f t="shared" si="26"/>
        <v>11536</v>
      </c>
      <c r="M851">
        <f t="shared" si="27"/>
        <v>2307.2000000000003</v>
      </c>
    </row>
    <row r="852" spans="1:13" x14ac:dyDescent="0.3">
      <c r="A852">
        <v>851</v>
      </c>
      <c r="B852" t="s">
        <v>1037</v>
      </c>
      <c r="C852" s="1">
        <v>42906</v>
      </c>
      <c r="D852" s="1">
        <v>42911</v>
      </c>
      <c r="E852" t="s">
        <v>2119</v>
      </c>
      <c r="F852" t="s">
        <v>1038</v>
      </c>
      <c r="G852" t="s">
        <v>1039</v>
      </c>
      <c r="H852" t="s">
        <v>10</v>
      </c>
      <c r="I852" t="s">
        <v>2112</v>
      </c>
      <c r="J852" t="s">
        <v>2110</v>
      </c>
      <c r="K852">
        <v>5.16</v>
      </c>
      <c r="L852">
        <f t="shared" si="26"/>
        <v>516</v>
      </c>
      <c r="M852">
        <f t="shared" si="27"/>
        <v>103.2</v>
      </c>
    </row>
    <row r="853" spans="1:13" x14ac:dyDescent="0.3">
      <c r="A853">
        <v>852</v>
      </c>
      <c r="B853" t="s">
        <v>1037</v>
      </c>
      <c r="C853" s="1">
        <v>42906</v>
      </c>
      <c r="D853" s="1">
        <v>42911</v>
      </c>
      <c r="E853" t="s">
        <v>2119</v>
      </c>
      <c r="F853" t="s">
        <v>1038</v>
      </c>
      <c r="G853" t="s">
        <v>1039</v>
      </c>
      <c r="H853" t="s">
        <v>10</v>
      </c>
      <c r="I853" t="s">
        <v>2112</v>
      </c>
      <c r="J853" t="s">
        <v>2110</v>
      </c>
      <c r="K853">
        <v>38.880000000000003</v>
      </c>
      <c r="L853">
        <f t="shared" si="26"/>
        <v>3888.0000000000005</v>
      </c>
      <c r="M853">
        <f t="shared" si="27"/>
        <v>777.60000000000014</v>
      </c>
    </row>
    <row r="854" spans="1:13" x14ac:dyDescent="0.3">
      <c r="A854">
        <v>853</v>
      </c>
      <c r="B854" t="s">
        <v>1040</v>
      </c>
      <c r="C854" s="1">
        <v>42883</v>
      </c>
      <c r="D854" s="1">
        <v>42890</v>
      </c>
      <c r="E854" t="s">
        <v>2118</v>
      </c>
      <c r="F854" t="s">
        <v>323</v>
      </c>
      <c r="G854" t="s">
        <v>324</v>
      </c>
      <c r="H854" t="s">
        <v>6</v>
      </c>
      <c r="I854" t="s">
        <v>2115</v>
      </c>
      <c r="J854" t="s">
        <v>2110</v>
      </c>
      <c r="K854">
        <v>185.88</v>
      </c>
      <c r="L854">
        <f t="shared" si="26"/>
        <v>18588</v>
      </c>
      <c r="M854">
        <f t="shared" si="27"/>
        <v>3717.6000000000004</v>
      </c>
    </row>
    <row r="855" spans="1:13" x14ac:dyDescent="0.3">
      <c r="A855">
        <v>854</v>
      </c>
      <c r="B855" t="s">
        <v>1041</v>
      </c>
      <c r="C855" s="1">
        <v>42785</v>
      </c>
      <c r="D855" s="1">
        <v>42790</v>
      </c>
      <c r="E855" t="s">
        <v>2118</v>
      </c>
      <c r="F855" t="s">
        <v>702</v>
      </c>
      <c r="G855" t="s">
        <v>703</v>
      </c>
      <c r="H855" t="s">
        <v>6</v>
      </c>
      <c r="I855" t="s">
        <v>2114</v>
      </c>
      <c r="J855" t="s">
        <v>2109</v>
      </c>
      <c r="K855">
        <v>44.46</v>
      </c>
      <c r="L855">
        <f t="shared" si="26"/>
        <v>4446</v>
      </c>
      <c r="M855">
        <f t="shared" si="27"/>
        <v>889.2</v>
      </c>
    </row>
    <row r="856" spans="1:13" x14ac:dyDescent="0.3">
      <c r="A856">
        <v>855</v>
      </c>
      <c r="B856" t="s">
        <v>1041</v>
      </c>
      <c r="C856" s="1">
        <v>42785</v>
      </c>
      <c r="D856" s="1">
        <v>42790</v>
      </c>
      <c r="E856" t="s">
        <v>2118</v>
      </c>
      <c r="F856" t="s">
        <v>702</v>
      </c>
      <c r="G856" t="s">
        <v>703</v>
      </c>
      <c r="H856" t="s">
        <v>6</v>
      </c>
      <c r="I856" t="s">
        <v>2114</v>
      </c>
      <c r="J856" t="s">
        <v>2110</v>
      </c>
      <c r="K856">
        <v>242.94</v>
      </c>
      <c r="L856">
        <f t="shared" si="26"/>
        <v>24294</v>
      </c>
      <c r="M856">
        <f t="shared" si="27"/>
        <v>4858.8</v>
      </c>
    </row>
    <row r="857" spans="1:13" x14ac:dyDescent="0.3">
      <c r="A857">
        <v>856</v>
      </c>
      <c r="B857" t="s">
        <v>1042</v>
      </c>
      <c r="C857" s="1">
        <v>42219</v>
      </c>
      <c r="D857" s="1">
        <v>42224</v>
      </c>
      <c r="E857" t="s">
        <v>2118</v>
      </c>
      <c r="F857" t="s">
        <v>1043</v>
      </c>
      <c r="G857" t="s">
        <v>1044</v>
      </c>
      <c r="H857" t="s">
        <v>6</v>
      </c>
      <c r="I857" t="s">
        <v>2114</v>
      </c>
      <c r="J857" t="s">
        <v>2110</v>
      </c>
      <c r="K857">
        <v>39.96</v>
      </c>
      <c r="L857">
        <f t="shared" si="26"/>
        <v>3996</v>
      </c>
      <c r="M857">
        <f t="shared" si="27"/>
        <v>799.2</v>
      </c>
    </row>
    <row r="858" spans="1:13" x14ac:dyDescent="0.3">
      <c r="A858">
        <v>857</v>
      </c>
      <c r="B858" t="s">
        <v>1042</v>
      </c>
      <c r="C858" s="1">
        <v>42219</v>
      </c>
      <c r="D858" s="1">
        <v>42224</v>
      </c>
      <c r="E858" t="s">
        <v>2118</v>
      </c>
      <c r="F858" t="s">
        <v>1043</v>
      </c>
      <c r="G858" t="s">
        <v>1044</v>
      </c>
      <c r="H858" t="s">
        <v>6</v>
      </c>
      <c r="I858" t="s">
        <v>2114</v>
      </c>
      <c r="J858" t="s">
        <v>2110</v>
      </c>
      <c r="K858">
        <v>102.3</v>
      </c>
      <c r="L858">
        <f t="shared" si="26"/>
        <v>10230</v>
      </c>
      <c r="M858">
        <f t="shared" si="27"/>
        <v>2046</v>
      </c>
    </row>
    <row r="859" spans="1:13" x14ac:dyDescent="0.3">
      <c r="A859">
        <v>858</v>
      </c>
      <c r="B859" t="s">
        <v>1042</v>
      </c>
      <c r="C859" s="1">
        <v>42219</v>
      </c>
      <c r="D859" s="1">
        <v>42224</v>
      </c>
      <c r="E859" t="s">
        <v>2118</v>
      </c>
      <c r="F859" t="s">
        <v>1043</v>
      </c>
      <c r="G859" t="s">
        <v>1044</v>
      </c>
      <c r="H859" t="s">
        <v>6</v>
      </c>
      <c r="I859" t="s">
        <v>2114</v>
      </c>
      <c r="J859" t="s">
        <v>2110</v>
      </c>
      <c r="K859">
        <v>21.36</v>
      </c>
      <c r="L859">
        <f t="shared" si="26"/>
        <v>2136</v>
      </c>
      <c r="M859">
        <f t="shared" si="27"/>
        <v>427.20000000000005</v>
      </c>
    </row>
    <row r="860" spans="1:13" x14ac:dyDescent="0.3">
      <c r="A860">
        <v>859</v>
      </c>
      <c r="B860" t="s">
        <v>1045</v>
      </c>
      <c r="C860" s="1">
        <v>43200</v>
      </c>
      <c r="D860" s="1">
        <v>43205</v>
      </c>
      <c r="E860" t="s">
        <v>2118</v>
      </c>
      <c r="F860" t="s">
        <v>1046</v>
      </c>
      <c r="G860" t="s">
        <v>1047</v>
      </c>
      <c r="H860" t="s">
        <v>26</v>
      </c>
      <c r="I860" t="s">
        <v>2114</v>
      </c>
      <c r="J860" t="s">
        <v>2110</v>
      </c>
      <c r="K860">
        <v>7.61</v>
      </c>
      <c r="L860">
        <f t="shared" si="26"/>
        <v>761</v>
      </c>
      <c r="M860">
        <f t="shared" si="27"/>
        <v>152.20000000000002</v>
      </c>
    </row>
    <row r="861" spans="1:13" x14ac:dyDescent="0.3">
      <c r="A861">
        <v>860</v>
      </c>
      <c r="B861" t="s">
        <v>1045</v>
      </c>
      <c r="C861" s="1">
        <v>43200</v>
      </c>
      <c r="D861" s="1">
        <v>43205</v>
      </c>
      <c r="E861" t="s">
        <v>2118</v>
      </c>
      <c r="F861" t="s">
        <v>1046</v>
      </c>
      <c r="G861" t="s">
        <v>1047</v>
      </c>
      <c r="H861" t="s">
        <v>26</v>
      </c>
      <c r="I861" t="s">
        <v>2114</v>
      </c>
      <c r="J861" t="s">
        <v>2110</v>
      </c>
      <c r="K861">
        <v>7.16</v>
      </c>
      <c r="L861">
        <f t="shared" si="26"/>
        <v>716</v>
      </c>
      <c r="M861">
        <f t="shared" si="27"/>
        <v>143.20000000000002</v>
      </c>
    </row>
    <row r="862" spans="1:13" x14ac:dyDescent="0.3">
      <c r="A862">
        <v>861</v>
      </c>
      <c r="B862" t="s">
        <v>1048</v>
      </c>
      <c r="C862" s="1">
        <v>42164</v>
      </c>
      <c r="D862" s="1">
        <v>42171</v>
      </c>
      <c r="E862" t="s">
        <v>2118</v>
      </c>
      <c r="F862" t="s">
        <v>1049</v>
      </c>
      <c r="G862" t="s">
        <v>1050</v>
      </c>
      <c r="H862" t="s">
        <v>6</v>
      </c>
      <c r="I862" t="s">
        <v>2112</v>
      </c>
      <c r="J862" t="s">
        <v>2110</v>
      </c>
      <c r="K862">
        <v>7.36</v>
      </c>
      <c r="L862">
        <f t="shared" si="26"/>
        <v>736</v>
      </c>
      <c r="M862">
        <f t="shared" si="27"/>
        <v>147.20000000000002</v>
      </c>
    </row>
    <row r="863" spans="1:13" x14ac:dyDescent="0.3">
      <c r="A863">
        <v>862</v>
      </c>
      <c r="B863" t="s">
        <v>1048</v>
      </c>
      <c r="C863" s="1">
        <v>42164</v>
      </c>
      <c r="D863" s="1">
        <v>42171</v>
      </c>
      <c r="E863" t="s">
        <v>2118</v>
      </c>
      <c r="F863" t="s">
        <v>1049</v>
      </c>
      <c r="G863" t="s">
        <v>1050</v>
      </c>
      <c r="H863" t="s">
        <v>6</v>
      </c>
      <c r="I863" t="s">
        <v>2112</v>
      </c>
      <c r="J863" t="s">
        <v>2110</v>
      </c>
      <c r="K863">
        <v>23.1</v>
      </c>
      <c r="L863">
        <f t="shared" si="26"/>
        <v>2310</v>
      </c>
      <c r="M863">
        <f t="shared" si="27"/>
        <v>462</v>
      </c>
    </row>
    <row r="864" spans="1:13" x14ac:dyDescent="0.3">
      <c r="A864">
        <v>863</v>
      </c>
      <c r="B864" t="s">
        <v>1051</v>
      </c>
      <c r="C864" s="1">
        <v>42740</v>
      </c>
      <c r="D864" s="1">
        <v>42742</v>
      </c>
      <c r="E864" t="s">
        <v>2119</v>
      </c>
      <c r="F864" t="s">
        <v>955</v>
      </c>
      <c r="G864" t="s">
        <v>956</v>
      </c>
      <c r="H864" t="s">
        <v>10</v>
      </c>
      <c r="I864" t="s">
        <v>2115</v>
      </c>
      <c r="J864" t="s">
        <v>2111</v>
      </c>
      <c r="K864">
        <v>191.47200000000001</v>
      </c>
      <c r="L864">
        <f t="shared" si="26"/>
        <v>19147.2</v>
      </c>
      <c r="M864">
        <f t="shared" si="27"/>
        <v>3829.4400000000005</v>
      </c>
    </row>
    <row r="865" spans="1:13" x14ac:dyDescent="0.3">
      <c r="A865">
        <v>864</v>
      </c>
      <c r="B865" t="s">
        <v>1051</v>
      </c>
      <c r="C865" s="1">
        <v>42740</v>
      </c>
      <c r="D865" s="1">
        <v>42742</v>
      </c>
      <c r="E865" t="s">
        <v>2119</v>
      </c>
      <c r="F865" t="s">
        <v>955</v>
      </c>
      <c r="G865" t="s">
        <v>956</v>
      </c>
      <c r="H865" t="s">
        <v>10</v>
      </c>
      <c r="I865" t="s">
        <v>2115</v>
      </c>
      <c r="J865" t="s">
        <v>2110</v>
      </c>
      <c r="K865">
        <v>5.2480000000000002</v>
      </c>
      <c r="L865">
        <f t="shared" si="26"/>
        <v>524.80000000000007</v>
      </c>
      <c r="M865">
        <f t="shared" si="27"/>
        <v>104.96000000000002</v>
      </c>
    </row>
    <row r="866" spans="1:13" x14ac:dyDescent="0.3">
      <c r="A866">
        <v>865</v>
      </c>
      <c r="B866" t="s">
        <v>1051</v>
      </c>
      <c r="C866" s="1">
        <v>42740</v>
      </c>
      <c r="D866" s="1">
        <v>42742</v>
      </c>
      <c r="E866" t="s">
        <v>2119</v>
      </c>
      <c r="F866" t="s">
        <v>955</v>
      </c>
      <c r="G866" t="s">
        <v>956</v>
      </c>
      <c r="H866" t="s">
        <v>10</v>
      </c>
      <c r="I866" t="s">
        <v>2115</v>
      </c>
      <c r="J866" t="s">
        <v>2111</v>
      </c>
      <c r="K866">
        <v>59.183999999999997</v>
      </c>
      <c r="L866">
        <f t="shared" si="26"/>
        <v>5918.4</v>
      </c>
      <c r="M866">
        <f t="shared" si="27"/>
        <v>1183.68</v>
      </c>
    </row>
    <row r="867" spans="1:13" x14ac:dyDescent="0.3">
      <c r="A867">
        <v>866</v>
      </c>
      <c r="B867" t="s">
        <v>1052</v>
      </c>
      <c r="C867" s="1">
        <v>42014</v>
      </c>
      <c r="D867" s="1">
        <v>42019</v>
      </c>
      <c r="E867" t="s">
        <v>2118</v>
      </c>
      <c r="F867" t="s">
        <v>1053</v>
      </c>
      <c r="G867" t="s">
        <v>1054</v>
      </c>
      <c r="H867" t="s">
        <v>10</v>
      </c>
      <c r="I867" t="s">
        <v>2115</v>
      </c>
      <c r="J867" t="s">
        <v>2110</v>
      </c>
      <c r="K867">
        <v>2.89</v>
      </c>
      <c r="L867">
        <f t="shared" si="26"/>
        <v>289</v>
      </c>
      <c r="M867">
        <f t="shared" si="27"/>
        <v>57.800000000000004</v>
      </c>
    </row>
    <row r="868" spans="1:13" x14ac:dyDescent="0.3">
      <c r="A868">
        <v>867</v>
      </c>
      <c r="B868" t="s">
        <v>1052</v>
      </c>
      <c r="C868" s="1">
        <v>42014</v>
      </c>
      <c r="D868" s="1">
        <v>42019</v>
      </c>
      <c r="E868" t="s">
        <v>2118</v>
      </c>
      <c r="F868" t="s">
        <v>1053</v>
      </c>
      <c r="G868" t="s">
        <v>1054</v>
      </c>
      <c r="H868" t="s">
        <v>10</v>
      </c>
      <c r="I868" t="s">
        <v>2115</v>
      </c>
      <c r="J868" t="s">
        <v>2109</v>
      </c>
      <c r="K868">
        <v>51.94</v>
      </c>
      <c r="L868">
        <f t="shared" si="26"/>
        <v>5194</v>
      </c>
      <c r="M868">
        <f t="shared" si="27"/>
        <v>1038.8</v>
      </c>
    </row>
    <row r="869" spans="1:13" x14ac:dyDescent="0.3">
      <c r="A869">
        <v>868</v>
      </c>
      <c r="B869" t="s">
        <v>1055</v>
      </c>
      <c r="C869" s="1">
        <v>43007</v>
      </c>
      <c r="D869" s="1">
        <v>43010</v>
      </c>
      <c r="E869" t="s">
        <v>2120</v>
      </c>
      <c r="F869" t="s">
        <v>1056</v>
      </c>
      <c r="G869" t="s">
        <v>2116</v>
      </c>
      <c r="H869" t="s">
        <v>10</v>
      </c>
      <c r="I869" t="s">
        <v>2114</v>
      </c>
      <c r="J869" t="s">
        <v>2110</v>
      </c>
      <c r="K869">
        <v>15.936</v>
      </c>
      <c r="L869">
        <f t="shared" si="26"/>
        <v>1593.6</v>
      </c>
      <c r="M869">
        <f t="shared" si="27"/>
        <v>318.72000000000003</v>
      </c>
    </row>
    <row r="870" spans="1:13" x14ac:dyDescent="0.3">
      <c r="A870">
        <v>869</v>
      </c>
      <c r="B870" t="s">
        <v>1057</v>
      </c>
      <c r="C870" s="1">
        <v>42100</v>
      </c>
      <c r="D870" s="1">
        <v>42104</v>
      </c>
      <c r="E870" t="s">
        <v>2118</v>
      </c>
      <c r="F870" t="s">
        <v>1058</v>
      </c>
      <c r="G870" t="s">
        <v>1059</v>
      </c>
      <c r="H870" t="s">
        <v>10</v>
      </c>
      <c r="I870" t="s">
        <v>2114</v>
      </c>
      <c r="J870" t="s">
        <v>2110</v>
      </c>
      <c r="K870">
        <v>44.91</v>
      </c>
      <c r="L870">
        <f t="shared" si="26"/>
        <v>4491</v>
      </c>
      <c r="M870">
        <f t="shared" si="27"/>
        <v>898.2</v>
      </c>
    </row>
    <row r="871" spans="1:13" x14ac:dyDescent="0.3">
      <c r="A871">
        <v>870</v>
      </c>
      <c r="B871" t="s">
        <v>1060</v>
      </c>
      <c r="C871" s="1">
        <v>42981</v>
      </c>
      <c r="D871" s="1">
        <v>42983</v>
      </c>
      <c r="E871" t="s">
        <v>2120</v>
      </c>
      <c r="F871" t="s">
        <v>1061</v>
      </c>
      <c r="G871" t="s">
        <v>1062</v>
      </c>
      <c r="H871" t="s">
        <v>26</v>
      </c>
      <c r="I871" t="s">
        <v>2114</v>
      </c>
      <c r="J871" t="s">
        <v>2110</v>
      </c>
      <c r="K871">
        <v>1141.47</v>
      </c>
      <c r="L871">
        <f t="shared" si="26"/>
        <v>114147</v>
      </c>
      <c r="M871">
        <f t="shared" si="27"/>
        <v>22829.4</v>
      </c>
    </row>
    <row r="872" spans="1:13" x14ac:dyDescent="0.3">
      <c r="A872">
        <v>871</v>
      </c>
      <c r="B872" t="s">
        <v>1060</v>
      </c>
      <c r="C872" s="1">
        <v>42981</v>
      </c>
      <c r="D872" s="1">
        <v>42983</v>
      </c>
      <c r="E872" t="s">
        <v>2120</v>
      </c>
      <c r="F872" t="s">
        <v>1061</v>
      </c>
      <c r="G872" t="s">
        <v>1062</v>
      </c>
      <c r="H872" t="s">
        <v>26</v>
      </c>
      <c r="I872" t="s">
        <v>2114</v>
      </c>
      <c r="J872" t="s">
        <v>2111</v>
      </c>
      <c r="K872">
        <v>280.78199999999998</v>
      </c>
      <c r="L872">
        <f t="shared" si="26"/>
        <v>28078.199999999997</v>
      </c>
      <c r="M872">
        <f t="shared" si="27"/>
        <v>5615.6399999999994</v>
      </c>
    </row>
    <row r="873" spans="1:13" x14ac:dyDescent="0.3">
      <c r="A873">
        <v>872</v>
      </c>
      <c r="B873" t="s">
        <v>1063</v>
      </c>
      <c r="C873" s="1">
        <v>42662</v>
      </c>
      <c r="D873" s="1">
        <v>42663</v>
      </c>
      <c r="E873" t="s">
        <v>2120</v>
      </c>
      <c r="F873" t="s">
        <v>49</v>
      </c>
      <c r="G873" t="s">
        <v>50</v>
      </c>
      <c r="H873" t="s">
        <v>6</v>
      </c>
      <c r="I873" t="s">
        <v>2114</v>
      </c>
      <c r="J873" t="s">
        <v>2110</v>
      </c>
      <c r="K873">
        <v>34.44</v>
      </c>
      <c r="L873">
        <f t="shared" si="26"/>
        <v>3444</v>
      </c>
      <c r="M873">
        <f t="shared" si="27"/>
        <v>688.80000000000007</v>
      </c>
    </row>
    <row r="874" spans="1:13" x14ac:dyDescent="0.3">
      <c r="A874">
        <v>873</v>
      </c>
      <c r="B874" t="s">
        <v>1064</v>
      </c>
      <c r="C874" s="1">
        <v>42348</v>
      </c>
      <c r="D874" s="1">
        <v>42353</v>
      </c>
      <c r="E874" t="s">
        <v>2118</v>
      </c>
      <c r="F874" t="s">
        <v>1065</v>
      </c>
      <c r="G874" t="s">
        <v>1066</v>
      </c>
      <c r="H874" t="s">
        <v>6</v>
      </c>
      <c r="I874" t="s">
        <v>2114</v>
      </c>
      <c r="J874" t="s">
        <v>2110</v>
      </c>
      <c r="K874">
        <v>11.36</v>
      </c>
      <c r="L874">
        <f t="shared" si="26"/>
        <v>1136</v>
      </c>
      <c r="M874">
        <f t="shared" si="27"/>
        <v>227.20000000000002</v>
      </c>
    </row>
    <row r="875" spans="1:13" x14ac:dyDescent="0.3">
      <c r="A875">
        <v>874</v>
      </c>
      <c r="B875" t="s">
        <v>1064</v>
      </c>
      <c r="C875" s="1">
        <v>42348</v>
      </c>
      <c r="D875" s="1">
        <v>42353</v>
      </c>
      <c r="E875" t="s">
        <v>2118</v>
      </c>
      <c r="F875" t="s">
        <v>1065</v>
      </c>
      <c r="G875" t="s">
        <v>1066</v>
      </c>
      <c r="H875" t="s">
        <v>6</v>
      </c>
      <c r="I875" t="s">
        <v>2114</v>
      </c>
      <c r="J875" t="s">
        <v>2110</v>
      </c>
      <c r="K875">
        <v>106.34399999999999</v>
      </c>
      <c r="L875">
        <f t="shared" si="26"/>
        <v>10634.4</v>
      </c>
      <c r="M875">
        <f t="shared" si="27"/>
        <v>2126.88</v>
      </c>
    </row>
    <row r="876" spans="1:13" x14ac:dyDescent="0.3">
      <c r="A876">
        <v>875</v>
      </c>
      <c r="B876" t="s">
        <v>1067</v>
      </c>
      <c r="C876" s="1">
        <v>43337</v>
      </c>
      <c r="D876" s="1">
        <v>43341</v>
      </c>
      <c r="E876" t="s">
        <v>2118</v>
      </c>
      <c r="F876" t="s">
        <v>1032</v>
      </c>
      <c r="G876" t="s">
        <v>1033</v>
      </c>
      <c r="H876" t="s">
        <v>6</v>
      </c>
      <c r="I876" t="s">
        <v>2115</v>
      </c>
      <c r="J876" t="s">
        <v>2110</v>
      </c>
      <c r="K876">
        <v>192.16</v>
      </c>
      <c r="L876">
        <f t="shared" si="26"/>
        <v>19216</v>
      </c>
      <c r="M876">
        <f t="shared" si="27"/>
        <v>3843.2000000000003</v>
      </c>
    </row>
    <row r="877" spans="1:13" x14ac:dyDescent="0.3">
      <c r="A877">
        <v>876</v>
      </c>
      <c r="B877" t="s">
        <v>1068</v>
      </c>
      <c r="C877" s="1">
        <v>42752</v>
      </c>
      <c r="D877" s="1">
        <v>42756</v>
      </c>
      <c r="E877" t="s">
        <v>2118</v>
      </c>
      <c r="F877" t="s">
        <v>815</v>
      </c>
      <c r="G877" t="s">
        <v>816</v>
      </c>
      <c r="H877" t="s">
        <v>26</v>
      </c>
      <c r="I877" t="s">
        <v>2114</v>
      </c>
      <c r="J877" t="s">
        <v>2109</v>
      </c>
      <c r="K877">
        <v>322.58999999999997</v>
      </c>
      <c r="L877">
        <f t="shared" si="26"/>
        <v>32258.999999999996</v>
      </c>
      <c r="M877">
        <f t="shared" si="27"/>
        <v>6451.7999999999993</v>
      </c>
    </row>
    <row r="878" spans="1:13" x14ac:dyDescent="0.3">
      <c r="A878">
        <v>877</v>
      </c>
      <c r="B878" t="s">
        <v>1068</v>
      </c>
      <c r="C878" s="1">
        <v>42752</v>
      </c>
      <c r="D878" s="1">
        <v>42756</v>
      </c>
      <c r="E878" t="s">
        <v>2118</v>
      </c>
      <c r="F878" t="s">
        <v>815</v>
      </c>
      <c r="G878" t="s">
        <v>816</v>
      </c>
      <c r="H878" t="s">
        <v>26</v>
      </c>
      <c r="I878" t="s">
        <v>2114</v>
      </c>
      <c r="J878" t="s">
        <v>2111</v>
      </c>
      <c r="K878">
        <v>29.99</v>
      </c>
      <c r="L878">
        <f t="shared" si="26"/>
        <v>2999</v>
      </c>
      <c r="M878">
        <f t="shared" si="27"/>
        <v>599.80000000000007</v>
      </c>
    </row>
    <row r="879" spans="1:13" x14ac:dyDescent="0.3">
      <c r="A879">
        <v>878</v>
      </c>
      <c r="B879" t="s">
        <v>1068</v>
      </c>
      <c r="C879" s="1">
        <v>42752</v>
      </c>
      <c r="D879" s="1">
        <v>42756</v>
      </c>
      <c r="E879" t="s">
        <v>2118</v>
      </c>
      <c r="F879" t="s">
        <v>815</v>
      </c>
      <c r="G879" t="s">
        <v>816</v>
      </c>
      <c r="H879" t="s">
        <v>26</v>
      </c>
      <c r="I879" t="s">
        <v>2114</v>
      </c>
      <c r="J879" t="s">
        <v>2111</v>
      </c>
      <c r="K879">
        <v>371.97</v>
      </c>
      <c r="L879">
        <f t="shared" si="26"/>
        <v>37197</v>
      </c>
      <c r="M879">
        <f t="shared" si="27"/>
        <v>7439.4000000000005</v>
      </c>
    </row>
    <row r="880" spans="1:13" x14ac:dyDescent="0.3">
      <c r="A880">
        <v>879</v>
      </c>
      <c r="B880" t="s">
        <v>1069</v>
      </c>
      <c r="C880" s="1">
        <v>42264</v>
      </c>
      <c r="D880" s="1">
        <v>42268</v>
      </c>
      <c r="E880" t="s">
        <v>2118</v>
      </c>
      <c r="F880" t="s">
        <v>1070</v>
      </c>
      <c r="G880" t="s">
        <v>1071</v>
      </c>
      <c r="H880" t="s">
        <v>26</v>
      </c>
      <c r="I880" t="s">
        <v>2114</v>
      </c>
      <c r="J880" t="s">
        <v>2110</v>
      </c>
      <c r="K880">
        <v>5.8920000000000003</v>
      </c>
      <c r="L880">
        <f t="shared" si="26"/>
        <v>589.20000000000005</v>
      </c>
      <c r="M880">
        <f t="shared" si="27"/>
        <v>117.84000000000002</v>
      </c>
    </row>
    <row r="881" spans="1:13" x14ac:dyDescent="0.3">
      <c r="A881">
        <v>880</v>
      </c>
      <c r="B881" t="s">
        <v>1072</v>
      </c>
      <c r="C881" s="1">
        <v>43434</v>
      </c>
      <c r="D881" s="1">
        <v>43436</v>
      </c>
      <c r="E881" t="s">
        <v>2119</v>
      </c>
      <c r="F881" t="s">
        <v>24</v>
      </c>
      <c r="G881" t="s">
        <v>25</v>
      </c>
      <c r="H881" t="s">
        <v>26</v>
      </c>
      <c r="I881" t="s">
        <v>2114</v>
      </c>
      <c r="J881" t="s">
        <v>2110</v>
      </c>
      <c r="K881">
        <v>68.471999999999994</v>
      </c>
      <c r="L881">
        <f t="shared" si="26"/>
        <v>6847.2</v>
      </c>
      <c r="M881">
        <f t="shared" si="27"/>
        <v>1369.44</v>
      </c>
    </row>
    <row r="882" spans="1:13" x14ac:dyDescent="0.3">
      <c r="A882">
        <v>881</v>
      </c>
      <c r="B882" t="s">
        <v>1072</v>
      </c>
      <c r="C882" s="1">
        <v>43434</v>
      </c>
      <c r="D882" s="1">
        <v>43436</v>
      </c>
      <c r="E882" t="s">
        <v>2119</v>
      </c>
      <c r="F882" t="s">
        <v>24</v>
      </c>
      <c r="G882" t="s">
        <v>25</v>
      </c>
      <c r="H882" t="s">
        <v>26</v>
      </c>
      <c r="I882" t="s">
        <v>2114</v>
      </c>
      <c r="J882" t="s">
        <v>2109</v>
      </c>
      <c r="K882">
        <v>1242.9000000000001</v>
      </c>
      <c r="L882">
        <f t="shared" si="26"/>
        <v>124290.00000000001</v>
      </c>
      <c r="M882">
        <f t="shared" si="27"/>
        <v>24858.000000000004</v>
      </c>
    </row>
    <row r="883" spans="1:13" x14ac:dyDescent="0.3">
      <c r="A883">
        <v>882</v>
      </c>
      <c r="B883" t="s">
        <v>1073</v>
      </c>
      <c r="C883" s="1">
        <v>42652</v>
      </c>
      <c r="D883" s="1">
        <v>42656</v>
      </c>
      <c r="E883" t="s">
        <v>2118</v>
      </c>
      <c r="F883" t="s">
        <v>172</v>
      </c>
      <c r="G883" t="s">
        <v>173</v>
      </c>
      <c r="H883" t="s">
        <v>6</v>
      </c>
      <c r="I883" t="s">
        <v>2115</v>
      </c>
      <c r="J883" t="s">
        <v>2110</v>
      </c>
      <c r="K883">
        <v>30.84</v>
      </c>
      <c r="L883">
        <f t="shared" si="26"/>
        <v>3084</v>
      </c>
      <c r="M883">
        <f t="shared" si="27"/>
        <v>616.80000000000007</v>
      </c>
    </row>
    <row r="884" spans="1:13" x14ac:dyDescent="0.3">
      <c r="A884">
        <v>883</v>
      </c>
      <c r="B884" t="s">
        <v>1074</v>
      </c>
      <c r="C884" s="1">
        <v>43457</v>
      </c>
      <c r="D884" s="1">
        <v>43457</v>
      </c>
      <c r="E884" t="s">
        <v>2120</v>
      </c>
      <c r="F884" t="s">
        <v>151</v>
      </c>
      <c r="G884" t="s">
        <v>152</v>
      </c>
      <c r="H884" t="s">
        <v>6</v>
      </c>
      <c r="I884" t="s">
        <v>2112</v>
      </c>
      <c r="J884" t="s">
        <v>2110</v>
      </c>
      <c r="K884">
        <v>13.48</v>
      </c>
      <c r="L884">
        <f t="shared" si="26"/>
        <v>1348</v>
      </c>
      <c r="M884">
        <f t="shared" si="27"/>
        <v>269.60000000000002</v>
      </c>
    </row>
    <row r="885" spans="1:13" x14ac:dyDescent="0.3">
      <c r="A885">
        <v>884</v>
      </c>
      <c r="B885" t="s">
        <v>1075</v>
      </c>
      <c r="C885" s="1">
        <v>43030</v>
      </c>
      <c r="D885" s="1">
        <v>43032</v>
      </c>
      <c r="E885" t="s">
        <v>2120</v>
      </c>
      <c r="F885" t="s">
        <v>1076</v>
      </c>
      <c r="G885" t="s">
        <v>1077</v>
      </c>
      <c r="H885" t="s">
        <v>26</v>
      </c>
      <c r="I885" t="s">
        <v>2117</v>
      </c>
      <c r="J885" t="s">
        <v>2109</v>
      </c>
      <c r="K885">
        <v>31.4</v>
      </c>
      <c r="L885">
        <f t="shared" si="26"/>
        <v>3140</v>
      </c>
      <c r="M885">
        <f t="shared" si="27"/>
        <v>628</v>
      </c>
    </row>
    <row r="886" spans="1:13" x14ac:dyDescent="0.3">
      <c r="A886">
        <v>885</v>
      </c>
      <c r="B886" t="s">
        <v>1078</v>
      </c>
      <c r="C886" s="1">
        <v>42123</v>
      </c>
      <c r="D886" s="1">
        <v>42128</v>
      </c>
      <c r="E886" t="s">
        <v>2118</v>
      </c>
      <c r="F886" t="s">
        <v>1079</v>
      </c>
      <c r="G886" t="s">
        <v>1080</v>
      </c>
      <c r="H886" t="s">
        <v>6</v>
      </c>
      <c r="I886" t="s">
        <v>2114</v>
      </c>
      <c r="J886" t="s">
        <v>2109</v>
      </c>
      <c r="K886">
        <v>17.46</v>
      </c>
      <c r="L886">
        <f t="shared" si="26"/>
        <v>1746</v>
      </c>
      <c r="M886">
        <f t="shared" si="27"/>
        <v>349.20000000000005</v>
      </c>
    </row>
    <row r="887" spans="1:13" x14ac:dyDescent="0.3">
      <c r="A887">
        <v>886</v>
      </c>
      <c r="B887" t="s">
        <v>1081</v>
      </c>
      <c r="C887" s="1">
        <v>42485</v>
      </c>
      <c r="D887" s="1">
        <v>42488</v>
      </c>
      <c r="E887" t="s">
        <v>2119</v>
      </c>
      <c r="F887" t="s">
        <v>1082</v>
      </c>
      <c r="G887" t="s">
        <v>1083</v>
      </c>
      <c r="H887" t="s">
        <v>10</v>
      </c>
      <c r="I887" t="s">
        <v>2112</v>
      </c>
      <c r="J887" t="s">
        <v>2110</v>
      </c>
      <c r="K887">
        <v>13.944000000000001</v>
      </c>
      <c r="L887">
        <f t="shared" si="26"/>
        <v>1394.4</v>
      </c>
      <c r="M887">
        <f t="shared" si="27"/>
        <v>278.88000000000005</v>
      </c>
    </row>
    <row r="888" spans="1:13" x14ac:dyDescent="0.3">
      <c r="A888">
        <v>887</v>
      </c>
      <c r="B888" t="s">
        <v>1084</v>
      </c>
      <c r="C888" s="1">
        <v>43277</v>
      </c>
      <c r="D888" s="1">
        <v>43283</v>
      </c>
      <c r="E888" t="s">
        <v>2118</v>
      </c>
      <c r="F888" t="s">
        <v>709</v>
      </c>
      <c r="G888" t="s">
        <v>710</v>
      </c>
      <c r="H888" t="s">
        <v>6</v>
      </c>
      <c r="I888" t="s">
        <v>2112</v>
      </c>
      <c r="J888" t="s">
        <v>2110</v>
      </c>
      <c r="K888">
        <v>83.76</v>
      </c>
      <c r="L888">
        <f t="shared" si="26"/>
        <v>8376</v>
      </c>
      <c r="M888">
        <f t="shared" si="27"/>
        <v>1675.2</v>
      </c>
    </row>
    <row r="889" spans="1:13" x14ac:dyDescent="0.3">
      <c r="A889">
        <v>888</v>
      </c>
      <c r="B889" t="s">
        <v>1085</v>
      </c>
      <c r="C889" s="1">
        <v>43387</v>
      </c>
      <c r="D889" s="1">
        <v>43392</v>
      </c>
      <c r="E889" t="s">
        <v>2118</v>
      </c>
      <c r="F889" t="s">
        <v>1086</v>
      </c>
      <c r="G889" t="s">
        <v>1087</v>
      </c>
      <c r="H889" t="s">
        <v>26</v>
      </c>
      <c r="I889" t="s">
        <v>2114</v>
      </c>
      <c r="J889" t="s">
        <v>2110</v>
      </c>
      <c r="K889">
        <v>37.659999999999997</v>
      </c>
      <c r="L889">
        <f t="shared" si="26"/>
        <v>3765.9999999999995</v>
      </c>
      <c r="M889">
        <f t="shared" si="27"/>
        <v>753.19999999999993</v>
      </c>
    </row>
    <row r="890" spans="1:13" x14ac:dyDescent="0.3">
      <c r="A890">
        <v>889</v>
      </c>
      <c r="B890" t="s">
        <v>1088</v>
      </c>
      <c r="C890" s="1">
        <v>42347</v>
      </c>
      <c r="D890" s="1">
        <v>42354</v>
      </c>
      <c r="E890" t="s">
        <v>2118</v>
      </c>
      <c r="F890" t="s">
        <v>1035</v>
      </c>
      <c r="G890" t="s">
        <v>1036</v>
      </c>
      <c r="H890" t="s">
        <v>10</v>
      </c>
      <c r="I890" t="s">
        <v>2112</v>
      </c>
      <c r="J890" t="s">
        <v>2110</v>
      </c>
      <c r="K890">
        <v>34.68</v>
      </c>
      <c r="L890">
        <f t="shared" si="26"/>
        <v>3468</v>
      </c>
      <c r="M890">
        <f t="shared" si="27"/>
        <v>693.6</v>
      </c>
    </row>
    <row r="891" spans="1:13" x14ac:dyDescent="0.3">
      <c r="A891">
        <v>890</v>
      </c>
      <c r="B891" t="s">
        <v>1089</v>
      </c>
      <c r="C891" s="1">
        <v>43271</v>
      </c>
      <c r="D891" s="1">
        <v>43277</v>
      </c>
      <c r="E891" t="s">
        <v>2118</v>
      </c>
      <c r="F891" t="s">
        <v>602</v>
      </c>
      <c r="G891" t="s">
        <v>603</v>
      </c>
      <c r="H891" t="s">
        <v>6</v>
      </c>
      <c r="I891" t="s">
        <v>2114</v>
      </c>
      <c r="J891" t="s">
        <v>2111</v>
      </c>
      <c r="K891">
        <v>149.94999999999999</v>
      </c>
      <c r="L891">
        <f t="shared" si="26"/>
        <v>14994.999999999998</v>
      </c>
      <c r="M891">
        <f t="shared" si="27"/>
        <v>2999</v>
      </c>
    </row>
    <row r="892" spans="1:13" x14ac:dyDescent="0.3">
      <c r="A892">
        <v>891</v>
      </c>
      <c r="B892" t="s">
        <v>1089</v>
      </c>
      <c r="C892" s="1">
        <v>43271</v>
      </c>
      <c r="D892" s="1">
        <v>43277</v>
      </c>
      <c r="E892" t="s">
        <v>2118</v>
      </c>
      <c r="F892" t="s">
        <v>602</v>
      </c>
      <c r="G892" t="s">
        <v>603</v>
      </c>
      <c r="H892" t="s">
        <v>6</v>
      </c>
      <c r="I892" t="s">
        <v>2114</v>
      </c>
      <c r="J892" t="s">
        <v>2110</v>
      </c>
      <c r="K892">
        <v>51.311999999999998</v>
      </c>
      <c r="L892">
        <f t="shared" si="26"/>
        <v>5131.2</v>
      </c>
      <c r="M892">
        <f t="shared" si="27"/>
        <v>1026.24</v>
      </c>
    </row>
    <row r="893" spans="1:13" x14ac:dyDescent="0.3">
      <c r="A893">
        <v>892</v>
      </c>
      <c r="B893" t="s">
        <v>1090</v>
      </c>
      <c r="C893" s="1">
        <v>43277</v>
      </c>
      <c r="D893" s="1">
        <v>43278</v>
      </c>
      <c r="E893" t="s">
        <v>2120</v>
      </c>
      <c r="F893" t="s">
        <v>883</v>
      </c>
      <c r="G893" t="s">
        <v>884</v>
      </c>
      <c r="H893" t="s">
        <v>26</v>
      </c>
      <c r="I893" t="s">
        <v>2117</v>
      </c>
      <c r="J893" t="s">
        <v>2110</v>
      </c>
      <c r="K893">
        <v>4.54</v>
      </c>
      <c r="L893">
        <f t="shared" si="26"/>
        <v>454</v>
      </c>
      <c r="M893">
        <f t="shared" si="27"/>
        <v>90.800000000000011</v>
      </c>
    </row>
    <row r="894" spans="1:13" x14ac:dyDescent="0.3">
      <c r="A894">
        <v>893</v>
      </c>
      <c r="B894" t="s">
        <v>1090</v>
      </c>
      <c r="C894" s="1">
        <v>43277</v>
      </c>
      <c r="D894" s="1">
        <v>43278</v>
      </c>
      <c r="E894" t="s">
        <v>2120</v>
      </c>
      <c r="F894" t="s">
        <v>883</v>
      </c>
      <c r="G894" t="s">
        <v>884</v>
      </c>
      <c r="H894" t="s">
        <v>26</v>
      </c>
      <c r="I894" t="s">
        <v>2117</v>
      </c>
      <c r="J894" t="s">
        <v>2110</v>
      </c>
      <c r="K894">
        <v>15.92</v>
      </c>
      <c r="L894">
        <f t="shared" si="26"/>
        <v>1592</v>
      </c>
      <c r="M894">
        <f t="shared" si="27"/>
        <v>318.40000000000003</v>
      </c>
    </row>
    <row r="895" spans="1:13" x14ac:dyDescent="0.3">
      <c r="A895">
        <v>894</v>
      </c>
      <c r="B895" t="s">
        <v>1090</v>
      </c>
      <c r="C895" s="1">
        <v>43277</v>
      </c>
      <c r="D895" s="1">
        <v>43278</v>
      </c>
      <c r="E895" t="s">
        <v>2120</v>
      </c>
      <c r="F895" t="s">
        <v>883</v>
      </c>
      <c r="G895" t="s">
        <v>884</v>
      </c>
      <c r="H895" t="s">
        <v>26</v>
      </c>
      <c r="I895" t="s">
        <v>2117</v>
      </c>
      <c r="J895" t="s">
        <v>2111</v>
      </c>
      <c r="K895">
        <v>543.91999999999996</v>
      </c>
      <c r="L895">
        <f t="shared" si="26"/>
        <v>54391.999999999993</v>
      </c>
      <c r="M895">
        <f t="shared" si="27"/>
        <v>10878.4</v>
      </c>
    </row>
    <row r="896" spans="1:13" x14ac:dyDescent="0.3">
      <c r="A896">
        <v>895</v>
      </c>
      <c r="B896" t="s">
        <v>1091</v>
      </c>
      <c r="C896" s="1">
        <v>43049</v>
      </c>
      <c r="D896" s="1">
        <v>43051</v>
      </c>
      <c r="E896" t="s">
        <v>2120</v>
      </c>
      <c r="F896" t="s">
        <v>1092</v>
      </c>
      <c r="G896" t="s">
        <v>1093</v>
      </c>
      <c r="H896" t="s">
        <v>10</v>
      </c>
      <c r="I896" t="s">
        <v>2112</v>
      </c>
      <c r="J896" t="s">
        <v>2110</v>
      </c>
      <c r="K896">
        <v>155.82</v>
      </c>
      <c r="L896">
        <f t="shared" si="26"/>
        <v>15582</v>
      </c>
      <c r="M896">
        <f t="shared" si="27"/>
        <v>3116.4</v>
      </c>
    </row>
    <row r="897" spans="1:13" x14ac:dyDescent="0.3">
      <c r="A897">
        <v>896</v>
      </c>
      <c r="B897" t="s">
        <v>1091</v>
      </c>
      <c r="C897" s="1">
        <v>43049</v>
      </c>
      <c r="D897" s="1">
        <v>43051</v>
      </c>
      <c r="E897" t="s">
        <v>2120</v>
      </c>
      <c r="F897" t="s">
        <v>1092</v>
      </c>
      <c r="G897" t="s">
        <v>1093</v>
      </c>
      <c r="H897" t="s">
        <v>10</v>
      </c>
      <c r="I897" t="s">
        <v>2112</v>
      </c>
      <c r="J897" t="s">
        <v>2110</v>
      </c>
      <c r="K897">
        <v>70.007999999999996</v>
      </c>
      <c r="L897">
        <f t="shared" si="26"/>
        <v>7000.7999999999993</v>
      </c>
      <c r="M897">
        <f t="shared" si="27"/>
        <v>1400.1599999999999</v>
      </c>
    </row>
    <row r="898" spans="1:13" x14ac:dyDescent="0.3">
      <c r="A898">
        <v>897</v>
      </c>
      <c r="B898" t="s">
        <v>1094</v>
      </c>
      <c r="C898" s="1">
        <v>43011</v>
      </c>
      <c r="D898" s="1">
        <v>43014</v>
      </c>
      <c r="E898" t="s">
        <v>2119</v>
      </c>
      <c r="F898" t="s">
        <v>1095</v>
      </c>
      <c r="G898" t="s">
        <v>1096</v>
      </c>
      <c r="H898" t="s">
        <v>6</v>
      </c>
      <c r="I898" t="s">
        <v>2117</v>
      </c>
      <c r="J898" t="s">
        <v>2110</v>
      </c>
      <c r="K898">
        <v>15.648</v>
      </c>
      <c r="L898">
        <f t="shared" ref="L898:L961" si="28">K898*100</f>
        <v>1564.8</v>
      </c>
      <c r="M898">
        <f t="shared" si="27"/>
        <v>312.96000000000004</v>
      </c>
    </row>
    <row r="899" spans="1:13" x14ac:dyDescent="0.3">
      <c r="A899">
        <v>898</v>
      </c>
      <c r="B899" t="s">
        <v>1097</v>
      </c>
      <c r="C899" s="1">
        <v>42256</v>
      </c>
      <c r="D899" s="1">
        <v>42262</v>
      </c>
      <c r="E899" t="s">
        <v>2118</v>
      </c>
      <c r="F899" t="s">
        <v>1098</v>
      </c>
      <c r="G899" t="s">
        <v>1099</v>
      </c>
      <c r="H899" t="s">
        <v>6</v>
      </c>
      <c r="I899" t="s">
        <v>2117</v>
      </c>
      <c r="J899" t="s">
        <v>2110</v>
      </c>
      <c r="K899">
        <v>103.6</v>
      </c>
      <c r="L899">
        <f t="shared" si="28"/>
        <v>10360</v>
      </c>
      <c r="M899">
        <f t="shared" ref="M899:M962" si="29">L899*0.2</f>
        <v>2072</v>
      </c>
    </row>
    <row r="900" spans="1:13" x14ac:dyDescent="0.3">
      <c r="A900">
        <v>899</v>
      </c>
      <c r="B900" t="s">
        <v>1100</v>
      </c>
      <c r="C900" s="1">
        <v>43402</v>
      </c>
      <c r="D900" s="1">
        <v>43404</v>
      </c>
      <c r="E900" t="s">
        <v>2119</v>
      </c>
      <c r="F900" t="s">
        <v>1101</v>
      </c>
      <c r="G900" t="s">
        <v>1102</v>
      </c>
      <c r="H900" t="s">
        <v>10</v>
      </c>
      <c r="I900" t="s">
        <v>2114</v>
      </c>
      <c r="J900" t="s">
        <v>2110</v>
      </c>
      <c r="K900">
        <v>46.96</v>
      </c>
      <c r="L900">
        <f t="shared" si="28"/>
        <v>4696</v>
      </c>
      <c r="M900">
        <f t="shared" si="29"/>
        <v>939.2</v>
      </c>
    </row>
    <row r="901" spans="1:13" x14ac:dyDescent="0.3">
      <c r="A901">
        <v>900</v>
      </c>
      <c r="B901" t="s">
        <v>1103</v>
      </c>
      <c r="C901" s="1">
        <v>42835</v>
      </c>
      <c r="D901" s="1">
        <v>42837</v>
      </c>
      <c r="E901" t="s">
        <v>2120</v>
      </c>
      <c r="F901" t="s">
        <v>1104</v>
      </c>
      <c r="G901" t="s">
        <v>1105</v>
      </c>
      <c r="H901" t="s">
        <v>10</v>
      </c>
      <c r="I901" t="s">
        <v>2114</v>
      </c>
      <c r="J901" t="s">
        <v>2110</v>
      </c>
      <c r="K901">
        <v>8.9039999999999999</v>
      </c>
      <c r="L901">
        <f t="shared" si="28"/>
        <v>890.4</v>
      </c>
      <c r="M901">
        <f t="shared" si="29"/>
        <v>178.08</v>
      </c>
    </row>
    <row r="902" spans="1:13" x14ac:dyDescent="0.3">
      <c r="A902">
        <v>901</v>
      </c>
      <c r="B902" t="s">
        <v>1106</v>
      </c>
      <c r="C902" s="1">
        <v>43415</v>
      </c>
      <c r="D902" s="1">
        <v>43417</v>
      </c>
      <c r="E902" t="s">
        <v>2120</v>
      </c>
      <c r="F902" t="s">
        <v>451</v>
      </c>
      <c r="G902" t="s">
        <v>452</v>
      </c>
      <c r="H902" t="s">
        <v>6</v>
      </c>
      <c r="I902" t="s">
        <v>2117</v>
      </c>
      <c r="J902" t="s">
        <v>2110</v>
      </c>
      <c r="K902">
        <v>10.44</v>
      </c>
      <c r="L902">
        <f t="shared" si="28"/>
        <v>1044</v>
      </c>
      <c r="M902">
        <f t="shared" si="29"/>
        <v>208.8</v>
      </c>
    </row>
    <row r="903" spans="1:13" x14ac:dyDescent="0.3">
      <c r="A903">
        <v>902</v>
      </c>
      <c r="B903" t="s">
        <v>1106</v>
      </c>
      <c r="C903" s="1">
        <v>43415</v>
      </c>
      <c r="D903" s="1">
        <v>43417</v>
      </c>
      <c r="E903" t="s">
        <v>2120</v>
      </c>
      <c r="F903" t="s">
        <v>451</v>
      </c>
      <c r="G903" t="s">
        <v>452</v>
      </c>
      <c r="H903" t="s">
        <v>6</v>
      </c>
      <c r="I903" t="s">
        <v>2117</v>
      </c>
      <c r="J903" t="s">
        <v>2110</v>
      </c>
      <c r="K903">
        <v>18.335999999999999</v>
      </c>
      <c r="L903">
        <f t="shared" si="28"/>
        <v>1833.6</v>
      </c>
      <c r="M903">
        <f t="shared" si="29"/>
        <v>366.72</v>
      </c>
    </row>
    <row r="904" spans="1:13" x14ac:dyDescent="0.3">
      <c r="A904">
        <v>903</v>
      </c>
      <c r="B904" t="s">
        <v>1107</v>
      </c>
      <c r="C904" s="1">
        <v>43358</v>
      </c>
      <c r="D904" s="1">
        <v>43360</v>
      </c>
      <c r="E904" t="s">
        <v>2120</v>
      </c>
      <c r="F904" t="s">
        <v>226</v>
      </c>
      <c r="G904" t="s">
        <v>227</v>
      </c>
      <c r="H904" t="s">
        <v>6</v>
      </c>
      <c r="I904" t="s">
        <v>2117</v>
      </c>
      <c r="J904" t="s">
        <v>2111</v>
      </c>
      <c r="K904">
        <v>323.976</v>
      </c>
      <c r="L904">
        <f t="shared" si="28"/>
        <v>32397.599999999999</v>
      </c>
      <c r="M904">
        <f t="shared" si="29"/>
        <v>6479.52</v>
      </c>
    </row>
    <row r="905" spans="1:13" x14ac:dyDescent="0.3">
      <c r="A905">
        <v>904</v>
      </c>
      <c r="B905" t="s">
        <v>1108</v>
      </c>
      <c r="C905" s="1">
        <v>42833</v>
      </c>
      <c r="D905" s="1">
        <v>42837</v>
      </c>
      <c r="E905" t="s">
        <v>2118</v>
      </c>
      <c r="F905" t="s">
        <v>296</v>
      </c>
      <c r="G905" t="s">
        <v>297</v>
      </c>
      <c r="H905" t="s">
        <v>6</v>
      </c>
      <c r="I905" t="s">
        <v>2112</v>
      </c>
      <c r="J905" t="s">
        <v>2110</v>
      </c>
      <c r="K905">
        <v>20.04</v>
      </c>
      <c r="L905">
        <f t="shared" si="28"/>
        <v>2004</v>
      </c>
      <c r="M905">
        <f t="shared" si="29"/>
        <v>400.8</v>
      </c>
    </row>
    <row r="906" spans="1:13" x14ac:dyDescent="0.3">
      <c r="A906">
        <v>905</v>
      </c>
      <c r="B906" t="s">
        <v>1108</v>
      </c>
      <c r="C906" s="1">
        <v>42833</v>
      </c>
      <c r="D906" s="1">
        <v>42837</v>
      </c>
      <c r="E906" t="s">
        <v>2118</v>
      </c>
      <c r="F906" t="s">
        <v>296</v>
      </c>
      <c r="G906" t="s">
        <v>297</v>
      </c>
      <c r="H906" t="s">
        <v>6</v>
      </c>
      <c r="I906" t="s">
        <v>2112</v>
      </c>
      <c r="J906" t="s">
        <v>2110</v>
      </c>
      <c r="K906">
        <v>64.959999999999994</v>
      </c>
      <c r="L906">
        <f t="shared" si="28"/>
        <v>6495.9999999999991</v>
      </c>
      <c r="M906">
        <f t="shared" si="29"/>
        <v>1299.1999999999998</v>
      </c>
    </row>
    <row r="907" spans="1:13" x14ac:dyDescent="0.3">
      <c r="A907">
        <v>906</v>
      </c>
      <c r="B907" t="s">
        <v>1108</v>
      </c>
      <c r="C907" s="1">
        <v>42833</v>
      </c>
      <c r="D907" s="1">
        <v>42837</v>
      </c>
      <c r="E907" t="s">
        <v>2118</v>
      </c>
      <c r="F907" t="s">
        <v>296</v>
      </c>
      <c r="G907" t="s">
        <v>297</v>
      </c>
      <c r="H907" t="s">
        <v>6</v>
      </c>
      <c r="I907" t="s">
        <v>2112</v>
      </c>
      <c r="J907" t="s">
        <v>2110</v>
      </c>
      <c r="K907">
        <v>12.96</v>
      </c>
      <c r="L907">
        <f t="shared" si="28"/>
        <v>1296</v>
      </c>
      <c r="M907">
        <f t="shared" si="29"/>
        <v>259.2</v>
      </c>
    </row>
    <row r="908" spans="1:13" x14ac:dyDescent="0.3">
      <c r="A908">
        <v>907</v>
      </c>
      <c r="B908" t="s">
        <v>1109</v>
      </c>
      <c r="C908" s="1">
        <v>43464</v>
      </c>
      <c r="D908" s="1">
        <v>43468</v>
      </c>
      <c r="E908" t="s">
        <v>2118</v>
      </c>
      <c r="F908" t="s">
        <v>73</v>
      </c>
      <c r="G908" t="s">
        <v>74</v>
      </c>
      <c r="H908" t="s">
        <v>6</v>
      </c>
      <c r="I908" t="s">
        <v>2114</v>
      </c>
      <c r="J908" t="s">
        <v>2109</v>
      </c>
      <c r="K908">
        <v>323.13600000000002</v>
      </c>
      <c r="L908">
        <f t="shared" si="28"/>
        <v>32313.600000000002</v>
      </c>
      <c r="M908">
        <f t="shared" si="29"/>
        <v>6462.7200000000012</v>
      </c>
    </row>
    <row r="909" spans="1:13" x14ac:dyDescent="0.3">
      <c r="A909">
        <v>908</v>
      </c>
      <c r="B909" t="s">
        <v>1109</v>
      </c>
      <c r="C909" s="1">
        <v>43464</v>
      </c>
      <c r="D909" s="1">
        <v>43468</v>
      </c>
      <c r="E909" t="s">
        <v>2118</v>
      </c>
      <c r="F909" t="s">
        <v>73</v>
      </c>
      <c r="G909" t="s">
        <v>74</v>
      </c>
      <c r="H909" t="s">
        <v>6</v>
      </c>
      <c r="I909" t="s">
        <v>2114</v>
      </c>
      <c r="J909" t="s">
        <v>2111</v>
      </c>
      <c r="K909">
        <v>90.93</v>
      </c>
      <c r="L909">
        <f t="shared" si="28"/>
        <v>9093</v>
      </c>
      <c r="M909">
        <f t="shared" si="29"/>
        <v>1818.6000000000001</v>
      </c>
    </row>
    <row r="910" spans="1:13" x14ac:dyDescent="0.3">
      <c r="A910">
        <v>909</v>
      </c>
      <c r="B910" t="s">
        <v>1109</v>
      </c>
      <c r="C910" s="1">
        <v>43464</v>
      </c>
      <c r="D910" s="1">
        <v>43468</v>
      </c>
      <c r="E910" t="s">
        <v>2118</v>
      </c>
      <c r="F910" t="s">
        <v>73</v>
      </c>
      <c r="G910" t="s">
        <v>74</v>
      </c>
      <c r="H910" t="s">
        <v>6</v>
      </c>
      <c r="I910" t="s">
        <v>2114</v>
      </c>
      <c r="J910" t="s">
        <v>2110</v>
      </c>
      <c r="K910">
        <v>52.776000000000003</v>
      </c>
      <c r="L910">
        <f t="shared" si="28"/>
        <v>5277.6</v>
      </c>
      <c r="M910">
        <f t="shared" si="29"/>
        <v>1055.5200000000002</v>
      </c>
    </row>
    <row r="911" spans="1:13" x14ac:dyDescent="0.3">
      <c r="A911">
        <v>910</v>
      </c>
      <c r="B911" t="s">
        <v>1110</v>
      </c>
      <c r="C911" s="1">
        <v>43345</v>
      </c>
      <c r="D911" s="1">
        <v>43350</v>
      </c>
      <c r="E911" t="s">
        <v>2118</v>
      </c>
      <c r="F911" t="s">
        <v>1111</v>
      </c>
      <c r="G911" t="s">
        <v>1112</v>
      </c>
      <c r="H911" t="s">
        <v>26</v>
      </c>
      <c r="I911" t="s">
        <v>2117</v>
      </c>
      <c r="J911" t="s">
        <v>2111</v>
      </c>
      <c r="K911">
        <v>1199.8</v>
      </c>
      <c r="L911">
        <f t="shared" si="28"/>
        <v>119980</v>
      </c>
      <c r="M911">
        <f t="shared" si="29"/>
        <v>23996</v>
      </c>
    </row>
    <row r="912" spans="1:13" x14ac:dyDescent="0.3">
      <c r="A912">
        <v>911</v>
      </c>
      <c r="B912" t="s">
        <v>1110</v>
      </c>
      <c r="C912" s="1">
        <v>43345</v>
      </c>
      <c r="D912" s="1">
        <v>43350</v>
      </c>
      <c r="E912" t="s">
        <v>2118</v>
      </c>
      <c r="F912" t="s">
        <v>1111</v>
      </c>
      <c r="G912" t="s">
        <v>1112</v>
      </c>
      <c r="H912" t="s">
        <v>26</v>
      </c>
      <c r="I912" t="s">
        <v>2117</v>
      </c>
      <c r="J912" t="s">
        <v>2111</v>
      </c>
      <c r="K912">
        <v>1928.78</v>
      </c>
      <c r="L912">
        <f t="shared" si="28"/>
        <v>192878</v>
      </c>
      <c r="M912">
        <f t="shared" si="29"/>
        <v>38575.599999999999</v>
      </c>
    </row>
    <row r="913" spans="1:13" x14ac:dyDescent="0.3">
      <c r="A913">
        <v>912</v>
      </c>
      <c r="B913" t="s">
        <v>1110</v>
      </c>
      <c r="C913" s="1">
        <v>43345</v>
      </c>
      <c r="D913" s="1">
        <v>43350</v>
      </c>
      <c r="E913" t="s">
        <v>2118</v>
      </c>
      <c r="F913" t="s">
        <v>1111</v>
      </c>
      <c r="G913" t="s">
        <v>1112</v>
      </c>
      <c r="H913" t="s">
        <v>26</v>
      </c>
      <c r="I913" t="s">
        <v>2117</v>
      </c>
      <c r="J913" t="s">
        <v>2110</v>
      </c>
      <c r="K913">
        <v>352.38</v>
      </c>
      <c r="L913">
        <f t="shared" si="28"/>
        <v>35238</v>
      </c>
      <c r="M913">
        <f t="shared" si="29"/>
        <v>7047.6</v>
      </c>
    </row>
    <row r="914" spans="1:13" x14ac:dyDescent="0.3">
      <c r="A914">
        <v>913</v>
      </c>
      <c r="B914" t="s">
        <v>1113</v>
      </c>
      <c r="C914" s="1">
        <v>42521</v>
      </c>
      <c r="D914" s="1">
        <v>42528</v>
      </c>
      <c r="E914" t="s">
        <v>2118</v>
      </c>
      <c r="F914" t="s">
        <v>1114</v>
      </c>
      <c r="G914" t="s">
        <v>1115</v>
      </c>
      <c r="H914" t="s">
        <v>26</v>
      </c>
      <c r="I914" t="s">
        <v>2114</v>
      </c>
      <c r="J914" t="s">
        <v>2109</v>
      </c>
      <c r="K914">
        <v>22.2</v>
      </c>
      <c r="L914">
        <f t="shared" si="28"/>
        <v>2220</v>
      </c>
      <c r="M914">
        <f t="shared" si="29"/>
        <v>444</v>
      </c>
    </row>
    <row r="915" spans="1:13" x14ac:dyDescent="0.3">
      <c r="A915">
        <v>914</v>
      </c>
      <c r="B915" t="s">
        <v>1116</v>
      </c>
      <c r="C915" s="1">
        <v>43431</v>
      </c>
      <c r="D915" s="1">
        <v>43433</v>
      </c>
      <c r="E915" t="s">
        <v>2120</v>
      </c>
      <c r="F915" t="s">
        <v>1023</v>
      </c>
      <c r="G915" t="s">
        <v>1024</v>
      </c>
      <c r="H915" t="s">
        <v>10</v>
      </c>
      <c r="I915" t="s">
        <v>2117</v>
      </c>
      <c r="J915" t="s">
        <v>2109</v>
      </c>
      <c r="K915">
        <v>46.94</v>
      </c>
      <c r="L915">
        <f t="shared" si="28"/>
        <v>4694</v>
      </c>
      <c r="M915">
        <f t="shared" si="29"/>
        <v>938.80000000000007</v>
      </c>
    </row>
    <row r="916" spans="1:13" x14ac:dyDescent="0.3">
      <c r="A916">
        <v>915</v>
      </c>
      <c r="B916" t="s">
        <v>1116</v>
      </c>
      <c r="C916" s="1">
        <v>43431</v>
      </c>
      <c r="D916" s="1">
        <v>43433</v>
      </c>
      <c r="E916" t="s">
        <v>2120</v>
      </c>
      <c r="F916" t="s">
        <v>1023</v>
      </c>
      <c r="G916" t="s">
        <v>1024</v>
      </c>
      <c r="H916" t="s">
        <v>10</v>
      </c>
      <c r="I916" t="s">
        <v>2117</v>
      </c>
      <c r="J916" t="s">
        <v>2111</v>
      </c>
      <c r="K916">
        <v>143.72999999999999</v>
      </c>
      <c r="L916">
        <f t="shared" si="28"/>
        <v>14372.999999999998</v>
      </c>
      <c r="M916">
        <f t="shared" si="29"/>
        <v>2874.6</v>
      </c>
    </row>
    <row r="917" spans="1:13" x14ac:dyDescent="0.3">
      <c r="A917">
        <v>916</v>
      </c>
      <c r="B917" t="s">
        <v>1117</v>
      </c>
      <c r="C917" s="1">
        <v>42170</v>
      </c>
      <c r="D917" s="1">
        <v>42176</v>
      </c>
      <c r="E917" t="s">
        <v>2118</v>
      </c>
      <c r="F917" t="s">
        <v>394</v>
      </c>
      <c r="G917" t="s">
        <v>395</v>
      </c>
      <c r="H917" t="s">
        <v>10</v>
      </c>
      <c r="I917" t="s">
        <v>2117</v>
      </c>
      <c r="J917" t="s">
        <v>2109</v>
      </c>
      <c r="K917">
        <v>99.918000000000006</v>
      </c>
      <c r="L917">
        <f t="shared" si="28"/>
        <v>9991.8000000000011</v>
      </c>
      <c r="M917">
        <f t="shared" si="29"/>
        <v>1998.3600000000004</v>
      </c>
    </row>
    <row r="918" spans="1:13" x14ac:dyDescent="0.3">
      <c r="A918">
        <v>917</v>
      </c>
      <c r="B918" t="s">
        <v>1117</v>
      </c>
      <c r="C918" s="1">
        <v>42170</v>
      </c>
      <c r="D918" s="1">
        <v>42176</v>
      </c>
      <c r="E918" t="s">
        <v>2118</v>
      </c>
      <c r="F918" t="s">
        <v>394</v>
      </c>
      <c r="G918" t="s">
        <v>395</v>
      </c>
      <c r="H918" t="s">
        <v>10</v>
      </c>
      <c r="I918" t="s">
        <v>2117</v>
      </c>
      <c r="J918" t="s">
        <v>2109</v>
      </c>
      <c r="K918">
        <v>797.94399999999996</v>
      </c>
      <c r="L918">
        <f t="shared" si="28"/>
        <v>79794.399999999994</v>
      </c>
      <c r="M918">
        <f t="shared" si="29"/>
        <v>15958.88</v>
      </c>
    </row>
    <row r="919" spans="1:13" x14ac:dyDescent="0.3">
      <c r="A919">
        <v>918</v>
      </c>
      <c r="B919" t="s">
        <v>1117</v>
      </c>
      <c r="C919" s="1">
        <v>42170</v>
      </c>
      <c r="D919" s="1">
        <v>42176</v>
      </c>
      <c r="E919" t="s">
        <v>2118</v>
      </c>
      <c r="F919" t="s">
        <v>394</v>
      </c>
      <c r="G919" t="s">
        <v>395</v>
      </c>
      <c r="H919" t="s">
        <v>10</v>
      </c>
      <c r="I919" t="s">
        <v>2117</v>
      </c>
      <c r="J919" t="s">
        <v>2110</v>
      </c>
      <c r="K919">
        <v>8.5679999999999996</v>
      </c>
      <c r="L919">
        <f t="shared" si="28"/>
        <v>856.8</v>
      </c>
      <c r="M919">
        <f t="shared" si="29"/>
        <v>171.36</v>
      </c>
    </row>
    <row r="920" spans="1:13" x14ac:dyDescent="0.3">
      <c r="A920">
        <v>919</v>
      </c>
      <c r="B920" t="s">
        <v>1118</v>
      </c>
      <c r="C920" s="1">
        <v>42799</v>
      </c>
      <c r="D920" s="1">
        <v>42805</v>
      </c>
      <c r="E920" t="s">
        <v>2118</v>
      </c>
      <c r="F920" t="s">
        <v>1119</v>
      </c>
      <c r="G920" t="s">
        <v>1120</v>
      </c>
      <c r="H920" t="s">
        <v>10</v>
      </c>
      <c r="I920" t="s">
        <v>2117</v>
      </c>
      <c r="J920" t="s">
        <v>2110</v>
      </c>
      <c r="K920">
        <v>149.352</v>
      </c>
      <c r="L920">
        <f t="shared" si="28"/>
        <v>14935.2</v>
      </c>
      <c r="M920">
        <f t="shared" si="29"/>
        <v>2987.0400000000004</v>
      </c>
    </row>
    <row r="921" spans="1:13" x14ac:dyDescent="0.3">
      <c r="A921">
        <v>920</v>
      </c>
      <c r="B921" t="s">
        <v>1118</v>
      </c>
      <c r="C921" s="1">
        <v>42799</v>
      </c>
      <c r="D921" s="1">
        <v>42805</v>
      </c>
      <c r="E921" t="s">
        <v>2118</v>
      </c>
      <c r="F921" t="s">
        <v>1119</v>
      </c>
      <c r="G921" t="s">
        <v>1120</v>
      </c>
      <c r="H921" t="s">
        <v>10</v>
      </c>
      <c r="I921" t="s">
        <v>2117</v>
      </c>
      <c r="J921" t="s">
        <v>2110</v>
      </c>
      <c r="K921">
        <v>12.992000000000001</v>
      </c>
      <c r="L921">
        <f t="shared" si="28"/>
        <v>1299.2</v>
      </c>
      <c r="M921">
        <f t="shared" si="29"/>
        <v>259.84000000000003</v>
      </c>
    </row>
    <row r="922" spans="1:13" x14ac:dyDescent="0.3">
      <c r="A922">
        <v>921</v>
      </c>
      <c r="B922" t="s">
        <v>1121</v>
      </c>
      <c r="C922" s="1">
        <v>42343</v>
      </c>
      <c r="D922" s="1">
        <v>42350</v>
      </c>
      <c r="E922" t="s">
        <v>2118</v>
      </c>
      <c r="F922" t="s">
        <v>360</v>
      </c>
      <c r="G922" t="s">
        <v>361</v>
      </c>
      <c r="H922" t="s">
        <v>6</v>
      </c>
      <c r="I922" t="s">
        <v>2115</v>
      </c>
      <c r="J922" t="s">
        <v>2110</v>
      </c>
      <c r="K922">
        <v>24.56</v>
      </c>
      <c r="L922">
        <f t="shared" si="28"/>
        <v>2456</v>
      </c>
      <c r="M922">
        <f t="shared" si="29"/>
        <v>491.20000000000005</v>
      </c>
    </row>
    <row r="923" spans="1:13" x14ac:dyDescent="0.3">
      <c r="A923">
        <v>922</v>
      </c>
      <c r="B923" t="s">
        <v>1122</v>
      </c>
      <c r="C923" s="1">
        <v>42471</v>
      </c>
      <c r="D923" s="1">
        <v>42475</v>
      </c>
      <c r="E923" t="s">
        <v>2118</v>
      </c>
      <c r="F923" t="s">
        <v>1123</v>
      </c>
      <c r="G923" t="s">
        <v>1124</v>
      </c>
      <c r="H923" t="s">
        <v>6</v>
      </c>
      <c r="I923" t="s">
        <v>2114</v>
      </c>
      <c r="J923" t="s">
        <v>2111</v>
      </c>
      <c r="K923">
        <v>85.14</v>
      </c>
      <c r="L923">
        <f t="shared" si="28"/>
        <v>8514</v>
      </c>
      <c r="M923">
        <f t="shared" si="29"/>
        <v>1702.8000000000002</v>
      </c>
    </row>
    <row r="924" spans="1:13" x14ac:dyDescent="0.3">
      <c r="A924">
        <v>923</v>
      </c>
      <c r="B924" t="s">
        <v>1122</v>
      </c>
      <c r="C924" s="1">
        <v>42471</v>
      </c>
      <c r="D924" s="1">
        <v>42475</v>
      </c>
      <c r="E924" t="s">
        <v>2118</v>
      </c>
      <c r="F924" t="s">
        <v>1123</v>
      </c>
      <c r="G924" t="s">
        <v>1124</v>
      </c>
      <c r="H924" t="s">
        <v>6</v>
      </c>
      <c r="I924" t="s">
        <v>2114</v>
      </c>
      <c r="J924" t="s">
        <v>2111</v>
      </c>
      <c r="K924">
        <v>21.99</v>
      </c>
      <c r="L924">
        <f t="shared" si="28"/>
        <v>2199</v>
      </c>
      <c r="M924">
        <f t="shared" si="29"/>
        <v>439.8</v>
      </c>
    </row>
    <row r="925" spans="1:13" x14ac:dyDescent="0.3">
      <c r="A925">
        <v>924</v>
      </c>
      <c r="B925" t="s">
        <v>1122</v>
      </c>
      <c r="C925" s="1">
        <v>42471</v>
      </c>
      <c r="D925" s="1">
        <v>42475</v>
      </c>
      <c r="E925" t="s">
        <v>2118</v>
      </c>
      <c r="F925" t="s">
        <v>1123</v>
      </c>
      <c r="G925" t="s">
        <v>1124</v>
      </c>
      <c r="H925" t="s">
        <v>6</v>
      </c>
      <c r="I925" t="s">
        <v>2114</v>
      </c>
      <c r="J925" t="s">
        <v>2110</v>
      </c>
      <c r="K925">
        <v>406.6</v>
      </c>
      <c r="L925">
        <f t="shared" si="28"/>
        <v>40660</v>
      </c>
      <c r="M925">
        <f t="shared" si="29"/>
        <v>8132</v>
      </c>
    </row>
    <row r="926" spans="1:13" x14ac:dyDescent="0.3">
      <c r="A926">
        <v>925</v>
      </c>
      <c r="B926" t="s">
        <v>1125</v>
      </c>
      <c r="C926" s="1">
        <v>42993</v>
      </c>
      <c r="D926" s="1">
        <v>42998</v>
      </c>
      <c r="E926" t="s">
        <v>2118</v>
      </c>
      <c r="F926" t="s">
        <v>1126</v>
      </c>
      <c r="G926" t="s">
        <v>1127</v>
      </c>
      <c r="H926" t="s">
        <v>10</v>
      </c>
      <c r="I926" t="s">
        <v>2114</v>
      </c>
      <c r="J926" t="s">
        <v>2110</v>
      </c>
      <c r="K926">
        <v>841.56799999999998</v>
      </c>
      <c r="L926">
        <f t="shared" si="28"/>
        <v>84156.800000000003</v>
      </c>
      <c r="M926">
        <f t="shared" si="29"/>
        <v>16831.36</v>
      </c>
    </row>
    <row r="927" spans="1:13" x14ac:dyDescent="0.3">
      <c r="A927">
        <v>926</v>
      </c>
      <c r="B927" t="s">
        <v>1128</v>
      </c>
      <c r="C927" s="1">
        <v>42260</v>
      </c>
      <c r="D927" s="1">
        <v>42263</v>
      </c>
      <c r="E927" t="s">
        <v>2120</v>
      </c>
      <c r="F927" t="s">
        <v>1129</v>
      </c>
      <c r="G927" t="s">
        <v>1130</v>
      </c>
      <c r="H927" t="s">
        <v>6</v>
      </c>
      <c r="I927" t="s">
        <v>2114</v>
      </c>
      <c r="J927" t="s">
        <v>2110</v>
      </c>
      <c r="K927">
        <v>15.552</v>
      </c>
      <c r="L927">
        <f t="shared" si="28"/>
        <v>1555.2</v>
      </c>
      <c r="M927">
        <f t="shared" si="29"/>
        <v>311.04000000000002</v>
      </c>
    </row>
    <row r="928" spans="1:13" x14ac:dyDescent="0.3">
      <c r="A928">
        <v>927</v>
      </c>
      <c r="B928" t="s">
        <v>1128</v>
      </c>
      <c r="C928" s="1">
        <v>42260</v>
      </c>
      <c r="D928" s="1">
        <v>42263</v>
      </c>
      <c r="E928" t="s">
        <v>2120</v>
      </c>
      <c r="F928" t="s">
        <v>1129</v>
      </c>
      <c r="G928" t="s">
        <v>1130</v>
      </c>
      <c r="H928" t="s">
        <v>6</v>
      </c>
      <c r="I928" t="s">
        <v>2114</v>
      </c>
      <c r="J928" t="s">
        <v>2111</v>
      </c>
      <c r="K928">
        <v>252</v>
      </c>
      <c r="L928">
        <f t="shared" si="28"/>
        <v>25200</v>
      </c>
      <c r="M928">
        <f t="shared" si="29"/>
        <v>5040</v>
      </c>
    </row>
    <row r="929" spans="1:13" x14ac:dyDescent="0.3">
      <c r="A929">
        <v>928</v>
      </c>
      <c r="B929" t="s">
        <v>1131</v>
      </c>
      <c r="C929" s="1">
        <v>42648</v>
      </c>
      <c r="D929" s="1">
        <v>42652</v>
      </c>
      <c r="E929" t="s">
        <v>2118</v>
      </c>
      <c r="F929" t="s">
        <v>1132</v>
      </c>
      <c r="G929" t="s">
        <v>1133</v>
      </c>
      <c r="H929" t="s">
        <v>26</v>
      </c>
      <c r="I929" t="s">
        <v>2115</v>
      </c>
      <c r="J929" t="s">
        <v>2110</v>
      </c>
      <c r="K929">
        <v>46.2</v>
      </c>
      <c r="L929">
        <f t="shared" si="28"/>
        <v>4620</v>
      </c>
      <c r="M929">
        <f t="shared" si="29"/>
        <v>924</v>
      </c>
    </row>
    <row r="930" spans="1:13" x14ac:dyDescent="0.3">
      <c r="A930">
        <v>929</v>
      </c>
      <c r="B930" t="s">
        <v>1131</v>
      </c>
      <c r="C930" s="1">
        <v>42648</v>
      </c>
      <c r="D930" s="1">
        <v>42652</v>
      </c>
      <c r="E930" t="s">
        <v>2118</v>
      </c>
      <c r="F930" t="s">
        <v>1132</v>
      </c>
      <c r="G930" t="s">
        <v>1133</v>
      </c>
      <c r="H930" t="s">
        <v>26</v>
      </c>
      <c r="I930" t="s">
        <v>2115</v>
      </c>
      <c r="J930" t="s">
        <v>2110</v>
      </c>
      <c r="K930">
        <v>28.84</v>
      </c>
      <c r="L930">
        <f t="shared" si="28"/>
        <v>2884</v>
      </c>
      <c r="M930">
        <f t="shared" si="29"/>
        <v>576.80000000000007</v>
      </c>
    </row>
    <row r="931" spans="1:13" x14ac:dyDescent="0.3">
      <c r="A931">
        <v>930</v>
      </c>
      <c r="B931" t="s">
        <v>1134</v>
      </c>
      <c r="C931" s="1">
        <v>43204</v>
      </c>
      <c r="D931" s="1">
        <v>43207</v>
      </c>
      <c r="E931" t="s">
        <v>2120</v>
      </c>
      <c r="F931" t="s">
        <v>866</v>
      </c>
      <c r="G931" t="s">
        <v>867</v>
      </c>
      <c r="H931" t="s">
        <v>6</v>
      </c>
      <c r="I931" t="s">
        <v>2114</v>
      </c>
      <c r="J931" t="s">
        <v>2110</v>
      </c>
      <c r="K931">
        <v>14.592000000000001</v>
      </c>
      <c r="L931">
        <f t="shared" si="28"/>
        <v>1459.2</v>
      </c>
      <c r="M931">
        <f t="shared" si="29"/>
        <v>291.84000000000003</v>
      </c>
    </row>
    <row r="932" spans="1:13" x14ac:dyDescent="0.3">
      <c r="A932">
        <v>931</v>
      </c>
      <c r="B932" t="s">
        <v>1134</v>
      </c>
      <c r="C932" s="1">
        <v>43204</v>
      </c>
      <c r="D932" s="1">
        <v>43207</v>
      </c>
      <c r="E932" t="s">
        <v>2120</v>
      </c>
      <c r="F932" t="s">
        <v>866</v>
      </c>
      <c r="G932" t="s">
        <v>867</v>
      </c>
      <c r="H932" t="s">
        <v>6</v>
      </c>
      <c r="I932" t="s">
        <v>2114</v>
      </c>
      <c r="J932" t="s">
        <v>2110</v>
      </c>
      <c r="K932">
        <v>89.855999999999995</v>
      </c>
      <c r="L932">
        <f t="shared" si="28"/>
        <v>8985.5999999999985</v>
      </c>
      <c r="M932">
        <f t="shared" si="29"/>
        <v>1797.12</v>
      </c>
    </row>
    <row r="933" spans="1:13" x14ac:dyDescent="0.3">
      <c r="A933">
        <v>932</v>
      </c>
      <c r="B933" t="s">
        <v>1134</v>
      </c>
      <c r="C933" s="1">
        <v>43204</v>
      </c>
      <c r="D933" s="1">
        <v>43207</v>
      </c>
      <c r="E933" t="s">
        <v>2120</v>
      </c>
      <c r="F933" t="s">
        <v>866</v>
      </c>
      <c r="G933" t="s">
        <v>867</v>
      </c>
      <c r="H933" t="s">
        <v>6</v>
      </c>
      <c r="I933" t="s">
        <v>2114</v>
      </c>
      <c r="J933" t="s">
        <v>2110</v>
      </c>
      <c r="K933">
        <v>13.872</v>
      </c>
      <c r="L933">
        <f t="shared" si="28"/>
        <v>1387.2</v>
      </c>
      <c r="M933">
        <f t="shared" si="29"/>
        <v>277.44</v>
      </c>
    </row>
    <row r="934" spans="1:13" x14ac:dyDescent="0.3">
      <c r="A934">
        <v>933</v>
      </c>
      <c r="B934" t="s">
        <v>1135</v>
      </c>
      <c r="C934" s="1">
        <v>43345</v>
      </c>
      <c r="D934" s="1">
        <v>43349</v>
      </c>
      <c r="E934" t="s">
        <v>2118</v>
      </c>
      <c r="F934" t="s">
        <v>1136</v>
      </c>
      <c r="G934" t="s">
        <v>1137</v>
      </c>
      <c r="H934" t="s">
        <v>6</v>
      </c>
      <c r="I934" t="s">
        <v>2114</v>
      </c>
      <c r="J934" t="s">
        <v>2110</v>
      </c>
      <c r="K934">
        <v>12.192</v>
      </c>
      <c r="L934">
        <f t="shared" si="28"/>
        <v>1219.2</v>
      </c>
      <c r="M934">
        <f t="shared" si="29"/>
        <v>243.84000000000003</v>
      </c>
    </row>
    <row r="935" spans="1:13" x14ac:dyDescent="0.3">
      <c r="A935">
        <v>934</v>
      </c>
      <c r="B935" t="s">
        <v>1138</v>
      </c>
      <c r="C935" s="1">
        <v>42906</v>
      </c>
      <c r="D935" s="1">
        <v>42910</v>
      </c>
      <c r="E935" t="s">
        <v>2118</v>
      </c>
      <c r="F935" t="s">
        <v>1139</v>
      </c>
      <c r="G935" t="s">
        <v>1140</v>
      </c>
      <c r="H935" t="s">
        <v>26</v>
      </c>
      <c r="I935" t="s">
        <v>2114</v>
      </c>
      <c r="J935" t="s">
        <v>2110</v>
      </c>
      <c r="K935">
        <v>45.055999999999997</v>
      </c>
      <c r="L935">
        <f t="shared" si="28"/>
        <v>4505.5999999999995</v>
      </c>
      <c r="M935">
        <f t="shared" si="29"/>
        <v>901.11999999999989</v>
      </c>
    </row>
    <row r="936" spans="1:13" x14ac:dyDescent="0.3">
      <c r="A936">
        <v>935</v>
      </c>
      <c r="B936" t="s">
        <v>1138</v>
      </c>
      <c r="C936" s="1">
        <v>42906</v>
      </c>
      <c r="D936" s="1">
        <v>42910</v>
      </c>
      <c r="E936" t="s">
        <v>2118</v>
      </c>
      <c r="F936" t="s">
        <v>1139</v>
      </c>
      <c r="G936" t="s">
        <v>1140</v>
      </c>
      <c r="H936" t="s">
        <v>26</v>
      </c>
      <c r="I936" t="s">
        <v>2114</v>
      </c>
      <c r="J936" t="s">
        <v>2110</v>
      </c>
      <c r="K936">
        <v>29.718</v>
      </c>
      <c r="L936">
        <f t="shared" si="28"/>
        <v>2971.8</v>
      </c>
      <c r="M936">
        <f t="shared" si="29"/>
        <v>594.36</v>
      </c>
    </row>
    <row r="937" spans="1:13" x14ac:dyDescent="0.3">
      <c r="A937">
        <v>936</v>
      </c>
      <c r="B937" t="s">
        <v>1138</v>
      </c>
      <c r="C937" s="1">
        <v>42906</v>
      </c>
      <c r="D937" s="1">
        <v>42910</v>
      </c>
      <c r="E937" t="s">
        <v>2118</v>
      </c>
      <c r="F937" t="s">
        <v>1139</v>
      </c>
      <c r="G937" t="s">
        <v>1140</v>
      </c>
      <c r="H937" t="s">
        <v>26</v>
      </c>
      <c r="I937" t="s">
        <v>2114</v>
      </c>
      <c r="J937" t="s">
        <v>2110</v>
      </c>
      <c r="K937">
        <v>15.552</v>
      </c>
      <c r="L937">
        <f t="shared" si="28"/>
        <v>1555.2</v>
      </c>
      <c r="M937">
        <f t="shared" si="29"/>
        <v>311.04000000000002</v>
      </c>
    </row>
    <row r="938" spans="1:13" x14ac:dyDescent="0.3">
      <c r="A938">
        <v>937</v>
      </c>
      <c r="B938" t="s">
        <v>1138</v>
      </c>
      <c r="C938" s="1">
        <v>42906</v>
      </c>
      <c r="D938" s="1">
        <v>42910</v>
      </c>
      <c r="E938" t="s">
        <v>2118</v>
      </c>
      <c r="F938" t="s">
        <v>1139</v>
      </c>
      <c r="G938" t="s">
        <v>1140</v>
      </c>
      <c r="H938" t="s">
        <v>26</v>
      </c>
      <c r="I938" t="s">
        <v>2114</v>
      </c>
      <c r="J938" t="s">
        <v>2110</v>
      </c>
      <c r="K938">
        <v>447.69600000000003</v>
      </c>
      <c r="L938">
        <f t="shared" si="28"/>
        <v>44769.600000000006</v>
      </c>
      <c r="M938">
        <f t="shared" si="29"/>
        <v>8953.9200000000019</v>
      </c>
    </row>
    <row r="939" spans="1:13" x14ac:dyDescent="0.3">
      <c r="A939">
        <v>938</v>
      </c>
      <c r="B939" t="s">
        <v>1141</v>
      </c>
      <c r="C939" s="1">
        <v>43409</v>
      </c>
      <c r="D939" s="1">
        <v>43410</v>
      </c>
      <c r="E939" t="s">
        <v>2120</v>
      </c>
      <c r="F939" t="s">
        <v>64</v>
      </c>
      <c r="G939" t="s">
        <v>65</v>
      </c>
      <c r="H939" t="s">
        <v>10</v>
      </c>
      <c r="I939" t="s">
        <v>2112</v>
      </c>
      <c r="J939" t="s">
        <v>2111</v>
      </c>
      <c r="K939">
        <v>159.99</v>
      </c>
      <c r="L939">
        <f t="shared" si="28"/>
        <v>15999</v>
      </c>
      <c r="M939">
        <f t="shared" si="29"/>
        <v>3199.8</v>
      </c>
    </row>
    <row r="940" spans="1:13" x14ac:dyDescent="0.3">
      <c r="A940">
        <v>939</v>
      </c>
      <c r="B940" t="s">
        <v>1142</v>
      </c>
      <c r="C940" s="1">
        <v>42717</v>
      </c>
      <c r="D940" s="1">
        <v>42721</v>
      </c>
      <c r="E940" t="s">
        <v>2118</v>
      </c>
      <c r="F940" t="s">
        <v>1143</v>
      </c>
      <c r="G940" t="s">
        <v>1144</v>
      </c>
      <c r="H940" t="s">
        <v>10</v>
      </c>
      <c r="I940" t="s">
        <v>2112</v>
      </c>
      <c r="J940" t="s">
        <v>2110</v>
      </c>
      <c r="K940">
        <v>12.96</v>
      </c>
      <c r="L940">
        <f t="shared" si="28"/>
        <v>1296</v>
      </c>
      <c r="M940">
        <f t="shared" si="29"/>
        <v>259.2</v>
      </c>
    </row>
    <row r="941" spans="1:13" x14ac:dyDescent="0.3">
      <c r="A941">
        <v>940</v>
      </c>
      <c r="B941" t="s">
        <v>1142</v>
      </c>
      <c r="C941" s="1">
        <v>42717</v>
      </c>
      <c r="D941" s="1">
        <v>42721</v>
      </c>
      <c r="E941" t="s">
        <v>2118</v>
      </c>
      <c r="F941" t="s">
        <v>1143</v>
      </c>
      <c r="G941" t="s">
        <v>1144</v>
      </c>
      <c r="H941" t="s">
        <v>10</v>
      </c>
      <c r="I941" t="s">
        <v>2112</v>
      </c>
      <c r="J941" t="s">
        <v>2110</v>
      </c>
      <c r="K941">
        <v>134.47999999999999</v>
      </c>
      <c r="L941">
        <f t="shared" si="28"/>
        <v>13447.999999999998</v>
      </c>
      <c r="M941">
        <f t="shared" si="29"/>
        <v>2689.6</v>
      </c>
    </row>
    <row r="942" spans="1:13" x14ac:dyDescent="0.3">
      <c r="A942">
        <v>941</v>
      </c>
      <c r="B942" t="s">
        <v>1145</v>
      </c>
      <c r="C942" s="1">
        <v>42905</v>
      </c>
      <c r="D942" s="1">
        <v>42906</v>
      </c>
      <c r="E942" t="s">
        <v>2120</v>
      </c>
      <c r="F942" t="s">
        <v>1146</v>
      </c>
      <c r="G942" t="s">
        <v>1147</v>
      </c>
      <c r="H942" t="s">
        <v>10</v>
      </c>
      <c r="I942" t="s">
        <v>2112</v>
      </c>
      <c r="J942" t="s">
        <v>2110</v>
      </c>
      <c r="K942">
        <v>17.12</v>
      </c>
      <c r="L942">
        <f t="shared" si="28"/>
        <v>1712</v>
      </c>
      <c r="M942">
        <f t="shared" si="29"/>
        <v>342.40000000000003</v>
      </c>
    </row>
    <row r="943" spans="1:13" x14ac:dyDescent="0.3">
      <c r="A943">
        <v>942</v>
      </c>
      <c r="B943" t="s">
        <v>1148</v>
      </c>
      <c r="C943" s="1">
        <v>43082</v>
      </c>
      <c r="D943" s="1">
        <v>43089</v>
      </c>
      <c r="E943" t="s">
        <v>2118</v>
      </c>
      <c r="F943" t="s">
        <v>1119</v>
      </c>
      <c r="G943" t="s">
        <v>1120</v>
      </c>
      <c r="H943" t="s">
        <v>10</v>
      </c>
      <c r="I943" t="s">
        <v>2112</v>
      </c>
      <c r="J943" t="s">
        <v>2110</v>
      </c>
      <c r="K943">
        <v>6.0960000000000001</v>
      </c>
      <c r="L943">
        <f t="shared" si="28"/>
        <v>609.6</v>
      </c>
      <c r="M943">
        <f t="shared" si="29"/>
        <v>121.92000000000002</v>
      </c>
    </row>
    <row r="944" spans="1:13" x14ac:dyDescent="0.3">
      <c r="A944">
        <v>943</v>
      </c>
      <c r="B944" t="s">
        <v>1148</v>
      </c>
      <c r="C944" s="1">
        <v>43082</v>
      </c>
      <c r="D944" s="1">
        <v>43089</v>
      </c>
      <c r="E944" t="s">
        <v>2118</v>
      </c>
      <c r="F944" t="s">
        <v>1119</v>
      </c>
      <c r="G944" t="s">
        <v>1120</v>
      </c>
      <c r="H944" t="s">
        <v>10</v>
      </c>
      <c r="I944" t="s">
        <v>2112</v>
      </c>
      <c r="J944" t="s">
        <v>2109</v>
      </c>
      <c r="K944">
        <v>1114.2719999999999</v>
      </c>
      <c r="L944">
        <f t="shared" si="28"/>
        <v>111427.2</v>
      </c>
      <c r="M944">
        <f t="shared" si="29"/>
        <v>22285.440000000002</v>
      </c>
    </row>
    <row r="945" spans="1:13" x14ac:dyDescent="0.3">
      <c r="A945">
        <v>944</v>
      </c>
      <c r="B945" t="s">
        <v>1149</v>
      </c>
      <c r="C945" s="1">
        <v>42519</v>
      </c>
      <c r="D945" s="1">
        <v>42524</v>
      </c>
      <c r="E945" t="s">
        <v>2118</v>
      </c>
      <c r="F945" t="s">
        <v>436</v>
      </c>
      <c r="G945" t="s">
        <v>437</v>
      </c>
      <c r="H945" t="s">
        <v>6</v>
      </c>
      <c r="I945" t="s">
        <v>2112</v>
      </c>
      <c r="J945" t="s">
        <v>2110</v>
      </c>
      <c r="K945">
        <v>32.4</v>
      </c>
      <c r="L945">
        <f t="shared" si="28"/>
        <v>3240</v>
      </c>
      <c r="M945">
        <f t="shared" si="29"/>
        <v>648</v>
      </c>
    </row>
    <row r="946" spans="1:13" x14ac:dyDescent="0.3">
      <c r="A946">
        <v>945</v>
      </c>
      <c r="B946" t="s">
        <v>1149</v>
      </c>
      <c r="C946" s="1">
        <v>42519</v>
      </c>
      <c r="D946" s="1">
        <v>42524</v>
      </c>
      <c r="E946" t="s">
        <v>2118</v>
      </c>
      <c r="F946" t="s">
        <v>436</v>
      </c>
      <c r="G946" t="s">
        <v>437</v>
      </c>
      <c r="H946" t="s">
        <v>6</v>
      </c>
      <c r="I946" t="s">
        <v>2112</v>
      </c>
      <c r="J946" t="s">
        <v>2110</v>
      </c>
      <c r="K946">
        <v>540.57000000000005</v>
      </c>
      <c r="L946">
        <f t="shared" si="28"/>
        <v>54057.000000000007</v>
      </c>
      <c r="M946">
        <f t="shared" si="29"/>
        <v>10811.400000000001</v>
      </c>
    </row>
    <row r="947" spans="1:13" x14ac:dyDescent="0.3">
      <c r="A947">
        <v>946</v>
      </c>
      <c r="B947" t="s">
        <v>1149</v>
      </c>
      <c r="C947" s="1">
        <v>42519</v>
      </c>
      <c r="D947" s="1">
        <v>42524</v>
      </c>
      <c r="E947" t="s">
        <v>2118</v>
      </c>
      <c r="F947" t="s">
        <v>436</v>
      </c>
      <c r="G947" t="s">
        <v>437</v>
      </c>
      <c r="H947" t="s">
        <v>6</v>
      </c>
      <c r="I947" t="s">
        <v>2112</v>
      </c>
      <c r="J947" t="s">
        <v>2110</v>
      </c>
      <c r="K947">
        <v>167.76</v>
      </c>
      <c r="L947">
        <f t="shared" si="28"/>
        <v>16776</v>
      </c>
      <c r="M947">
        <f t="shared" si="29"/>
        <v>3355.2000000000003</v>
      </c>
    </row>
    <row r="948" spans="1:13" x14ac:dyDescent="0.3">
      <c r="A948">
        <v>947</v>
      </c>
      <c r="B948" t="s">
        <v>1150</v>
      </c>
      <c r="C948" s="1">
        <v>42577</v>
      </c>
      <c r="D948" s="1">
        <v>42579</v>
      </c>
      <c r="E948" t="s">
        <v>2120</v>
      </c>
      <c r="F948" t="s">
        <v>715</v>
      </c>
      <c r="G948" t="s">
        <v>716</v>
      </c>
      <c r="H948" t="s">
        <v>6</v>
      </c>
      <c r="I948" t="s">
        <v>2112</v>
      </c>
      <c r="J948" t="s">
        <v>2109</v>
      </c>
      <c r="K948">
        <v>393.16500000000002</v>
      </c>
      <c r="L948">
        <f t="shared" si="28"/>
        <v>39316.5</v>
      </c>
      <c r="M948">
        <f t="shared" si="29"/>
        <v>7863.3</v>
      </c>
    </row>
    <row r="949" spans="1:13" x14ac:dyDescent="0.3">
      <c r="A949">
        <v>948</v>
      </c>
      <c r="B949" t="s">
        <v>1151</v>
      </c>
      <c r="C949" s="1">
        <v>43432</v>
      </c>
      <c r="D949" s="1">
        <v>43436</v>
      </c>
      <c r="E949" t="s">
        <v>2118</v>
      </c>
      <c r="F949" t="s">
        <v>557</v>
      </c>
      <c r="G949" t="s">
        <v>558</v>
      </c>
      <c r="H949" t="s">
        <v>26</v>
      </c>
      <c r="I949" t="s">
        <v>2114</v>
      </c>
      <c r="J949" t="s">
        <v>2109</v>
      </c>
      <c r="K949">
        <v>516.48800000000006</v>
      </c>
      <c r="L949">
        <f t="shared" si="28"/>
        <v>51648.800000000003</v>
      </c>
      <c r="M949">
        <f t="shared" si="29"/>
        <v>10329.760000000002</v>
      </c>
    </row>
    <row r="950" spans="1:13" x14ac:dyDescent="0.3">
      <c r="A950">
        <v>949</v>
      </c>
      <c r="B950" t="s">
        <v>1151</v>
      </c>
      <c r="C950" s="1">
        <v>43432</v>
      </c>
      <c r="D950" s="1">
        <v>43436</v>
      </c>
      <c r="E950" t="s">
        <v>2118</v>
      </c>
      <c r="F950" t="s">
        <v>557</v>
      </c>
      <c r="G950" t="s">
        <v>558</v>
      </c>
      <c r="H950" t="s">
        <v>26</v>
      </c>
      <c r="I950" t="s">
        <v>2114</v>
      </c>
      <c r="J950" t="s">
        <v>2109</v>
      </c>
      <c r="K950">
        <v>1007.232</v>
      </c>
      <c r="L950">
        <f t="shared" si="28"/>
        <v>100723.2</v>
      </c>
      <c r="M950">
        <f t="shared" si="29"/>
        <v>20144.64</v>
      </c>
    </row>
    <row r="951" spans="1:13" x14ac:dyDescent="0.3">
      <c r="A951">
        <v>950</v>
      </c>
      <c r="B951" t="s">
        <v>1151</v>
      </c>
      <c r="C951" s="1">
        <v>43432</v>
      </c>
      <c r="D951" s="1">
        <v>43436</v>
      </c>
      <c r="E951" t="s">
        <v>2118</v>
      </c>
      <c r="F951" t="s">
        <v>557</v>
      </c>
      <c r="G951" t="s">
        <v>558</v>
      </c>
      <c r="H951" t="s">
        <v>26</v>
      </c>
      <c r="I951" t="s">
        <v>2114</v>
      </c>
      <c r="J951" t="s">
        <v>2109</v>
      </c>
      <c r="K951">
        <v>2065.3200000000002</v>
      </c>
      <c r="L951">
        <f t="shared" si="28"/>
        <v>206532.00000000003</v>
      </c>
      <c r="M951">
        <f t="shared" si="29"/>
        <v>41306.400000000009</v>
      </c>
    </row>
    <row r="952" spans="1:13" x14ac:dyDescent="0.3">
      <c r="A952">
        <v>951</v>
      </c>
      <c r="B952" t="s">
        <v>1151</v>
      </c>
      <c r="C952" s="1">
        <v>43432</v>
      </c>
      <c r="D952" s="1">
        <v>43436</v>
      </c>
      <c r="E952" t="s">
        <v>2118</v>
      </c>
      <c r="F952" t="s">
        <v>557</v>
      </c>
      <c r="G952" t="s">
        <v>558</v>
      </c>
      <c r="H952" t="s">
        <v>26</v>
      </c>
      <c r="I952" t="s">
        <v>2114</v>
      </c>
      <c r="J952" t="s">
        <v>2110</v>
      </c>
      <c r="K952">
        <v>15.552</v>
      </c>
      <c r="L952">
        <f t="shared" si="28"/>
        <v>1555.2</v>
      </c>
      <c r="M952">
        <f t="shared" si="29"/>
        <v>311.04000000000002</v>
      </c>
    </row>
    <row r="953" spans="1:13" x14ac:dyDescent="0.3">
      <c r="A953">
        <v>952</v>
      </c>
      <c r="B953" t="s">
        <v>1151</v>
      </c>
      <c r="C953" s="1">
        <v>43432</v>
      </c>
      <c r="D953" s="1">
        <v>43436</v>
      </c>
      <c r="E953" t="s">
        <v>2118</v>
      </c>
      <c r="F953" t="s">
        <v>557</v>
      </c>
      <c r="G953" t="s">
        <v>558</v>
      </c>
      <c r="H953" t="s">
        <v>26</v>
      </c>
      <c r="I953" t="s">
        <v>2114</v>
      </c>
      <c r="J953" t="s">
        <v>2110</v>
      </c>
      <c r="K953">
        <v>25.344000000000001</v>
      </c>
      <c r="L953">
        <f t="shared" si="28"/>
        <v>2534.4</v>
      </c>
      <c r="M953">
        <f t="shared" si="29"/>
        <v>506.88000000000005</v>
      </c>
    </row>
    <row r="954" spans="1:13" x14ac:dyDescent="0.3">
      <c r="A954">
        <v>953</v>
      </c>
      <c r="B954" t="s">
        <v>1152</v>
      </c>
      <c r="C954" s="1">
        <v>43193</v>
      </c>
      <c r="D954" s="1">
        <v>43197</v>
      </c>
      <c r="E954" t="s">
        <v>2118</v>
      </c>
      <c r="F954" t="s">
        <v>1153</v>
      </c>
      <c r="G954" t="s">
        <v>1154</v>
      </c>
      <c r="H954" t="s">
        <v>6</v>
      </c>
      <c r="I954" t="s">
        <v>2114</v>
      </c>
      <c r="J954" t="s">
        <v>2109</v>
      </c>
      <c r="K954">
        <v>25.472000000000001</v>
      </c>
      <c r="L954">
        <f t="shared" si="28"/>
        <v>2547.2000000000003</v>
      </c>
      <c r="M954">
        <f t="shared" si="29"/>
        <v>509.44000000000005</v>
      </c>
    </row>
    <row r="955" spans="1:13" x14ac:dyDescent="0.3">
      <c r="A955">
        <v>954</v>
      </c>
      <c r="B955" t="s">
        <v>1155</v>
      </c>
      <c r="C955" s="1">
        <v>43462</v>
      </c>
      <c r="D955" s="1">
        <v>43466</v>
      </c>
      <c r="E955" t="s">
        <v>2118</v>
      </c>
      <c r="F955" t="s">
        <v>1156</v>
      </c>
      <c r="G955" t="s">
        <v>1157</v>
      </c>
      <c r="H955" t="s">
        <v>6</v>
      </c>
      <c r="I955" t="s">
        <v>2117</v>
      </c>
      <c r="J955" t="s">
        <v>2110</v>
      </c>
      <c r="K955">
        <v>27.167999999999999</v>
      </c>
      <c r="L955">
        <f t="shared" si="28"/>
        <v>2716.7999999999997</v>
      </c>
      <c r="M955">
        <f t="shared" si="29"/>
        <v>543.36</v>
      </c>
    </row>
    <row r="956" spans="1:13" x14ac:dyDescent="0.3">
      <c r="A956">
        <v>955</v>
      </c>
      <c r="B956" t="s">
        <v>1155</v>
      </c>
      <c r="C956" s="1">
        <v>43462</v>
      </c>
      <c r="D956" s="1">
        <v>43466</v>
      </c>
      <c r="E956" t="s">
        <v>2118</v>
      </c>
      <c r="F956" t="s">
        <v>1156</v>
      </c>
      <c r="G956" t="s">
        <v>1157</v>
      </c>
      <c r="H956" t="s">
        <v>6</v>
      </c>
      <c r="I956" t="s">
        <v>2117</v>
      </c>
      <c r="J956" t="s">
        <v>2109</v>
      </c>
      <c r="K956">
        <v>78.852800000000002</v>
      </c>
      <c r="L956">
        <f t="shared" si="28"/>
        <v>7885.2800000000007</v>
      </c>
      <c r="M956">
        <f t="shared" si="29"/>
        <v>1577.0560000000003</v>
      </c>
    </row>
    <row r="957" spans="1:13" x14ac:dyDescent="0.3">
      <c r="A957">
        <v>956</v>
      </c>
      <c r="B957" t="s">
        <v>1158</v>
      </c>
      <c r="C957" s="1">
        <v>43434</v>
      </c>
      <c r="D957" s="1">
        <v>43438</v>
      </c>
      <c r="E957" t="s">
        <v>2118</v>
      </c>
      <c r="F957" t="s">
        <v>1159</v>
      </c>
      <c r="G957" t="s">
        <v>1160</v>
      </c>
      <c r="H957" t="s">
        <v>6</v>
      </c>
      <c r="I957" t="s">
        <v>2115</v>
      </c>
      <c r="J957" t="s">
        <v>2110</v>
      </c>
      <c r="K957">
        <v>173.8</v>
      </c>
      <c r="L957">
        <f t="shared" si="28"/>
        <v>17380</v>
      </c>
      <c r="M957">
        <f t="shared" si="29"/>
        <v>3476</v>
      </c>
    </row>
    <row r="958" spans="1:13" x14ac:dyDescent="0.3">
      <c r="A958">
        <v>957</v>
      </c>
      <c r="B958" t="s">
        <v>1161</v>
      </c>
      <c r="C958" s="1">
        <v>43235</v>
      </c>
      <c r="D958" s="1">
        <v>43238</v>
      </c>
      <c r="E958" t="s">
        <v>2119</v>
      </c>
      <c r="F958" t="s">
        <v>1162</v>
      </c>
      <c r="G958" t="s">
        <v>1163</v>
      </c>
      <c r="H958" t="s">
        <v>6</v>
      </c>
      <c r="I958" t="s">
        <v>2112</v>
      </c>
      <c r="J958" t="s">
        <v>2111</v>
      </c>
      <c r="K958">
        <v>29.591999999999999</v>
      </c>
      <c r="L958">
        <f t="shared" si="28"/>
        <v>2959.2</v>
      </c>
      <c r="M958">
        <f t="shared" si="29"/>
        <v>591.84</v>
      </c>
    </row>
    <row r="959" spans="1:13" x14ac:dyDescent="0.3">
      <c r="A959">
        <v>958</v>
      </c>
      <c r="B959" t="s">
        <v>1161</v>
      </c>
      <c r="C959" s="1">
        <v>43235</v>
      </c>
      <c r="D959" s="1">
        <v>43238</v>
      </c>
      <c r="E959" t="s">
        <v>2119</v>
      </c>
      <c r="F959" t="s">
        <v>1162</v>
      </c>
      <c r="G959" t="s">
        <v>1163</v>
      </c>
      <c r="H959" t="s">
        <v>6</v>
      </c>
      <c r="I959" t="s">
        <v>2112</v>
      </c>
      <c r="J959" t="s">
        <v>2110</v>
      </c>
      <c r="K959">
        <v>4.7519999999999998</v>
      </c>
      <c r="L959">
        <f t="shared" si="28"/>
        <v>475.2</v>
      </c>
      <c r="M959">
        <f t="shared" si="29"/>
        <v>95.04</v>
      </c>
    </row>
    <row r="960" spans="1:13" x14ac:dyDescent="0.3">
      <c r="A960">
        <v>959</v>
      </c>
      <c r="B960" t="s">
        <v>1161</v>
      </c>
      <c r="C960" s="1">
        <v>43235</v>
      </c>
      <c r="D960" s="1">
        <v>43238</v>
      </c>
      <c r="E960" t="s">
        <v>2119</v>
      </c>
      <c r="F960" t="s">
        <v>1162</v>
      </c>
      <c r="G960" t="s">
        <v>1163</v>
      </c>
      <c r="H960" t="s">
        <v>6</v>
      </c>
      <c r="I960" t="s">
        <v>2112</v>
      </c>
      <c r="J960" t="s">
        <v>2110</v>
      </c>
      <c r="K960">
        <v>15.552</v>
      </c>
      <c r="L960">
        <f t="shared" si="28"/>
        <v>1555.2</v>
      </c>
      <c r="M960">
        <f t="shared" si="29"/>
        <v>311.04000000000002</v>
      </c>
    </row>
    <row r="961" spans="1:13" x14ac:dyDescent="0.3">
      <c r="A961">
        <v>960</v>
      </c>
      <c r="B961" t="s">
        <v>1164</v>
      </c>
      <c r="C961" s="1">
        <v>42635</v>
      </c>
      <c r="D961" s="1">
        <v>42635</v>
      </c>
      <c r="E961" t="s">
        <v>2120</v>
      </c>
      <c r="F961" t="s">
        <v>1165</v>
      </c>
      <c r="G961" t="s">
        <v>1166</v>
      </c>
      <c r="H961" t="s">
        <v>6</v>
      </c>
      <c r="I961" t="s">
        <v>2112</v>
      </c>
      <c r="J961" t="s">
        <v>2109</v>
      </c>
      <c r="K961">
        <v>204.6</v>
      </c>
      <c r="L961">
        <f t="shared" si="28"/>
        <v>20460</v>
      </c>
      <c r="M961">
        <f t="shared" si="29"/>
        <v>4092</v>
      </c>
    </row>
    <row r="962" spans="1:13" x14ac:dyDescent="0.3">
      <c r="A962">
        <v>961</v>
      </c>
      <c r="B962" t="s">
        <v>1167</v>
      </c>
      <c r="C962" s="1">
        <v>43418</v>
      </c>
      <c r="D962" s="1">
        <v>43423</v>
      </c>
      <c r="E962" t="s">
        <v>2118</v>
      </c>
      <c r="F962" t="s">
        <v>1168</v>
      </c>
      <c r="G962" t="s">
        <v>1169</v>
      </c>
      <c r="H962" t="s">
        <v>10</v>
      </c>
      <c r="I962" t="s">
        <v>2112</v>
      </c>
      <c r="J962" t="s">
        <v>2109</v>
      </c>
      <c r="K962">
        <v>321.56799999999998</v>
      </c>
      <c r="L962">
        <f t="shared" ref="L962:L1025" si="30">K962*100</f>
        <v>32156.799999999999</v>
      </c>
      <c r="M962">
        <f t="shared" si="29"/>
        <v>6431.3600000000006</v>
      </c>
    </row>
    <row r="963" spans="1:13" x14ac:dyDescent="0.3">
      <c r="A963">
        <v>962</v>
      </c>
      <c r="B963" t="s">
        <v>1170</v>
      </c>
      <c r="C963" s="1">
        <v>42701</v>
      </c>
      <c r="D963" s="1">
        <v>42705</v>
      </c>
      <c r="E963" t="s">
        <v>2118</v>
      </c>
      <c r="F963" t="s">
        <v>1171</v>
      </c>
      <c r="G963" t="s">
        <v>1172</v>
      </c>
      <c r="H963" t="s">
        <v>26</v>
      </c>
      <c r="I963" t="s">
        <v>2115</v>
      </c>
      <c r="J963" t="s">
        <v>2110</v>
      </c>
      <c r="K963">
        <v>6.24</v>
      </c>
      <c r="L963">
        <f t="shared" si="30"/>
        <v>624</v>
      </c>
      <c r="M963">
        <f t="shared" ref="M963:M1026" si="31">L963*0.2</f>
        <v>124.80000000000001</v>
      </c>
    </row>
    <row r="964" spans="1:13" x14ac:dyDescent="0.3">
      <c r="A964">
        <v>963</v>
      </c>
      <c r="B964" t="s">
        <v>1173</v>
      </c>
      <c r="C964" s="1">
        <v>42979</v>
      </c>
      <c r="D964" s="1">
        <v>42982</v>
      </c>
      <c r="E964" t="s">
        <v>2120</v>
      </c>
      <c r="F964" t="s">
        <v>163</v>
      </c>
      <c r="G964" t="s">
        <v>164</v>
      </c>
      <c r="H964" t="s">
        <v>10</v>
      </c>
      <c r="I964" t="s">
        <v>2112</v>
      </c>
      <c r="J964" t="s">
        <v>2110</v>
      </c>
      <c r="K964">
        <v>21.88</v>
      </c>
      <c r="L964">
        <f t="shared" si="30"/>
        <v>2188</v>
      </c>
      <c r="M964">
        <f t="shared" si="31"/>
        <v>437.6</v>
      </c>
    </row>
    <row r="965" spans="1:13" x14ac:dyDescent="0.3">
      <c r="A965">
        <v>964</v>
      </c>
      <c r="B965" t="s">
        <v>1174</v>
      </c>
      <c r="C965" s="1">
        <v>42269</v>
      </c>
      <c r="D965" s="1">
        <v>42271</v>
      </c>
      <c r="E965" t="s">
        <v>2119</v>
      </c>
      <c r="F965" t="s">
        <v>1098</v>
      </c>
      <c r="G965" t="s">
        <v>1099</v>
      </c>
      <c r="H965" t="s">
        <v>6</v>
      </c>
      <c r="I965" t="s">
        <v>2115</v>
      </c>
      <c r="J965" t="s">
        <v>2110</v>
      </c>
      <c r="K965">
        <v>4.6079999999999997</v>
      </c>
      <c r="L965">
        <f t="shared" si="30"/>
        <v>460.79999999999995</v>
      </c>
      <c r="M965">
        <f t="shared" si="31"/>
        <v>92.16</v>
      </c>
    </row>
    <row r="966" spans="1:13" x14ac:dyDescent="0.3">
      <c r="A966">
        <v>965</v>
      </c>
      <c r="B966" t="s">
        <v>1175</v>
      </c>
      <c r="C966" s="1">
        <v>43199</v>
      </c>
      <c r="D966" s="1">
        <v>43201</v>
      </c>
      <c r="E966" t="s">
        <v>2120</v>
      </c>
      <c r="F966" t="s">
        <v>1176</v>
      </c>
      <c r="G966" t="s">
        <v>1177</v>
      </c>
      <c r="H966" t="s">
        <v>26</v>
      </c>
      <c r="I966" t="s">
        <v>2114</v>
      </c>
      <c r="J966" t="s">
        <v>2110</v>
      </c>
      <c r="K966">
        <v>9.82</v>
      </c>
      <c r="L966">
        <f t="shared" si="30"/>
        <v>982</v>
      </c>
      <c r="M966">
        <f t="shared" si="31"/>
        <v>196.4</v>
      </c>
    </row>
    <row r="967" spans="1:13" x14ac:dyDescent="0.3">
      <c r="A967">
        <v>966</v>
      </c>
      <c r="B967" t="s">
        <v>1175</v>
      </c>
      <c r="C967" s="1">
        <v>43199</v>
      </c>
      <c r="D967" s="1">
        <v>43201</v>
      </c>
      <c r="E967" t="s">
        <v>2120</v>
      </c>
      <c r="F967" t="s">
        <v>1176</v>
      </c>
      <c r="G967" t="s">
        <v>1177</v>
      </c>
      <c r="H967" t="s">
        <v>26</v>
      </c>
      <c r="I967" t="s">
        <v>2114</v>
      </c>
      <c r="J967" t="s">
        <v>2110</v>
      </c>
      <c r="K967">
        <v>35.97</v>
      </c>
      <c r="L967">
        <f t="shared" si="30"/>
        <v>3597</v>
      </c>
      <c r="M967">
        <f t="shared" si="31"/>
        <v>719.40000000000009</v>
      </c>
    </row>
    <row r="968" spans="1:13" x14ac:dyDescent="0.3">
      <c r="A968">
        <v>967</v>
      </c>
      <c r="B968" t="s">
        <v>1175</v>
      </c>
      <c r="C968" s="1">
        <v>43199</v>
      </c>
      <c r="D968" s="1">
        <v>43201</v>
      </c>
      <c r="E968" t="s">
        <v>2120</v>
      </c>
      <c r="F968" t="s">
        <v>1176</v>
      </c>
      <c r="G968" t="s">
        <v>1177</v>
      </c>
      <c r="H968" t="s">
        <v>26</v>
      </c>
      <c r="I968" t="s">
        <v>2114</v>
      </c>
      <c r="J968" t="s">
        <v>2110</v>
      </c>
      <c r="K968">
        <v>12.96</v>
      </c>
      <c r="L968">
        <f t="shared" si="30"/>
        <v>1296</v>
      </c>
      <c r="M968">
        <f t="shared" si="31"/>
        <v>259.2</v>
      </c>
    </row>
    <row r="969" spans="1:13" x14ac:dyDescent="0.3">
      <c r="A969">
        <v>968</v>
      </c>
      <c r="B969" t="s">
        <v>1175</v>
      </c>
      <c r="C969" s="1">
        <v>43199</v>
      </c>
      <c r="D969" s="1">
        <v>43201</v>
      </c>
      <c r="E969" t="s">
        <v>2120</v>
      </c>
      <c r="F969" t="s">
        <v>1176</v>
      </c>
      <c r="G969" t="s">
        <v>1177</v>
      </c>
      <c r="H969" t="s">
        <v>26</v>
      </c>
      <c r="I969" t="s">
        <v>2114</v>
      </c>
      <c r="J969" t="s">
        <v>2110</v>
      </c>
      <c r="K969">
        <v>191.6</v>
      </c>
      <c r="L969">
        <f t="shared" si="30"/>
        <v>19160</v>
      </c>
      <c r="M969">
        <f t="shared" si="31"/>
        <v>3832</v>
      </c>
    </row>
    <row r="970" spans="1:13" x14ac:dyDescent="0.3">
      <c r="A970">
        <v>969</v>
      </c>
      <c r="B970" t="s">
        <v>1175</v>
      </c>
      <c r="C970" s="1">
        <v>43199</v>
      </c>
      <c r="D970" s="1">
        <v>43201</v>
      </c>
      <c r="E970" t="s">
        <v>2120</v>
      </c>
      <c r="F970" t="s">
        <v>1176</v>
      </c>
      <c r="G970" t="s">
        <v>1177</v>
      </c>
      <c r="H970" t="s">
        <v>26</v>
      </c>
      <c r="I970" t="s">
        <v>2114</v>
      </c>
      <c r="J970" t="s">
        <v>2110</v>
      </c>
      <c r="K970">
        <v>8.64</v>
      </c>
      <c r="L970">
        <f t="shared" si="30"/>
        <v>864</v>
      </c>
      <c r="M970">
        <f t="shared" si="31"/>
        <v>172.8</v>
      </c>
    </row>
    <row r="971" spans="1:13" x14ac:dyDescent="0.3">
      <c r="A971">
        <v>970</v>
      </c>
      <c r="B971" t="s">
        <v>1175</v>
      </c>
      <c r="C971" s="1">
        <v>43199</v>
      </c>
      <c r="D971" s="1">
        <v>43201</v>
      </c>
      <c r="E971" t="s">
        <v>2120</v>
      </c>
      <c r="F971" t="s">
        <v>1176</v>
      </c>
      <c r="G971" t="s">
        <v>1177</v>
      </c>
      <c r="H971" t="s">
        <v>26</v>
      </c>
      <c r="I971" t="s">
        <v>2114</v>
      </c>
      <c r="J971" t="s">
        <v>2110</v>
      </c>
      <c r="K971">
        <v>501.81</v>
      </c>
      <c r="L971">
        <f t="shared" si="30"/>
        <v>50181</v>
      </c>
      <c r="M971">
        <f t="shared" si="31"/>
        <v>10036.200000000001</v>
      </c>
    </row>
    <row r="972" spans="1:13" x14ac:dyDescent="0.3">
      <c r="A972">
        <v>971</v>
      </c>
      <c r="B972" t="s">
        <v>1178</v>
      </c>
      <c r="C972" s="1">
        <v>42020</v>
      </c>
      <c r="D972" s="1">
        <v>42022</v>
      </c>
      <c r="E972" t="s">
        <v>2119</v>
      </c>
      <c r="F972" t="s">
        <v>345</v>
      </c>
      <c r="G972" t="s">
        <v>346</v>
      </c>
      <c r="H972" t="s">
        <v>6</v>
      </c>
      <c r="I972" t="s">
        <v>2114</v>
      </c>
      <c r="J972" t="s">
        <v>2109</v>
      </c>
      <c r="K972">
        <v>127.104</v>
      </c>
      <c r="L972">
        <f t="shared" si="30"/>
        <v>12710.4</v>
      </c>
      <c r="M972">
        <f t="shared" si="31"/>
        <v>2542.08</v>
      </c>
    </row>
    <row r="973" spans="1:13" x14ac:dyDescent="0.3">
      <c r="A973">
        <v>972</v>
      </c>
      <c r="B973" t="s">
        <v>1178</v>
      </c>
      <c r="C973" s="1">
        <v>42020</v>
      </c>
      <c r="D973" s="1">
        <v>42022</v>
      </c>
      <c r="E973" t="s">
        <v>2119</v>
      </c>
      <c r="F973" t="s">
        <v>345</v>
      </c>
      <c r="G973" t="s">
        <v>346</v>
      </c>
      <c r="H973" t="s">
        <v>6</v>
      </c>
      <c r="I973" t="s">
        <v>2114</v>
      </c>
      <c r="J973" t="s">
        <v>2111</v>
      </c>
      <c r="K973">
        <v>124.2</v>
      </c>
      <c r="L973">
        <f t="shared" si="30"/>
        <v>12420</v>
      </c>
      <c r="M973">
        <f t="shared" si="31"/>
        <v>2484</v>
      </c>
    </row>
    <row r="974" spans="1:13" x14ac:dyDescent="0.3">
      <c r="A974">
        <v>973</v>
      </c>
      <c r="B974" t="s">
        <v>1178</v>
      </c>
      <c r="C974" s="1">
        <v>42020</v>
      </c>
      <c r="D974" s="1">
        <v>42022</v>
      </c>
      <c r="E974" t="s">
        <v>2119</v>
      </c>
      <c r="F974" t="s">
        <v>345</v>
      </c>
      <c r="G974" t="s">
        <v>346</v>
      </c>
      <c r="H974" t="s">
        <v>6</v>
      </c>
      <c r="I974" t="s">
        <v>2114</v>
      </c>
      <c r="J974" t="s">
        <v>2110</v>
      </c>
      <c r="K974">
        <v>18.588000000000001</v>
      </c>
      <c r="L974">
        <f t="shared" si="30"/>
        <v>1858.8000000000002</v>
      </c>
      <c r="M974">
        <f t="shared" si="31"/>
        <v>371.76000000000005</v>
      </c>
    </row>
    <row r="975" spans="1:13" x14ac:dyDescent="0.3">
      <c r="A975">
        <v>974</v>
      </c>
      <c r="B975" t="s">
        <v>1178</v>
      </c>
      <c r="C975" s="1">
        <v>42020</v>
      </c>
      <c r="D975" s="1">
        <v>42022</v>
      </c>
      <c r="E975" t="s">
        <v>2119</v>
      </c>
      <c r="F975" t="s">
        <v>345</v>
      </c>
      <c r="G975" t="s">
        <v>346</v>
      </c>
      <c r="H975" t="s">
        <v>6</v>
      </c>
      <c r="I975" t="s">
        <v>2114</v>
      </c>
      <c r="J975" t="s">
        <v>2110</v>
      </c>
      <c r="K975">
        <v>30.071999999999999</v>
      </c>
      <c r="L975">
        <f t="shared" si="30"/>
        <v>3007.2</v>
      </c>
      <c r="M975">
        <f t="shared" si="31"/>
        <v>601.43999999999994</v>
      </c>
    </row>
    <row r="976" spans="1:13" x14ac:dyDescent="0.3">
      <c r="A976">
        <v>975</v>
      </c>
      <c r="B976" t="s">
        <v>1179</v>
      </c>
      <c r="C976" s="1">
        <v>43378</v>
      </c>
      <c r="D976" s="1">
        <v>43381</v>
      </c>
      <c r="E976" t="s">
        <v>2119</v>
      </c>
      <c r="F976" t="s">
        <v>920</v>
      </c>
      <c r="G976" t="s">
        <v>921</v>
      </c>
      <c r="H976" t="s">
        <v>26</v>
      </c>
      <c r="I976" t="s">
        <v>2114</v>
      </c>
      <c r="J976" t="s">
        <v>2111</v>
      </c>
      <c r="K976">
        <v>160.93</v>
      </c>
      <c r="L976">
        <f t="shared" si="30"/>
        <v>16093</v>
      </c>
      <c r="M976">
        <f t="shared" si="31"/>
        <v>3218.6000000000004</v>
      </c>
    </row>
    <row r="977" spans="1:13" x14ac:dyDescent="0.3">
      <c r="A977">
        <v>976</v>
      </c>
      <c r="B977" t="s">
        <v>1179</v>
      </c>
      <c r="C977" s="1">
        <v>43378</v>
      </c>
      <c r="D977" s="1">
        <v>43381</v>
      </c>
      <c r="E977" t="s">
        <v>2119</v>
      </c>
      <c r="F977" t="s">
        <v>920</v>
      </c>
      <c r="G977" t="s">
        <v>921</v>
      </c>
      <c r="H977" t="s">
        <v>26</v>
      </c>
      <c r="I977" t="s">
        <v>2114</v>
      </c>
      <c r="J977" t="s">
        <v>2110</v>
      </c>
      <c r="K977">
        <v>75.792000000000002</v>
      </c>
      <c r="L977">
        <f t="shared" si="30"/>
        <v>7579.2</v>
      </c>
      <c r="M977">
        <f t="shared" si="31"/>
        <v>1515.8400000000001</v>
      </c>
    </row>
    <row r="978" spans="1:13" x14ac:dyDescent="0.3">
      <c r="A978">
        <v>977</v>
      </c>
      <c r="B978" t="s">
        <v>1180</v>
      </c>
      <c r="C978" s="1">
        <v>43290</v>
      </c>
      <c r="D978" s="1">
        <v>43296</v>
      </c>
      <c r="E978" t="s">
        <v>2118</v>
      </c>
      <c r="F978" t="s">
        <v>451</v>
      </c>
      <c r="G978" t="s">
        <v>452</v>
      </c>
      <c r="H978" t="s">
        <v>6</v>
      </c>
      <c r="I978" t="s">
        <v>2112</v>
      </c>
      <c r="J978" t="s">
        <v>2110</v>
      </c>
      <c r="K978">
        <v>1.08</v>
      </c>
      <c r="L978">
        <f t="shared" si="30"/>
        <v>108</v>
      </c>
      <c r="M978">
        <f t="shared" si="31"/>
        <v>21.6</v>
      </c>
    </row>
    <row r="979" spans="1:13" x14ac:dyDescent="0.3">
      <c r="A979">
        <v>978</v>
      </c>
      <c r="B979" t="s">
        <v>1181</v>
      </c>
      <c r="C979" s="1">
        <v>43107</v>
      </c>
      <c r="D979" s="1">
        <v>43110</v>
      </c>
      <c r="E979" t="s">
        <v>2120</v>
      </c>
      <c r="F979" t="s">
        <v>1004</v>
      </c>
      <c r="G979" t="s">
        <v>1005</v>
      </c>
      <c r="H979" t="s">
        <v>10</v>
      </c>
      <c r="I979" t="s">
        <v>2117</v>
      </c>
      <c r="J979" t="s">
        <v>2111</v>
      </c>
      <c r="K979">
        <v>3059.982</v>
      </c>
      <c r="L979">
        <f t="shared" si="30"/>
        <v>305998.2</v>
      </c>
      <c r="M979">
        <f t="shared" si="31"/>
        <v>61199.640000000007</v>
      </c>
    </row>
    <row r="980" spans="1:13" x14ac:dyDescent="0.3">
      <c r="A980">
        <v>979</v>
      </c>
      <c r="B980" t="s">
        <v>1182</v>
      </c>
      <c r="C980" s="1">
        <v>42885</v>
      </c>
      <c r="D980" s="1">
        <v>42886</v>
      </c>
      <c r="E980" t="s">
        <v>2120</v>
      </c>
      <c r="F980" t="s">
        <v>1183</v>
      </c>
      <c r="G980" t="s">
        <v>1184</v>
      </c>
      <c r="H980" t="s">
        <v>6</v>
      </c>
      <c r="I980" t="s">
        <v>2115</v>
      </c>
      <c r="J980" t="s">
        <v>2110</v>
      </c>
      <c r="K980">
        <v>3.282</v>
      </c>
      <c r="L980">
        <f t="shared" si="30"/>
        <v>328.2</v>
      </c>
      <c r="M980">
        <f t="shared" si="31"/>
        <v>65.64</v>
      </c>
    </row>
    <row r="981" spans="1:13" x14ac:dyDescent="0.3">
      <c r="A981">
        <v>980</v>
      </c>
      <c r="B981" t="s">
        <v>1185</v>
      </c>
      <c r="C981" s="1">
        <v>42713</v>
      </c>
      <c r="D981" s="1">
        <v>42716</v>
      </c>
      <c r="E981" t="s">
        <v>2120</v>
      </c>
      <c r="F981" t="s">
        <v>107</v>
      </c>
      <c r="G981" t="s">
        <v>108</v>
      </c>
      <c r="H981" t="s">
        <v>10</v>
      </c>
      <c r="I981" t="s">
        <v>2117</v>
      </c>
      <c r="J981" t="s">
        <v>2110</v>
      </c>
      <c r="K981">
        <v>34.020000000000003</v>
      </c>
      <c r="L981">
        <f t="shared" si="30"/>
        <v>3402.0000000000005</v>
      </c>
      <c r="M981">
        <f t="shared" si="31"/>
        <v>680.40000000000009</v>
      </c>
    </row>
    <row r="982" spans="1:13" x14ac:dyDescent="0.3">
      <c r="A982">
        <v>981</v>
      </c>
      <c r="B982" t="s">
        <v>1186</v>
      </c>
      <c r="C982" s="1">
        <v>43011</v>
      </c>
      <c r="D982" s="1">
        <v>43016</v>
      </c>
      <c r="E982" t="s">
        <v>2118</v>
      </c>
      <c r="F982" t="s">
        <v>43</v>
      </c>
      <c r="G982" t="s">
        <v>44</v>
      </c>
      <c r="H982" t="s">
        <v>6</v>
      </c>
      <c r="I982" t="s">
        <v>2114</v>
      </c>
      <c r="J982" t="s">
        <v>2109</v>
      </c>
      <c r="K982">
        <v>599.29200000000003</v>
      </c>
      <c r="L982">
        <f t="shared" si="30"/>
        <v>59929.200000000004</v>
      </c>
      <c r="M982">
        <f t="shared" si="31"/>
        <v>11985.840000000002</v>
      </c>
    </row>
    <row r="983" spans="1:13" x14ac:dyDescent="0.3">
      <c r="A983">
        <v>982</v>
      </c>
      <c r="B983" t="s">
        <v>1187</v>
      </c>
      <c r="C983" s="1">
        <v>42319</v>
      </c>
      <c r="D983" s="1">
        <v>42322</v>
      </c>
      <c r="E983" t="s">
        <v>2119</v>
      </c>
      <c r="F983" t="s">
        <v>1188</v>
      </c>
      <c r="G983" t="s">
        <v>1189</v>
      </c>
      <c r="H983" t="s">
        <v>6</v>
      </c>
      <c r="I983" t="s">
        <v>2112</v>
      </c>
      <c r="J983" t="s">
        <v>2110</v>
      </c>
      <c r="K983">
        <v>3.3919999999999999</v>
      </c>
      <c r="L983">
        <f t="shared" si="30"/>
        <v>339.2</v>
      </c>
      <c r="M983">
        <f t="shared" si="31"/>
        <v>67.84</v>
      </c>
    </row>
    <row r="984" spans="1:13" x14ac:dyDescent="0.3">
      <c r="A984">
        <v>983</v>
      </c>
      <c r="B984" t="s">
        <v>1187</v>
      </c>
      <c r="C984" s="1">
        <v>42319</v>
      </c>
      <c r="D984" s="1">
        <v>42322</v>
      </c>
      <c r="E984" t="s">
        <v>2119</v>
      </c>
      <c r="F984" t="s">
        <v>1188</v>
      </c>
      <c r="G984" t="s">
        <v>1189</v>
      </c>
      <c r="H984" t="s">
        <v>6</v>
      </c>
      <c r="I984" t="s">
        <v>2112</v>
      </c>
      <c r="J984" t="s">
        <v>2111</v>
      </c>
      <c r="K984">
        <v>559.98400000000004</v>
      </c>
      <c r="L984">
        <f t="shared" si="30"/>
        <v>55998.400000000001</v>
      </c>
      <c r="M984">
        <f t="shared" si="31"/>
        <v>11199.68</v>
      </c>
    </row>
    <row r="985" spans="1:13" x14ac:dyDescent="0.3">
      <c r="A985">
        <v>984</v>
      </c>
      <c r="B985" t="s">
        <v>1187</v>
      </c>
      <c r="C985" s="1">
        <v>42319</v>
      </c>
      <c r="D985" s="1">
        <v>42322</v>
      </c>
      <c r="E985" t="s">
        <v>2119</v>
      </c>
      <c r="F985" t="s">
        <v>1188</v>
      </c>
      <c r="G985" t="s">
        <v>1189</v>
      </c>
      <c r="H985" t="s">
        <v>6</v>
      </c>
      <c r="I985" t="s">
        <v>2112</v>
      </c>
      <c r="J985" t="s">
        <v>2109</v>
      </c>
      <c r="K985">
        <v>603.91999999999996</v>
      </c>
      <c r="L985">
        <f t="shared" si="30"/>
        <v>60391.999999999993</v>
      </c>
      <c r="M985">
        <f t="shared" si="31"/>
        <v>12078.4</v>
      </c>
    </row>
    <row r="986" spans="1:13" x14ac:dyDescent="0.3">
      <c r="A986">
        <v>985</v>
      </c>
      <c r="B986" t="s">
        <v>1190</v>
      </c>
      <c r="C986" s="1">
        <v>43372</v>
      </c>
      <c r="D986" s="1">
        <v>43378</v>
      </c>
      <c r="E986" t="s">
        <v>2118</v>
      </c>
      <c r="F986" t="s">
        <v>1191</v>
      </c>
      <c r="G986" t="s">
        <v>1192</v>
      </c>
      <c r="H986" t="s">
        <v>26</v>
      </c>
      <c r="I986" t="s">
        <v>2117</v>
      </c>
      <c r="J986" t="s">
        <v>2110</v>
      </c>
      <c r="K986">
        <v>7.968</v>
      </c>
      <c r="L986">
        <f t="shared" si="30"/>
        <v>796.8</v>
      </c>
      <c r="M986">
        <f t="shared" si="31"/>
        <v>159.36000000000001</v>
      </c>
    </row>
    <row r="987" spans="1:13" x14ac:dyDescent="0.3">
      <c r="A987">
        <v>986</v>
      </c>
      <c r="B987" t="s">
        <v>1190</v>
      </c>
      <c r="C987" s="1">
        <v>43372</v>
      </c>
      <c r="D987" s="1">
        <v>43378</v>
      </c>
      <c r="E987" t="s">
        <v>2118</v>
      </c>
      <c r="F987" t="s">
        <v>1191</v>
      </c>
      <c r="G987" t="s">
        <v>1192</v>
      </c>
      <c r="H987" t="s">
        <v>26</v>
      </c>
      <c r="I987" t="s">
        <v>2117</v>
      </c>
      <c r="J987" t="s">
        <v>2110</v>
      </c>
      <c r="K987">
        <v>27.968</v>
      </c>
      <c r="L987">
        <f t="shared" si="30"/>
        <v>2796.8</v>
      </c>
      <c r="M987">
        <f t="shared" si="31"/>
        <v>559.36</v>
      </c>
    </row>
    <row r="988" spans="1:13" x14ac:dyDescent="0.3">
      <c r="A988">
        <v>987</v>
      </c>
      <c r="B988" t="s">
        <v>1190</v>
      </c>
      <c r="C988" s="1">
        <v>43372</v>
      </c>
      <c r="D988" s="1">
        <v>43378</v>
      </c>
      <c r="E988" t="s">
        <v>2118</v>
      </c>
      <c r="F988" t="s">
        <v>1191</v>
      </c>
      <c r="G988" t="s">
        <v>1192</v>
      </c>
      <c r="H988" t="s">
        <v>26</v>
      </c>
      <c r="I988" t="s">
        <v>2117</v>
      </c>
      <c r="J988" t="s">
        <v>2111</v>
      </c>
      <c r="K988">
        <v>336.51</v>
      </c>
      <c r="L988">
        <f t="shared" si="30"/>
        <v>33651</v>
      </c>
      <c r="M988">
        <f t="shared" si="31"/>
        <v>6730.2000000000007</v>
      </c>
    </row>
    <row r="989" spans="1:13" x14ac:dyDescent="0.3">
      <c r="A989">
        <v>988</v>
      </c>
      <c r="B989" t="s">
        <v>1193</v>
      </c>
      <c r="C989" s="1">
        <v>42439</v>
      </c>
      <c r="D989" s="1">
        <v>42439</v>
      </c>
      <c r="E989" t="s">
        <v>2120</v>
      </c>
      <c r="F989" t="s">
        <v>1194</v>
      </c>
      <c r="G989" t="s">
        <v>1195</v>
      </c>
      <c r="H989" t="s">
        <v>6</v>
      </c>
      <c r="I989" t="s">
        <v>2117</v>
      </c>
      <c r="J989" t="s">
        <v>2110</v>
      </c>
      <c r="K989">
        <v>1.1120000000000001</v>
      </c>
      <c r="L989">
        <f t="shared" si="30"/>
        <v>111.20000000000002</v>
      </c>
      <c r="M989">
        <f t="shared" si="31"/>
        <v>22.240000000000006</v>
      </c>
    </row>
    <row r="990" spans="1:13" x14ac:dyDescent="0.3">
      <c r="A990">
        <v>989</v>
      </c>
      <c r="B990" t="s">
        <v>1196</v>
      </c>
      <c r="C990" s="1">
        <v>43241</v>
      </c>
      <c r="D990" s="1">
        <v>43246</v>
      </c>
      <c r="E990" t="s">
        <v>2118</v>
      </c>
      <c r="F990" t="s">
        <v>605</v>
      </c>
      <c r="G990" t="s">
        <v>606</v>
      </c>
      <c r="H990" t="s">
        <v>10</v>
      </c>
      <c r="I990" t="s">
        <v>2114</v>
      </c>
      <c r="J990" t="s">
        <v>2109</v>
      </c>
      <c r="K990">
        <v>520.04999999999995</v>
      </c>
      <c r="L990">
        <f t="shared" si="30"/>
        <v>52004.999999999993</v>
      </c>
      <c r="M990">
        <f t="shared" si="31"/>
        <v>10401</v>
      </c>
    </row>
    <row r="991" spans="1:13" x14ac:dyDescent="0.3">
      <c r="A991">
        <v>990</v>
      </c>
      <c r="B991" t="s">
        <v>1196</v>
      </c>
      <c r="C991" s="1">
        <v>43241</v>
      </c>
      <c r="D991" s="1">
        <v>43246</v>
      </c>
      <c r="E991" t="s">
        <v>2118</v>
      </c>
      <c r="F991" t="s">
        <v>605</v>
      </c>
      <c r="G991" t="s">
        <v>606</v>
      </c>
      <c r="H991" t="s">
        <v>10</v>
      </c>
      <c r="I991" t="s">
        <v>2114</v>
      </c>
      <c r="J991" t="s">
        <v>2110</v>
      </c>
      <c r="K991">
        <v>17.97</v>
      </c>
      <c r="L991">
        <f t="shared" si="30"/>
        <v>1797</v>
      </c>
      <c r="M991">
        <f t="shared" si="31"/>
        <v>359.40000000000003</v>
      </c>
    </row>
    <row r="992" spans="1:13" x14ac:dyDescent="0.3">
      <c r="A992">
        <v>991</v>
      </c>
      <c r="B992" t="s">
        <v>1197</v>
      </c>
      <c r="C992" s="1">
        <v>42458</v>
      </c>
      <c r="D992" s="1">
        <v>42460</v>
      </c>
      <c r="E992" t="s">
        <v>2119</v>
      </c>
      <c r="F992" t="s">
        <v>1198</v>
      </c>
      <c r="G992" t="s">
        <v>1199</v>
      </c>
      <c r="H992" t="s">
        <v>26</v>
      </c>
      <c r="I992" t="s">
        <v>2115</v>
      </c>
      <c r="J992" t="s">
        <v>2109</v>
      </c>
      <c r="K992">
        <v>1166.92</v>
      </c>
      <c r="L992">
        <f t="shared" si="30"/>
        <v>116692</v>
      </c>
      <c r="M992">
        <f t="shared" si="31"/>
        <v>23338.400000000001</v>
      </c>
    </row>
    <row r="993" spans="1:13" x14ac:dyDescent="0.3">
      <c r="A993">
        <v>992</v>
      </c>
      <c r="B993" t="s">
        <v>1200</v>
      </c>
      <c r="C993" s="1">
        <v>42987</v>
      </c>
      <c r="D993" s="1">
        <v>42989</v>
      </c>
      <c r="E993" t="s">
        <v>2120</v>
      </c>
      <c r="F993" t="s">
        <v>187</v>
      </c>
      <c r="G993" t="s">
        <v>188</v>
      </c>
      <c r="H993" t="s">
        <v>6</v>
      </c>
      <c r="I993" t="s">
        <v>2114</v>
      </c>
      <c r="J993" t="s">
        <v>2110</v>
      </c>
      <c r="K993">
        <v>14.624000000000001</v>
      </c>
      <c r="L993">
        <f t="shared" si="30"/>
        <v>1462.4</v>
      </c>
      <c r="M993">
        <f t="shared" si="31"/>
        <v>292.48</v>
      </c>
    </row>
    <row r="994" spans="1:13" x14ac:dyDescent="0.3">
      <c r="A994">
        <v>993</v>
      </c>
      <c r="B994" t="s">
        <v>1201</v>
      </c>
      <c r="C994" s="1">
        <v>42973</v>
      </c>
      <c r="D994" s="1">
        <v>42974</v>
      </c>
      <c r="E994" t="s">
        <v>2120</v>
      </c>
      <c r="F994" t="s">
        <v>930</v>
      </c>
      <c r="G994" t="s">
        <v>931</v>
      </c>
      <c r="H994" t="s">
        <v>6</v>
      </c>
      <c r="I994" t="s">
        <v>2112</v>
      </c>
      <c r="J994" t="s">
        <v>2110</v>
      </c>
      <c r="K994">
        <v>10.23</v>
      </c>
      <c r="L994">
        <f t="shared" si="30"/>
        <v>1023</v>
      </c>
      <c r="M994">
        <f t="shared" si="31"/>
        <v>204.60000000000002</v>
      </c>
    </row>
    <row r="995" spans="1:13" x14ac:dyDescent="0.3">
      <c r="A995">
        <v>994</v>
      </c>
      <c r="B995" t="s">
        <v>1201</v>
      </c>
      <c r="C995" s="1">
        <v>42973</v>
      </c>
      <c r="D995" s="1">
        <v>42974</v>
      </c>
      <c r="E995" t="s">
        <v>2120</v>
      </c>
      <c r="F995" t="s">
        <v>930</v>
      </c>
      <c r="G995" t="s">
        <v>931</v>
      </c>
      <c r="H995" t="s">
        <v>6</v>
      </c>
      <c r="I995" t="s">
        <v>2112</v>
      </c>
      <c r="J995" t="s">
        <v>2110</v>
      </c>
      <c r="K995">
        <v>154.9</v>
      </c>
      <c r="L995">
        <f t="shared" si="30"/>
        <v>15490</v>
      </c>
      <c r="M995">
        <f t="shared" si="31"/>
        <v>3098</v>
      </c>
    </row>
    <row r="996" spans="1:13" x14ac:dyDescent="0.3">
      <c r="A996">
        <v>995</v>
      </c>
      <c r="B996" t="s">
        <v>1202</v>
      </c>
      <c r="C996" s="1">
        <v>42145</v>
      </c>
      <c r="D996" s="1">
        <v>42149</v>
      </c>
      <c r="E996" t="s">
        <v>2118</v>
      </c>
      <c r="F996" t="s">
        <v>1203</v>
      </c>
      <c r="G996" t="s">
        <v>1204</v>
      </c>
      <c r="H996" t="s">
        <v>10</v>
      </c>
      <c r="I996" t="s">
        <v>2115</v>
      </c>
      <c r="J996" t="s">
        <v>2110</v>
      </c>
      <c r="K996">
        <v>2715.93</v>
      </c>
      <c r="L996">
        <f t="shared" si="30"/>
        <v>271593</v>
      </c>
      <c r="M996">
        <f t="shared" si="31"/>
        <v>54318.600000000006</v>
      </c>
    </row>
    <row r="997" spans="1:13" x14ac:dyDescent="0.3">
      <c r="A997">
        <v>996</v>
      </c>
      <c r="B997" t="s">
        <v>1202</v>
      </c>
      <c r="C997" s="1">
        <v>42145</v>
      </c>
      <c r="D997" s="1">
        <v>42149</v>
      </c>
      <c r="E997" t="s">
        <v>2118</v>
      </c>
      <c r="F997" t="s">
        <v>1203</v>
      </c>
      <c r="G997" t="s">
        <v>1204</v>
      </c>
      <c r="H997" t="s">
        <v>10</v>
      </c>
      <c r="I997" t="s">
        <v>2115</v>
      </c>
      <c r="J997" t="s">
        <v>2111</v>
      </c>
      <c r="K997">
        <v>617.97</v>
      </c>
      <c r="L997">
        <f t="shared" si="30"/>
        <v>61797</v>
      </c>
      <c r="M997">
        <f t="shared" si="31"/>
        <v>12359.400000000001</v>
      </c>
    </row>
    <row r="998" spans="1:13" x14ac:dyDescent="0.3">
      <c r="A998">
        <v>997</v>
      </c>
      <c r="B998" t="s">
        <v>1205</v>
      </c>
      <c r="C998" s="1">
        <v>42671</v>
      </c>
      <c r="D998" s="1">
        <v>42677</v>
      </c>
      <c r="E998" t="s">
        <v>2118</v>
      </c>
      <c r="F998" t="s">
        <v>1206</v>
      </c>
      <c r="G998" t="s">
        <v>1207</v>
      </c>
      <c r="H998" t="s">
        <v>6</v>
      </c>
      <c r="I998" t="s">
        <v>2115</v>
      </c>
      <c r="J998" t="s">
        <v>2110</v>
      </c>
      <c r="K998">
        <v>10.67</v>
      </c>
      <c r="L998">
        <f t="shared" si="30"/>
        <v>1067</v>
      </c>
      <c r="M998">
        <f t="shared" si="31"/>
        <v>213.4</v>
      </c>
    </row>
    <row r="999" spans="1:13" x14ac:dyDescent="0.3">
      <c r="A999">
        <v>998</v>
      </c>
      <c r="B999" t="s">
        <v>1205</v>
      </c>
      <c r="C999" s="1">
        <v>42671</v>
      </c>
      <c r="D999" s="1">
        <v>42677</v>
      </c>
      <c r="E999" t="s">
        <v>2118</v>
      </c>
      <c r="F999" t="s">
        <v>1206</v>
      </c>
      <c r="G999" t="s">
        <v>1207</v>
      </c>
      <c r="H999" t="s">
        <v>6</v>
      </c>
      <c r="I999" t="s">
        <v>2115</v>
      </c>
      <c r="J999" t="s">
        <v>2110</v>
      </c>
      <c r="K999">
        <v>36.630000000000003</v>
      </c>
      <c r="L999">
        <f t="shared" si="30"/>
        <v>3663.0000000000005</v>
      </c>
      <c r="M999">
        <f t="shared" si="31"/>
        <v>732.60000000000014</v>
      </c>
    </row>
    <row r="1000" spans="1:13" x14ac:dyDescent="0.3">
      <c r="A1000">
        <v>999</v>
      </c>
      <c r="B1000" t="s">
        <v>1205</v>
      </c>
      <c r="C1000" s="1">
        <v>42671</v>
      </c>
      <c r="D1000" s="1">
        <v>42677</v>
      </c>
      <c r="E1000" t="s">
        <v>2118</v>
      </c>
      <c r="F1000" t="s">
        <v>1206</v>
      </c>
      <c r="G1000" t="s">
        <v>1207</v>
      </c>
      <c r="H1000" t="s">
        <v>6</v>
      </c>
      <c r="I1000" t="s">
        <v>2115</v>
      </c>
      <c r="J1000" t="s">
        <v>2109</v>
      </c>
      <c r="K1000">
        <v>24.1</v>
      </c>
      <c r="L1000">
        <f t="shared" si="30"/>
        <v>2410</v>
      </c>
      <c r="M1000">
        <f t="shared" si="31"/>
        <v>482</v>
      </c>
    </row>
    <row r="1001" spans="1:13" x14ac:dyDescent="0.3">
      <c r="A1001">
        <v>1000</v>
      </c>
      <c r="B1001" t="s">
        <v>1205</v>
      </c>
      <c r="C1001" s="1">
        <v>42671</v>
      </c>
      <c r="D1001" s="1">
        <v>42677</v>
      </c>
      <c r="E1001" t="s">
        <v>2118</v>
      </c>
      <c r="F1001" t="s">
        <v>1206</v>
      </c>
      <c r="G1001" t="s">
        <v>1207</v>
      </c>
      <c r="H1001" t="s">
        <v>6</v>
      </c>
      <c r="I1001" t="s">
        <v>2115</v>
      </c>
      <c r="J1001" t="s">
        <v>2109</v>
      </c>
      <c r="K1001">
        <v>33.11</v>
      </c>
      <c r="L1001">
        <f t="shared" si="30"/>
        <v>3311</v>
      </c>
      <c r="M1001">
        <f t="shared" si="31"/>
        <v>662.2</v>
      </c>
    </row>
    <row r="1002" spans="1:13" x14ac:dyDescent="0.3">
      <c r="A1002">
        <v>1001</v>
      </c>
      <c r="B1002" t="s">
        <v>1208</v>
      </c>
      <c r="C1002" s="1">
        <v>43052</v>
      </c>
      <c r="D1002" s="1">
        <v>43056</v>
      </c>
      <c r="E1002" t="s">
        <v>2118</v>
      </c>
      <c r="F1002" t="s">
        <v>269</v>
      </c>
      <c r="G1002" t="s">
        <v>270</v>
      </c>
      <c r="H1002" t="s">
        <v>26</v>
      </c>
      <c r="I1002" t="s">
        <v>2112</v>
      </c>
      <c r="J1002" t="s">
        <v>2110</v>
      </c>
      <c r="K1002">
        <v>44.02</v>
      </c>
      <c r="L1002">
        <f t="shared" si="30"/>
        <v>4402</v>
      </c>
      <c r="M1002">
        <f t="shared" si="31"/>
        <v>880.40000000000009</v>
      </c>
    </row>
    <row r="1003" spans="1:13" x14ac:dyDescent="0.3">
      <c r="A1003">
        <v>1002</v>
      </c>
      <c r="B1003" t="s">
        <v>1209</v>
      </c>
      <c r="C1003" s="1">
        <v>42582</v>
      </c>
      <c r="D1003" s="1">
        <v>42582</v>
      </c>
      <c r="E1003" t="s">
        <v>2120</v>
      </c>
      <c r="F1003" t="s">
        <v>981</v>
      </c>
      <c r="G1003" t="s">
        <v>982</v>
      </c>
      <c r="H1003" t="s">
        <v>6</v>
      </c>
      <c r="I1003" t="s">
        <v>2114</v>
      </c>
      <c r="J1003" t="s">
        <v>2111</v>
      </c>
      <c r="K1003">
        <v>2309.65</v>
      </c>
      <c r="L1003">
        <f t="shared" si="30"/>
        <v>230965</v>
      </c>
      <c r="M1003">
        <f t="shared" si="31"/>
        <v>46193</v>
      </c>
    </row>
    <row r="1004" spans="1:13" x14ac:dyDescent="0.3">
      <c r="A1004">
        <v>1003</v>
      </c>
      <c r="B1004" t="s">
        <v>1209</v>
      </c>
      <c r="C1004" s="1">
        <v>42582</v>
      </c>
      <c r="D1004" s="1">
        <v>42582</v>
      </c>
      <c r="E1004" t="s">
        <v>2120</v>
      </c>
      <c r="F1004" t="s">
        <v>981</v>
      </c>
      <c r="G1004" t="s">
        <v>982</v>
      </c>
      <c r="H1004" t="s">
        <v>6</v>
      </c>
      <c r="I1004" t="s">
        <v>2114</v>
      </c>
      <c r="J1004" t="s">
        <v>2109</v>
      </c>
      <c r="K1004">
        <v>1090.7819999999999</v>
      </c>
      <c r="L1004">
        <f t="shared" si="30"/>
        <v>109078.2</v>
      </c>
      <c r="M1004">
        <f t="shared" si="31"/>
        <v>21815.64</v>
      </c>
    </row>
    <row r="1005" spans="1:13" x14ac:dyDescent="0.3">
      <c r="A1005">
        <v>1004</v>
      </c>
      <c r="B1005" t="s">
        <v>1209</v>
      </c>
      <c r="C1005" s="1">
        <v>42582</v>
      </c>
      <c r="D1005" s="1">
        <v>42582</v>
      </c>
      <c r="E1005" t="s">
        <v>2120</v>
      </c>
      <c r="F1005" t="s">
        <v>981</v>
      </c>
      <c r="G1005" t="s">
        <v>982</v>
      </c>
      <c r="H1005" t="s">
        <v>6</v>
      </c>
      <c r="I1005" t="s">
        <v>2114</v>
      </c>
      <c r="J1005" t="s">
        <v>2110</v>
      </c>
      <c r="K1005">
        <v>19.440000000000001</v>
      </c>
      <c r="L1005">
        <f t="shared" si="30"/>
        <v>1944.0000000000002</v>
      </c>
      <c r="M1005">
        <f t="shared" si="31"/>
        <v>388.80000000000007</v>
      </c>
    </row>
    <row r="1006" spans="1:13" x14ac:dyDescent="0.3">
      <c r="A1006">
        <v>1005</v>
      </c>
      <c r="B1006" t="s">
        <v>1210</v>
      </c>
      <c r="C1006" s="1">
        <v>42609</v>
      </c>
      <c r="D1006" s="1">
        <v>42613</v>
      </c>
      <c r="E1006" t="s">
        <v>2118</v>
      </c>
      <c r="F1006" t="s">
        <v>1211</v>
      </c>
      <c r="G1006" t="s">
        <v>1212</v>
      </c>
      <c r="H1006" t="s">
        <v>6</v>
      </c>
      <c r="I1006" t="s">
        <v>2112</v>
      </c>
      <c r="J1006" t="s">
        <v>2110</v>
      </c>
      <c r="K1006">
        <v>484.65</v>
      </c>
      <c r="L1006">
        <f t="shared" si="30"/>
        <v>48465</v>
      </c>
      <c r="M1006">
        <f t="shared" si="31"/>
        <v>9693</v>
      </c>
    </row>
    <row r="1007" spans="1:13" x14ac:dyDescent="0.3">
      <c r="A1007">
        <v>1006</v>
      </c>
      <c r="B1007" t="s">
        <v>1213</v>
      </c>
      <c r="C1007" s="1">
        <v>42687</v>
      </c>
      <c r="D1007" s="1">
        <v>42691</v>
      </c>
      <c r="E1007" t="s">
        <v>2118</v>
      </c>
      <c r="F1007" t="s">
        <v>975</v>
      </c>
      <c r="G1007" t="s">
        <v>976</v>
      </c>
      <c r="H1007" t="s">
        <v>6</v>
      </c>
      <c r="I1007" t="s">
        <v>2115</v>
      </c>
      <c r="J1007" t="s">
        <v>2110</v>
      </c>
      <c r="K1007">
        <v>115.29600000000001</v>
      </c>
      <c r="L1007">
        <f t="shared" si="30"/>
        <v>11529.6</v>
      </c>
      <c r="M1007">
        <f t="shared" si="31"/>
        <v>2305.92</v>
      </c>
    </row>
    <row r="1008" spans="1:13" x14ac:dyDescent="0.3">
      <c r="A1008">
        <v>1007</v>
      </c>
      <c r="B1008" t="s">
        <v>1214</v>
      </c>
      <c r="C1008" s="1">
        <v>42680</v>
      </c>
      <c r="D1008" s="1">
        <v>42683</v>
      </c>
      <c r="E1008" t="s">
        <v>2120</v>
      </c>
      <c r="F1008" t="s">
        <v>1215</v>
      </c>
      <c r="G1008" t="s">
        <v>1216</v>
      </c>
      <c r="H1008" t="s">
        <v>6</v>
      </c>
      <c r="I1008" t="s">
        <v>2112</v>
      </c>
      <c r="J1008" t="s">
        <v>2110</v>
      </c>
      <c r="K1008">
        <v>7.08</v>
      </c>
      <c r="L1008">
        <f t="shared" si="30"/>
        <v>708</v>
      </c>
      <c r="M1008">
        <f t="shared" si="31"/>
        <v>141.6</v>
      </c>
    </row>
    <row r="1009" spans="1:13" x14ac:dyDescent="0.3">
      <c r="A1009">
        <v>1008</v>
      </c>
      <c r="B1009" t="s">
        <v>1214</v>
      </c>
      <c r="C1009" s="1">
        <v>42680</v>
      </c>
      <c r="D1009" s="1">
        <v>42683</v>
      </c>
      <c r="E1009" t="s">
        <v>2120</v>
      </c>
      <c r="F1009" t="s">
        <v>1215</v>
      </c>
      <c r="G1009" t="s">
        <v>1216</v>
      </c>
      <c r="H1009" t="s">
        <v>6</v>
      </c>
      <c r="I1009" t="s">
        <v>2112</v>
      </c>
      <c r="J1009" t="s">
        <v>2110</v>
      </c>
      <c r="K1009">
        <v>4.4009999999999998</v>
      </c>
      <c r="L1009">
        <f t="shared" si="30"/>
        <v>440.09999999999997</v>
      </c>
      <c r="M1009">
        <f t="shared" si="31"/>
        <v>88.02</v>
      </c>
    </row>
    <row r="1010" spans="1:13" x14ac:dyDescent="0.3">
      <c r="A1010">
        <v>1009</v>
      </c>
      <c r="B1010" t="s">
        <v>1217</v>
      </c>
      <c r="C1010" s="1">
        <v>43460</v>
      </c>
      <c r="D1010" s="1">
        <v>43466</v>
      </c>
      <c r="E1010" t="s">
        <v>2118</v>
      </c>
      <c r="F1010" t="s">
        <v>433</v>
      </c>
      <c r="G1010" t="s">
        <v>434</v>
      </c>
      <c r="H1010" t="s">
        <v>6</v>
      </c>
      <c r="I1010" t="s">
        <v>2117</v>
      </c>
      <c r="J1010" t="s">
        <v>2110</v>
      </c>
      <c r="K1010">
        <v>44.75</v>
      </c>
      <c r="L1010">
        <f t="shared" si="30"/>
        <v>4475</v>
      </c>
      <c r="M1010">
        <f t="shared" si="31"/>
        <v>895</v>
      </c>
    </row>
    <row r="1011" spans="1:13" x14ac:dyDescent="0.3">
      <c r="A1011">
        <v>1010</v>
      </c>
      <c r="B1011" t="s">
        <v>1218</v>
      </c>
      <c r="C1011" s="1">
        <v>43313</v>
      </c>
      <c r="D1011" s="1">
        <v>43315</v>
      </c>
      <c r="E1011" t="s">
        <v>2120</v>
      </c>
      <c r="F1011" t="s">
        <v>790</v>
      </c>
      <c r="G1011" t="s">
        <v>791</v>
      </c>
      <c r="H1011" t="s">
        <v>6</v>
      </c>
      <c r="I1011" t="s">
        <v>2117</v>
      </c>
      <c r="J1011" t="s">
        <v>2111</v>
      </c>
      <c r="K1011">
        <v>95.983999999999995</v>
      </c>
      <c r="L1011">
        <f t="shared" si="30"/>
        <v>9598.4</v>
      </c>
      <c r="M1011">
        <f t="shared" si="31"/>
        <v>1919.68</v>
      </c>
    </row>
    <row r="1012" spans="1:13" x14ac:dyDescent="0.3">
      <c r="A1012">
        <v>1011</v>
      </c>
      <c r="B1012" t="s">
        <v>1219</v>
      </c>
      <c r="C1012" s="1">
        <v>42332</v>
      </c>
      <c r="D1012" s="1">
        <v>42334</v>
      </c>
      <c r="E1012" t="s">
        <v>2120</v>
      </c>
      <c r="F1012" t="s">
        <v>1220</v>
      </c>
      <c r="G1012" t="s">
        <v>1221</v>
      </c>
      <c r="H1012" t="s">
        <v>6</v>
      </c>
      <c r="I1012" t="s">
        <v>2112</v>
      </c>
      <c r="J1012" t="s">
        <v>2109</v>
      </c>
      <c r="K1012">
        <v>151.72</v>
      </c>
      <c r="L1012">
        <f t="shared" si="30"/>
        <v>15172</v>
      </c>
      <c r="M1012">
        <f t="shared" si="31"/>
        <v>3034.4</v>
      </c>
    </row>
    <row r="1013" spans="1:13" x14ac:dyDescent="0.3">
      <c r="A1013">
        <v>1012</v>
      </c>
      <c r="B1013" t="s">
        <v>1222</v>
      </c>
      <c r="C1013" s="1">
        <v>43268</v>
      </c>
      <c r="D1013" s="1">
        <v>43272</v>
      </c>
      <c r="E1013" t="s">
        <v>2119</v>
      </c>
      <c r="F1013" t="s">
        <v>184</v>
      </c>
      <c r="G1013" t="s">
        <v>185</v>
      </c>
      <c r="H1013" t="s">
        <v>6</v>
      </c>
      <c r="I1013" t="s">
        <v>2112</v>
      </c>
      <c r="J1013" t="s">
        <v>2109</v>
      </c>
      <c r="K1013">
        <v>155.25</v>
      </c>
      <c r="L1013">
        <f t="shared" si="30"/>
        <v>15525</v>
      </c>
      <c r="M1013">
        <f t="shared" si="31"/>
        <v>3105</v>
      </c>
    </row>
    <row r="1014" spans="1:13" x14ac:dyDescent="0.3">
      <c r="A1014">
        <v>1013</v>
      </c>
      <c r="B1014" t="s">
        <v>1222</v>
      </c>
      <c r="C1014" s="1">
        <v>43268</v>
      </c>
      <c r="D1014" s="1">
        <v>43272</v>
      </c>
      <c r="E1014" t="s">
        <v>2119</v>
      </c>
      <c r="F1014" t="s">
        <v>184</v>
      </c>
      <c r="G1014" t="s">
        <v>185</v>
      </c>
      <c r="H1014" t="s">
        <v>6</v>
      </c>
      <c r="I1014" t="s">
        <v>2112</v>
      </c>
      <c r="J1014" t="s">
        <v>2110</v>
      </c>
      <c r="K1014">
        <v>14.03</v>
      </c>
      <c r="L1014">
        <f t="shared" si="30"/>
        <v>1403</v>
      </c>
      <c r="M1014">
        <f t="shared" si="31"/>
        <v>280.60000000000002</v>
      </c>
    </row>
    <row r="1015" spans="1:13" x14ac:dyDescent="0.3">
      <c r="A1015">
        <v>1014</v>
      </c>
      <c r="B1015" t="s">
        <v>1223</v>
      </c>
      <c r="C1015" s="1">
        <v>42725</v>
      </c>
      <c r="D1015" s="1">
        <v>42728</v>
      </c>
      <c r="E1015" t="s">
        <v>2119</v>
      </c>
      <c r="F1015" t="s">
        <v>1224</v>
      </c>
      <c r="G1015" t="s">
        <v>1225</v>
      </c>
      <c r="H1015" t="s">
        <v>6</v>
      </c>
      <c r="I1015" t="s">
        <v>2112</v>
      </c>
      <c r="J1015" t="s">
        <v>2109</v>
      </c>
      <c r="K1015">
        <v>1618.37</v>
      </c>
      <c r="L1015">
        <f t="shared" si="30"/>
        <v>161837</v>
      </c>
      <c r="M1015">
        <f t="shared" si="31"/>
        <v>32367.4</v>
      </c>
    </row>
    <row r="1016" spans="1:13" x14ac:dyDescent="0.3">
      <c r="A1016">
        <v>1015</v>
      </c>
      <c r="B1016" t="s">
        <v>1223</v>
      </c>
      <c r="C1016" s="1">
        <v>42725</v>
      </c>
      <c r="D1016" s="1">
        <v>42728</v>
      </c>
      <c r="E1016" t="s">
        <v>2119</v>
      </c>
      <c r="F1016" t="s">
        <v>1224</v>
      </c>
      <c r="G1016" t="s">
        <v>1225</v>
      </c>
      <c r="H1016" t="s">
        <v>6</v>
      </c>
      <c r="I1016" t="s">
        <v>2112</v>
      </c>
      <c r="J1016" t="s">
        <v>2111</v>
      </c>
      <c r="K1016">
        <v>99.6</v>
      </c>
      <c r="L1016">
        <f t="shared" si="30"/>
        <v>9960</v>
      </c>
      <c r="M1016">
        <f t="shared" si="31"/>
        <v>1992</v>
      </c>
    </row>
    <row r="1017" spans="1:13" x14ac:dyDescent="0.3">
      <c r="A1017">
        <v>1016</v>
      </c>
      <c r="B1017" t="s">
        <v>1226</v>
      </c>
      <c r="C1017" s="1">
        <v>42630</v>
      </c>
      <c r="D1017" s="1">
        <v>42632</v>
      </c>
      <c r="E1017" t="s">
        <v>2119</v>
      </c>
      <c r="F1017" t="s">
        <v>787</v>
      </c>
      <c r="G1017" t="s">
        <v>788</v>
      </c>
      <c r="H1017" t="s">
        <v>26</v>
      </c>
      <c r="I1017" t="s">
        <v>2112</v>
      </c>
      <c r="J1017" t="s">
        <v>2110</v>
      </c>
      <c r="K1017">
        <v>32.4</v>
      </c>
      <c r="L1017">
        <f t="shared" si="30"/>
        <v>3240</v>
      </c>
      <c r="M1017">
        <f t="shared" si="31"/>
        <v>648</v>
      </c>
    </row>
    <row r="1018" spans="1:13" x14ac:dyDescent="0.3">
      <c r="A1018">
        <v>1017</v>
      </c>
      <c r="B1018" t="s">
        <v>1227</v>
      </c>
      <c r="C1018" s="1">
        <v>42557</v>
      </c>
      <c r="D1018" s="1">
        <v>42561</v>
      </c>
      <c r="E1018" t="s">
        <v>2118</v>
      </c>
      <c r="F1018" t="s">
        <v>1228</v>
      </c>
      <c r="G1018" t="s">
        <v>1229</v>
      </c>
      <c r="H1018" t="s">
        <v>10</v>
      </c>
      <c r="I1018" t="s">
        <v>2114</v>
      </c>
      <c r="J1018" t="s">
        <v>2109</v>
      </c>
      <c r="K1018">
        <v>13.96</v>
      </c>
      <c r="L1018">
        <f t="shared" si="30"/>
        <v>1396</v>
      </c>
      <c r="M1018">
        <f t="shared" si="31"/>
        <v>279.2</v>
      </c>
    </row>
    <row r="1019" spans="1:13" x14ac:dyDescent="0.3">
      <c r="A1019">
        <v>1018</v>
      </c>
      <c r="B1019" t="s">
        <v>1227</v>
      </c>
      <c r="C1019" s="1">
        <v>42557</v>
      </c>
      <c r="D1019" s="1">
        <v>42561</v>
      </c>
      <c r="E1019" t="s">
        <v>2118</v>
      </c>
      <c r="F1019" t="s">
        <v>1228</v>
      </c>
      <c r="G1019" t="s">
        <v>1229</v>
      </c>
      <c r="H1019" t="s">
        <v>10</v>
      </c>
      <c r="I1019" t="s">
        <v>2114</v>
      </c>
      <c r="J1019" t="s">
        <v>2109</v>
      </c>
      <c r="K1019">
        <v>155.82</v>
      </c>
      <c r="L1019">
        <f t="shared" si="30"/>
        <v>15582</v>
      </c>
      <c r="M1019">
        <f t="shared" si="31"/>
        <v>3116.4</v>
      </c>
    </row>
    <row r="1020" spans="1:13" x14ac:dyDescent="0.3">
      <c r="A1020">
        <v>1019</v>
      </c>
      <c r="B1020" t="s">
        <v>1227</v>
      </c>
      <c r="C1020" s="1">
        <v>42557</v>
      </c>
      <c r="D1020" s="1">
        <v>42561</v>
      </c>
      <c r="E1020" t="s">
        <v>2118</v>
      </c>
      <c r="F1020" t="s">
        <v>1228</v>
      </c>
      <c r="G1020" t="s">
        <v>1229</v>
      </c>
      <c r="H1020" t="s">
        <v>10</v>
      </c>
      <c r="I1020" t="s">
        <v>2114</v>
      </c>
      <c r="J1020" t="s">
        <v>2111</v>
      </c>
      <c r="K1020">
        <v>124.95</v>
      </c>
      <c r="L1020">
        <f t="shared" si="30"/>
        <v>12495</v>
      </c>
      <c r="M1020">
        <f t="shared" si="31"/>
        <v>2499</v>
      </c>
    </row>
    <row r="1021" spans="1:13" x14ac:dyDescent="0.3">
      <c r="A1021">
        <v>1020</v>
      </c>
      <c r="B1021" t="s">
        <v>1227</v>
      </c>
      <c r="C1021" s="1">
        <v>42557</v>
      </c>
      <c r="D1021" s="1">
        <v>42561</v>
      </c>
      <c r="E1021" t="s">
        <v>2118</v>
      </c>
      <c r="F1021" t="s">
        <v>1228</v>
      </c>
      <c r="G1021" t="s">
        <v>1229</v>
      </c>
      <c r="H1021" t="s">
        <v>10</v>
      </c>
      <c r="I1021" t="s">
        <v>2114</v>
      </c>
      <c r="J1021" t="s">
        <v>2110</v>
      </c>
      <c r="K1021">
        <v>601.65</v>
      </c>
      <c r="L1021">
        <f t="shared" si="30"/>
        <v>60165</v>
      </c>
      <c r="M1021">
        <f t="shared" si="31"/>
        <v>12033</v>
      </c>
    </row>
    <row r="1022" spans="1:13" x14ac:dyDescent="0.3">
      <c r="A1022">
        <v>1021</v>
      </c>
      <c r="B1022" t="s">
        <v>1230</v>
      </c>
      <c r="C1022" s="1">
        <v>42487</v>
      </c>
      <c r="D1022" s="1">
        <v>42493</v>
      </c>
      <c r="E1022" t="s">
        <v>2118</v>
      </c>
      <c r="F1022" t="s">
        <v>702</v>
      </c>
      <c r="G1022" t="s">
        <v>703</v>
      </c>
      <c r="H1022" t="s">
        <v>6</v>
      </c>
      <c r="I1022" t="s">
        <v>2114</v>
      </c>
      <c r="J1022" t="s">
        <v>2110</v>
      </c>
      <c r="K1022">
        <v>22.74</v>
      </c>
      <c r="L1022">
        <f t="shared" si="30"/>
        <v>2274</v>
      </c>
      <c r="M1022">
        <f t="shared" si="31"/>
        <v>454.8</v>
      </c>
    </row>
    <row r="1023" spans="1:13" x14ac:dyDescent="0.3">
      <c r="A1023">
        <v>1022</v>
      </c>
      <c r="B1023" t="s">
        <v>1230</v>
      </c>
      <c r="C1023" s="1">
        <v>42487</v>
      </c>
      <c r="D1023" s="1">
        <v>42493</v>
      </c>
      <c r="E1023" t="s">
        <v>2118</v>
      </c>
      <c r="F1023" t="s">
        <v>702</v>
      </c>
      <c r="G1023" t="s">
        <v>703</v>
      </c>
      <c r="H1023" t="s">
        <v>6</v>
      </c>
      <c r="I1023" t="s">
        <v>2114</v>
      </c>
      <c r="J1023" t="s">
        <v>2109</v>
      </c>
      <c r="K1023">
        <v>1267.53</v>
      </c>
      <c r="L1023">
        <f t="shared" si="30"/>
        <v>126753</v>
      </c>
      <c r="M1023">
        <f t="shared" si="31"/>
        <v>25350.600000000002</v>
      </c>
    </row>
    <row r="1024" spans="1:13" x14ac:dyDescent="0.3">
      <c r="A1024">
        <v>1023</v>
      </c>
      <c r="B1024" t="s">
        <v>1230</v>
      </c>
      <c r="C1024" s="1">
        <v>42487</v>
      </c>
      <c r="D1024" s="1">
        <v>42493</v>
      </c>
      <c r="E1024" t="s">
        <v>2118</v>
      </c>
      <c r="F1024" t="s">
        <v>702</v>
      </c>
      <c r="G1024" t="s">
        <v>703</v>
      </c>
      <c r="H1024" t="s">
        <v>6</v>
      </c>
      <c r="I1024" t="s">
        <v>2114</v>
      </c>
      <c r="J1024" t="s">
        <v>2111</v>
      </c>
      <c r="K1024">
        <v>1379.92</v>
      </c>
      <c r="L1024">
        <f t="shared" si="30"/>
        <v>137992</v>
      </c>
      <c r="M1024">
        <f t="shared" si="31"/>
        <v>27598.400000000001</v>
      </c>
    </row>
    <row r="1025" spans="1:13" x14ac:dyDescent="0.3">
      <c r="A1025">
        <v>1024</v>
      </c>
      <c r="B1025" t="s">
        <v>1231</v>
      </c>
      <c r="C1025" s="1">
        <v>42537</v>
      </c>
      <c r="D1025" s="1">
        <v>42541</v>
      </c>
      <c r="E1025" t="s">
        <v>2118</v>
      </c>
      <c r="F1025" t="s">
        <v>538</v>
      </c>
      <c r="G1025" t="s">
        <v>539</v>
      </c>
      <c r="H1025" t="s">
        <v>6</v>
      </c>
      <c r="I1025" t="s">
        <v>2114</v>
      </c>
      <c r="J1025" t="s">
        <v>2110</v>
      </c>
      <c r="K1025">
        <v>6.2080000000000002</v>
      </c>
      <c r="L1025">
        <f t="shared" si="30"/>
        <v>620.80000000000007</v>
      </c>
      <c r="M1025">
        <f t="shared" si="31"/>
        <v>124.16000000000003</v>
      </c>
    </row>
    <row r="1026" spans="1:13" x14ac:dyDescent="0.3">
      <c r="A1026">
        <v>1025</v>
      </c>
      <c r="B1026" t="s">
        <v>1232</v>
      </c>
      <c r="C1026" s="1">
        <v>43451</v>
      </c>
      <c r="D1026" s="1">
        <v>43454</v>
      </c>
      <c r="E1026" t="s">
        <v>2120</v>
      </c>
      <c r="F1026" t="s">
        <v>1233</v>
      </c>
      <c r="G1026" t="s">
        <v>1234</v>
      </c>
      <c r="H1026" t="s">
        <v>26</v>
      </c>
      <c r="I1026" t="s">
        <v>2112</v>
      </c>
      <c r="J1026" t="s">
        <v>2110</v>
      </c>
      <c r="K1026">
        <v>11.808</v>
      </c>
      <c r="L1026">
        <f t="shared" ref="L1026:L1089" si="32">K1026*100</f>
        <v>1180.8</v>
      </c>
      <c r="M1026">
        <f t="shared" si="31"/>
        <v>236.16</v>
      </c>
    </row>
    <row r="1027" spans="1:13" x14ac:dyDescent="0.3">
      <c r="A1027">
        <v>1026</v>
      </c>
      <c r="B1027" t="s">
        <v>1235</v>
      </c>
      <c r="C1027" s="1">
        <v>42746</v>
      </c>
      <c r="D1027" s="1">
        <v>42748</v>
      </c>
      <c r="E1027" t="s">
        <v>2119</v>
      </c>
      <c r="F1027" t="s">
        <v>1236</v>
      </c>
      <c r="G1027" t="s">
        <v>1237</v>
      </c>
      <c r="H1027" t="s">
        <v>26</v>
      </c>
      <c r="I1027" t="s">
        <v>2114</v>
      </c>
      <c r="J1027" t="s">
        <v>2110</v>
      </c>
      <c r="K1027">
        <v>15.552</v>
      </c>
      <c r="L1027">
        <f t="shared" si="32"/>
        <v>1555.2</v>
      </c>
      <c r="M1027">
        <f t="shared" ref="M1027:M1090" si="33">L1027*0.2</f>
        <v>311.04000000000002</v>
      </c>
    </row>
    <row r="1028" spans="1:13" x14ac:dyDescent="0.3">
      <c r="A1028">
        <v>1027</v>
      </c>
      <c r="B1028" t="s">
        <v>1235</v>
      </c>
      <c r="C1028" s="1">
        <v>42746</v>
      </c>
      <c r="D1028" s="1">
        <v>42748</v>
      </c>
      <c r="E1028" t="s">
        <v>2119</v>
      </c>
      <c r="F1028" t="s">
        <v>1236</v>
      </c>
      <c r="G1028" t="s">
        <v>1237</v>
      </c>
      <c r="H1028" t="s">
        <v>26</v>
      </c>
      <c r="I1028" t="s">
        <v>2114</v>
      </c>
      <c r="J1028" t="s">
        <v>2110</v>
      </c>
      <c r="K1028">
        <v>63.311999999999998</v>
      </c>
      <c r="L1028">
        <f t="shared" si="32"/>
        <v>6331.2</v>
      </c>
      <c r="M1028">
        <f t="shared" si="33"/>
        <v>1266.24</v>
      </c>
    </row>
    <row r="1029" spans="1:13" x14ac:dyDescent="0.3">
      <c r="A1029">
        <v>1028</v>
      </c>
      <c r="B1029" t="s">
        <v>1235</v>
      </c>
      <c r="C1029" s="1">
        <v>42746</v>
      </c>
      <c r="D1029" s="1">
        <v>42748</v>
      </c>
      <c r="E1029" t="s">
        <v>2119</v>
      </c>
      <c r="F1029" t="s">
        <v>1236</v>
      </c>
      <c r="G1029" t="s">
        <v>1237</v>
      </c>
      <c r="H1029" t="s">
        <v>26</v>
      </c>
      <c r="I1029" t="s">
        <v>2114</v>
      </c>
      <c r="J1029" t="s">
        <v>2111</v>
      </c>
      <c r="K1029">
        <v>15.587999999999999</v>
      </c>
      <c r="L1029">
        <f t="shared" si="32"/>
        <v>1558.8</v>
      </c>
      <c r="M1029">
        <f t="shared" si="33"/>
        <v>311.76</v>
      </c>
    </row>
    <row r="1030" spans="1:13" x14ac:dyDescent="0.3">
      <c r="A1030">
        <v>1029</v>
      </c>
      <c r="B1030" t="s">
        <v>1238</v>
      </c>
      <c r="C1030" s="1">
        <v>42196</v>
      </c>
      <c r="D1030" s="1">
        <v>42200</v>
      </c>
      <c r="E1030" t="s">
        <v>2118</v>
      </c>
      <c r="F1030" t="s">
        <v>491</v>
      </c>
      <c r="G1030" t="s">
        <v>492</v>
      </c>
      <c r="H1030" t="s">
        <v>10</v>
      </c>
      <c r="I1030" t="s">
        <v>2114</v>
      </c>
      <c r="J1030" t="s">
        <v>2110</v>
      </c>
      <c r="K1030">
        <v>177.2</v>
      </c>
      <c r="L1030">
        <f t="shared" si="32"/>
        <v>17720</v>
      </c>
      <c r="M1030">
        <f t="shared" si="33"/>
        <v>3544</v>
      </c>
    </row>
    <row r="1031" spans="1:13" x14ac:dyDescent="0.3">
      <c r="A1031">
        <v>1030</v>
      </c>
      <c r="B1031" t="s">
        <v>1238</v>
      </c>
      <c r="C1031" s="1">
        <v>42196</v>
      </c>
      <c r="D1031" s="1">
        <v>42200</v>
      </c>
      <c r="E1031" t="s">
        <v>2118</v>
      </c>
      <c r="F1031" t="s">
        <v>491</v>
      </c>
      <c r="G1031" t="s">
        <v>492</v>
      </c>
      <c r="H1031" t="s">
        <v>10</v>
      </c>
      <c r="I1031" t="s">
        <v>2114</v>
      </c>
      <c r="J1031" t="s">
        <v>2111</v>
      </c>
      <c r="K1031">
        <v>197.97</v>
      </c>
      <c r="L1031">
        <f t="shared" si="32"/>
        <v>19797</v>
      </c>
      <c r="M1031">
        <f t="shared" si="33"/>
        <v>3959.4</v>
      </c>
    </row>
    <row r="1032" spans="1:13" x14ac:dyDescent="0.3">
      <c r="A1032">
        <v>1031</v>
      </c>
      <c r="B1032" t="s">
        <v>1238</v>
      </c>
      <c r="C1032" s="1">
        <v>42196</v>
      </c>
      <c r="D1032" s="1">
        <v>42200</v>
      </c>
      <c r="E1032" t="s">
        <v>2118</v>
      </c>
      <c r="F1032" t="s">
        <v>491</v>
      </c>
      <c r="G1032" t="s">
        <v>492</v>
      </c>
      <c r="H1032" t="s">
        <v>10</v>
      </c>
      <c r="I1032" t="s">
        <v>2114</v>
      </c>
      <c r="J1032" t="s">
        <v>2109</v>
      </c>
      <c r="K1032">
        <v>854.94</v>
      </c>
      <c r="L1032">
        <f t="shared" si="32"/>
        <v>85494</v>
      </c>
      <c r="M1032">
        <f t="shared" si="33"/>
        <v>17098.8</v>
      </c>
    </row>
    <row r="1033" spans="1:13" x14ac:dyDescent="0.3">
      <c r="A1033">
        <v>1032</v>
      </c>
      <c r="B1033" t="s">
        <v>1238</v>
      </c>
      <c r="C1033" s="1">
        <v>42196</v>
      </c>
      <c r="D1033" s="1">
        <v>42200</v>
      </c>
      <c r="E1033" t="s">
        <v>2118</v>
      </c>
      <c r="F1033" t="s">
        <v>491</v>
      </c>
      <c r="G1033" t="s">
        <v>492</v>
      </c>
      <c r="H1033" t="s">
        <v>10</v>
      </c>
      <c r="I1033" t="s">
        <v>2114</v>
      </c>
      <c r="J1033" t="s">
        <v>2109</v>
      </c>
      <c r="K1033">
        <v>124.11</v>
      </c>
      <c r="L1033">
        <f t="shared" si="32"/>
        <v>12411</v>
      </c>
      <c r="M1033">
        <f t="shared" si="33"/>
        <v>2482.2000000000003</v>
      </c>
    </row>
    <row r="1034" spans="1:13" x14ac:dyDescent="0.3">
      <c r="A1034">
        <v>1033</v>
      </c>
      <c r="B1034" t="s">
        <v>1238</v>
      </c>
      <c r="C1034" s="1">
        <v>42196</v>
      </c>
      <c r="D1034" s="1">
        <v>42200</v>
      </c>
      <c r="E1034" t="s">
        <v>2118</v>
      </c>
      <c r="F1034" t="s">
        <v>491</v>
      </c>
      <c r="G1034" t="s">
        <v>492</v>
      </c>
      <c r="H1034" t="s">
        <v>10</v>
      </c>
      <c r="I1034" t="s">
        <v>2114</v>
      </c>
      <c r="J1034" t="s">
        <v>2110</v>
      </c>
      <c r="K1034">
        <v>14.4</v>
      </c>
      <c r="L1034">
        <f t="shared" si="32"/>
        <v>1440</v>
      </c>
      <c r="M1034">
        <f t="shared" si="33"/>
        <v>288</v>
      </c>
    </row>
    <row r="1035" spans="1:13" x14ac:dyDescent="0.3">
      <c r="A1035">
        <v>1034</v>
      </c>
      <c r="B1035" t="s">
        <v>1239</v>
      </c>
      <c r="C1035" s="1">
        <v>43059</v>
      </c>
      <c r="D1035" s="1">
        <v>43061</v>
      </c>
      <c r="E1035" t="s">
        <v>2120</v>
      </c>
      <c r="F1035" t="s">
        <v>1240</v>
      </c>
      <c r="G1035" t="s">
        <v>1241</v>
      </c>
      <c r="H1035" t="s">
        <v>6</v>
      </c>
      <c r="I1035" t="s">
        <v>2114</v>
      </c>
      <c r="J1035" t="s">
        <v>2110</v>
      </c>
      <c r="K1035">
        <v>15.696</v>
      </c>
      <c r="L1035">
        <f t="shared" si="32"/>
        <v>1569.6</v>
      </c>
      <c r="M1035">
        <f t="shared" si="33"/>
        <v>313.92</v>
      </c>
    </row>
    <row r="1036" spans="1:13" x14ac:dyDescent="0.3">
      <c r="A1036">
        <v>1035</v>
      </c>
      <c r="B1036" t="s">
        <v>1239</v>
      </c>
      <c r="C1036" s="1">
        <v>43059</v>
      </c>
      <c r="D1036" s="1">
        <v>43061</v>
      </c>
      <c r="E1036" t="s">
        <v>2120</v>
      </c>
      <c r="F1036" t="s">
        <v>1240</v>
      </c>
      <c r="G1036" t="s">
        <v>1241</v>
      </c>
      <c r="H1036" t="s">
        <v>6</v>
      </c>
      <c r="I1036" t="s">
        <v>2114</v>
      </c>
      <c r="J1036" t="s">
        <v>2110</v>
      </c>
      <c r="K1036">
        <v>2.6280000000000001</v>
      </c>
      <c r="L1036">
        <f t="shared" si="32"/>
        <v>262.8</v>
      </c>
      <c r="M1036">
        <f t="shared" si="33"/>
        <v>52.56</v>
      </c>
    </row>
    <row r="1037" spans="1:13" x14ac:dyDescent="0.3">
      <c r="A1037">
        <v>1036</v>
      </c>
      <c r="B1037" t="s">
        <v>1239</v>
      </c>
      <c r="C1037" s="1">
        <v>43059</v>
      </c>
      <c r="D1037" s="1">
        <v>43061</v>
      </c>
      <c r="E1037" t="s">
        <v>2120</v>
      </c>
      <c r="F1037" t="s">
        <v>1240</v>
      </c>
      <c r="G1037" t="s">
        <v>1241</v>
      </c>
      <c r="H1037" t="s">
        <v>6</v>
      </c>
      <c r="I1037" t="s">
        <v>2114</v>
      </c>
      <c r="J1037" t="s">
        <v>2110</v>
      </c>
      <c r="K1037">
        <v>14.427</v>
      </c>
      <c r="L1037">
        <f t="shared" si="32"/>
        <v>1442.7</v>
      </c>
      <c r="M1037">
        <f t="shared" si="33"/>
        <v>288.54000000000002</v>
      </c>
    </row>
    <row r="1038" spans="1:13" x14ac:dyDescent="0.3">
      <c r="A1038">
        <v>1037</v>
      </c>
      <c r="B1038" t="s">
        <v>1242</v>
      </c>
      <c r="C1038" s="1">
        <v>42847</v>
      </c>
      <c r="D1038" s="1">
        <v>42851</v>
      </c>
      <c r="E1038" t="s">
        <v>2118</v>
      </c>
      <c r="F1038" t="s">
        <v>1086</v>
      </c>
      <c r="G1038" t="s">
        <v>1087</v>
      </c>
      <c r="H1038" t="s">
        <v>26</v>
      </c>
      <c r="I1038" t="s">
        <v>2117</v>
      </c>
      <c r="J1038" t="s">
        <v>2109</v>
      </c>
      <c r="K1038">
        <v>86.62</v>
      </c>
      <c r="L1038">
        <f t="shared" si="32"/>
        <v>8662</v>
      </c>
      <c r="M1038">
        <f t="shared" si="33"/>
        <v>1732.4</v>
      </c>
    </row>
    <row r="1039" spans="1:13" x14ac:dyDescent="0.3">
      <c r="A1039">
        <v>1038</v>
      </c>
      <c r="B1039" t="s">
        <v>1243</v>
      </c>
      <c r="C1039" s="1">
        <v>42534</v>
      </c>
      <c r="D1039" s="1">
        <v>42535</v>
      </c>
      <c r="E1039" t="s">
        <v>2120</v>
      </c>
      <c r="F1039" t="s">
        <v>1244</v>
      </c>
      <c r="G1039" t="s">
        <v>1245</v>
      </c>
      <c r="H1039" t="s">
        <v>6</v>
      </c>
      <c r="I1039" t="s">
        <v>2112</v>
      </c>
      <c r="J1039" t="s">
        <v>2110</v>
      </c>
      <c r="K1039">
        <v>36.624000000000002</v>
      </c>
      <c r="L1039">
        <f t="shared" si="32"/>
        <v>3662.4</v>
      </c>
      <c r="M1039">
        <f t="shared" si="33"/>
        <v>732.48</v>
      </c>
    </row>
    <row r="1040" spans="1:13" x14ac:dyDescent="0.3">
      <c r="A1040">
        <v>1039</v>
      </c>
      <c r="B1040" t="s">
        <v>1246</v>
      </c>
      <c r="C1040" s="1">
        <v>43424</v>
      </c>
      <c r="D1040" s="1">
        <v>43425</v>
      </c>
      <c r="E1040" t="s">
        <v>2120</v>
      </c>
      <c r="F1040" t="s">
        <v>1247</v>
      </c>
      <c r="G1040" t="s">
        <v>1248</v>
      </c>
      <c r="H1040" t="s">
        <v>6</v>
      </c>
      <c r="I1040" t="s">
        <v>2115</v>
      </c>
      <c r="J1040" t="s">
        <v>2110</v>
      </c>
      <c r="K1040">
        <v>23.968</v>
      </c>
      <c r="L1040">
        <f t="shared" si="32"/>
        <v>2396.8000000000002</v>
      </c>
      <c r="M1040">
        <f t="shared" si="33"/>
        <v>479.36000000000007</v>
      </c>
    </row>
    <row r="1041" spans="1:13" x14ac:dyDescent="0.3">
      <c r="A1041">
        <v>1040</v>
      </c>
      <c r="B1041" t="s">
        <v>1246</v>
      </c>
      <c r="C1041" s="1">
        <v>43424</v>
      </c>
      <c r="D1041" s="1">
        <v>43425</v>
      </c>
      <c r="E1041" t="s">
        <v>2120</v>
      </c>
      <c r="F1041" t="s">
        <v>1247</v>
      </c>
      <c r="G1041" t="s">
        <v>1248</v>
      </c>
      <c r="H1041" t="s">
        <v>6</v>
      </c>
      <c r="I1041" t="s">
        <v>2115</v>
      </c>
      <c r="J1041" t="s">
        <v>2110</v>
      </c>
      <c r="K1041">
        <v>28.728000000000002</v>
      </c>
      <c r="L1041">
        <f t="shared" si="32"/>
        <v>2872.8</v>
      </c>
      <c r="M1041">
        <f t="shared" si="33"/>
        <v>574.56000000000006</v>
      </c>
    </row>
    <row r="1042" spans="1:13" x14ac:dyDescent="0.3">
      <c r="A1042">
        <v>1041</v>
      </c>
      <c r="B1042" t="s">
        <v>1249</v>
      </c>
      <c r="C1042" s="1">
        <v>42814</v>
      </c>
      <c r="D1042" s="1">
        <v>42818</v>
      </c>
      <c r="E1042" t="s">
        <v>2118</v>
      </c>
      <c r="F1042" t="s">
        <v>1250</v>
      </c>
      <c r="G1042" t="s">
        <v>1251</v>
      </c>
      <c r="H1042" t="s">
        <v>26</v>
      </c>
      <c r="I1042" t="s">
        <v>2117</v>
      </c>
      <c r="J1042" t="s">
        <v>2109</v>
      </c>
      <c r="K1042">
        <v>697.16</v>
      </c>
      <c r="L1042">
        <f t="shared" si="32"/>
        <v>69716</v>
      </c>
      <c r="M1042">
        <f t="shared" si="33"/>
        <v>13943.2</v>
      </c>
    </row>
    <row r="1043" spans="1:13" x14ac:dyDescent="0.3">
      <c r="A1043">
        <v>1042</v>
      </c>
      <c r="B1043" t="s">
        <v>1252</v>
      </c>
      <c r="C1043" s="1">
        <v>42984</v>
      </c>
      <c r="D1043" s="1">
        <v>42987</v>
      </c>
      <c r="E1043" t="s">
        <v>2119</v>
      </c>
      <c r="F1043" t="s">
        <v>1253</v>
      </c>
      <c r="G1043" t="s">
        <v>1254</v>
      </c>
      <c r="H1043" t="s">
        <v>6</v>
      </c>
      <c r="I1043" t="s">
        <v>2114</v>
      </c>
      <c r="J1043" t="s">
        <v>2111</v>
      </c>
      <c r="K1043">
        <v>31.86</v>
      </c>
      <c r="L1043">
        <f t="shared" si="32"/>
        <v>3186</v>
      </c>
      <c r="M1043">
        <f t="shared" si="33"/>
        <v>637.20000000000005</v>
      </c>
    </row>
    <row r="1044" spans="1:13" x14ac:dyDescent="0.3">
      <c r="A1044">
        <v>1043</v>
      </c>
      <c r="B1044" t="s">
        <v>1252</v>
      </c>
      <c r="C1044" s="1">
        <v>42984</v>
      </c>
      <c r="D1044" s="1">
        <v>42987</v>
      </c>
      <c r="E1044" t="s">
        <v>2119</v>
      </c>
      <c r="F1044" t="s">
        <v>1253</v>
      </c>
      <c r="G1044" t="s">
        <v>1254</v>
      </c>
      <c r="H1044" t="s">
        <v>6</v>
      </c>
      <c r="I1044" t="s">
        <v>2114</v>
      </c>
      <c r="J1044" t="s">
        <v>2109</v>
      </c>
      <c r="K1044">
        <v>722.35199999999998</v>
      </c>
      <c r="L1044">
        <f t="shared" si="32"/>
        <v>72235.199999999997</v>
      </c>
      <c r="M1044">
        <f t="shared" si="33"/>
        <v>14447.04</v>
      </c>
    </row>
    <row r="1045" spans="1:13" x14ac:dyDescent="0.3">
      <c r="A1045">
        <v>1044</v>
      </c>
      <c r="B1045" t="s">
        <v>1255</v>
      </c>
      <c r="C1045" s="1">
        <v>43290</v>
      </c>
      <c r="D1045" s="1">
        <v>43293</v>
      </c>
      <c r="E1045" t="s">
        <v>2120</v>
      </c>
      <c r="F1045" t="s">
        <v>1256</v>
      </c>
      <c r="G1045" t="s">
        <v>1257</v>
      </c>
      <c r="H1045" t="s">
        <v>10</v>
      </c>
      <c r="I1045" t="s">
        <v>2117</v>
      </c>
      <c r="J1045" t="s">
        <v>2110</v>
      </c>
      <c r="K1045">
        <v>8.84</v>
      </c>
      <c r="L1045">
        <f t="shared" si="32"/>
        <v>884</v>
      </c>
      <c r="M1045">
        <f t="shared" si="33"/>
        <v>176.8</v>
      </c>
    </row>
    <row r="1046" spans="1:13" x14ac:dyDescent="0.3">
      <c r="A1046">
        <v>1045</v>
      </c>
      <c r="B1046" t="s">
        <v>1255</v>
      </c>
      <c r="C1046" s="1">
        <v>43290</v>
      </c>
      <c r="D1046" s="1">
        <v>43293</v>
      </c>
      <c r="E1046" t="s">
        <v>2120</v>
      </c>
      <c r="F1046" t="s">
        <v>1256</v>
      </c>
      <c r="G1046" t="s">
        <v>1257</v>
      </c>
      <c r="H1046" t="s">
        <v>10</v>
      </c>
      <c r="I1046" t="s">
        <v>2117</v>
      </c>
      <c r="J1046" t="s">
        <v>2110</v>
      </c>
      <c r="K1046">
        <v>58.463999999999999</v>
      </c>
      <c r="L1046">
        <f t="shared" si="32"/>
        <v>5846.4</v>
      </c>
      <c r="M1046">
        <f t="shared" si="33"/>
        <v>1169.28</v>
      </c>
    </row>
    <row r="1047" spans="1:13" x14ac:dyDescent="0.3">
      <c r="A1047">
        <v>1046</v>
      </c>
      <c r="B1047" t="s">
        <v>1258</v>
      </c>
      <c r="C1047" s="1">
        <v>43385</v>
      </c>
      <c r="D1047" s="1">
        <v>43389</v>
      </c>
      <c r="E1047" t="s">
        <v>2118</v>
      </c>
      <c r="F1047" t="s">
        <v>58</v>
      </c>
      <c r="G1047" t="s">
        <v>59</v>
      </c>
      <c r="H1047" t="s">
        <v>26</v>
      </c>
      <c r="I1047" t="s">
        <v>2117</v>
      </c>
      <c r="J1047" t="s">
        <v>2109</v>
      </c>
      <c r="K1047">
        <v>254.60400000000001</v>
      </c>
      <c r="L1047">
        <f t="shared" si="32"/>
        <v>25460.400000000001</v>
      </c>
      <c r="M1047">
        <f t="shared" si="33"/>
        <v>5092.0800000000008</v>
      </c>
    </row>
    <row r="1048" spans="1:13" x14ac:dyDescent="0.3">
      <c r="A1048">
        <v>1047</v>
      </c>
      <c r="B1048" t="s">
        <v>1259</v>
      </c>
      <c r="C1048" s="1">
        <v>42802</v>
      </c>
      <c r="D1048" s="1">
        <v>42807</v>
      </c>
      <c r="E1048" t="s">
        <v>2118</v>
      </c>
      <c r="F1048" t="s">
        <v>748</v>
      </c>
      <c r="G1048" t="s">
        <v>749</v>
      </c>
      <c r="H1048" t="s">
        <v>6</v>
      </c>
      <c r="I1048" t="s">
        <v>2115</v>
      </c>
      <c r="J1048" t="s">
        <v>2111</v>
      </c>
      <c r="K1048">
        <v>1363.96</v>
      </c>
      <c r="L1048">
        <f t="shared" si="32"/>
        <v>136396</v>
      </c>
      <c r="M1048">
        <f t="shared" si="33"/>
        <v>27279.200000000001</v>
      </c>
    </row>
    <row r="1049" spans="1:13" x14ac:dyDescent="0.3">
      <c r="A1049">
        <v>1048</v>
      </c>
      <c r="B1049" t="s">
        <v>1259</v>
      </c>
      <c r="C1049" s="1">
        <v>42802</v>
      </c>
      <c r="D1049" s="1">
        <v>42807</v>
      </c>
      <c r="E1049" t="s">
        <v>2118</v>
      </c>
      <c r="F1049" t="s">
        <v>748</v>
      </c>
      <c r="G1049" t="s">
        <v>749</v>
      </c>
      <c r="H1049" t="s">
        <v>6</v>
      </c>
      <c r="I1049" t="s">
        <v>2115</v>
      </c>
      <c r="J1049" t="s">
        <v>2109</v>
      </c>
      <c r="K1049">
        <v>102.36</v>
      </c>
      <c r="L1049">
        <f t="shared" si="32"/>
        <v>10236</v>
      </c>
      <c r="M1049">
        <f t="shared" si="33"/>
        <v>2047.2</v>
      </c>
    </row>
    <row r="1050" spans="1:13" x14ac:dyDescent="0.3">
      <c r="A1050">
        <v>1049</v>
      </c>
      <c r="B1050" t="s">
        <v>1260</v>
      </c>
      <c r="C1050" s="1">
        <v>42151</v>
      </c>
      <c r="D1050" s="1">
        <v>42156</v>
      </c>
      <c r="E1050" t="s">
        <v>2119</v>
      </c>
      <c r="F1050" t="s">
        <v>196</v>
      </c>
      <c r="G1050" t="s">
        <v>197</v>
      </c>
      <c r="H1050" t="s">
        <v>6</v>
      </c>
      <c r="I1050" t="s">
        <v>2112</v>
      </c>
      <c r="J1050" t="s">
        <v>2111</v>
      </c>
      <c r="K1050">
        <v>1113.5039999999999</v>
      </c>
      <c r="L1050">
        <f t="shared" si="32"/>
        <v>111350.39999999999</v>
      </c>
      <c r="M1050">
        <f t="shared" si="33"/>
        <v>22270.080000000002</v>
      </c>
    </row>
    <row r="1051" spans="1:13" x14ac:dyDescent="0.3">
      <c r="A1051">
        <v>1050</v>
      </c>
      <c r="B1051" t="s">
        <v>1260</v>
      </c>
      <c r="C1051" s="1">
        <v>42151</v>
      </c>
      <c r="D1051" s="1">
        <v>42156</v>
      </c>
      <c r="E1051" t="s">
        <v>2119</v>
      </c>
      <c r="F1051" t="s">
        <v>196</v>
      </c>
      <c r="G1051" t="s">
        <v>197</v>
      </c>
      <c r="H1051" t="s">
        <v>6</v>
      </c>
      <c r="I1051" t="s">
        <v>2112</v>
      </c>
      <c r="J1051" t="s">
        <v>2111</v>
      </c>
      <c r="K1051">
        <v>99.99</v>
      </c>
      <c r="L1051">
        <f t="shared" si="32"/>
        <v>9999</v>
      </c>
      <c r="M1051">
        <f t="shared" si="33"/>
        <v>1999.8000000000002</v>
      </c>
    </row>
    <row r="1052" spans="1:13" x14ac:dyDescent="0.3">
      <c r="A1052">
        <v>1051</v>
      </c>
      <c r="B1052" t="s">
        <v>1261</v>
      </c>
      <c r="C1052" s="1">
        <v>42554</v>
      </c>
      <c r="D1052" s="1">
        <v>42556</v>
      </c>
      <c r="E1052" t="s">
        <v>2120</v>
      </c>
      <c r="F1052" t="s">
        <v>1262</v>
      </c>
      <c r="G1052" t="s">
        <v>1263</v>
      </c>
      <c r="H1052" t="s">
        <v>10</v>
      </c>
      <c r="I1052" t="s">
        <v>2114</v>
      </c>
      <c r="J1052" t="s">
        <v>2109</v>
      </c>
      <c r="K1052">
        <v>168.464</v>
      </c>
      <c r="L1052">
        <f t="shared" si="32"/>
        <v>16846.400000000001</v>
      </c>
      <c r="M1052">
        <f t="shared" si="33"/>
        <v>3369.2800000000007</v>
      </c>
    </row>
    <row r="1053" spans="1:13" x14ac:dyDescent="0.3">
      <c r="A1053">
        <v>1052</v>
      </c>
      <c r="B1053" t="s">
        <v>1261</v>
      </c>
      <c r="C1053" s="1">
        <v>42554</v>
      </c>
      <c r="D1053" s="1">
        <v>42556</v>
      </c>
      <c r="E1053" t="s">
        <v>2120</v>
      </c>
      <c r="F1053" t="s">
        <v>1262</v>
      </c>
      <c r="G1053" t="s">
        <v>1263</v>
      </c>
      <c r="H1053" t="s">
        <v>10</v>
      </c>
      <c r="I1053" t="s">
        <v>2114</v>
      </c>
      <c r="J1053" t="s">
        <v>2110</v>
      </c>
      <c r="K1053">
        <v>6.72</v>
      </c>
      <c r="L1053">
        <f t="shared" si="32"/>
        <v>672</v>
      </c>
      <c r="M1053">
        <f t="shared" si="33"/>
        <v>134.4</v>
      </c>
    </row>
    <row r="1054" spans="1:13" x14ac:dyDescent="0.3">
      <c r="A1054">
        <v>1053</v>
      </c>
      <c r="B1054" t="s">
        <v>1261</v>
      </c>
      <c r="C1054" s="1">
        <v>42554</v>
      </c>
      <c r="D1054" s="1">
        <v>42556</v>
      </c>
      <c r="E1054" t="s">
        <v>2120</v>
      </c>
      <c r="F1054" t="s">
        <v>1262</v>
      </c>
      <c r="G1054" t="s">
        <v>1263</v>
      </c>
      <c r="H1054" t="s">
        <v>10</v>
      </c>
      <c r="I1054" t="s">
        <v>2114</v>
      </c>
      <c r="J1054" t="s">
        <v>2109</v>
      </c>
      <c r="K1054">
        <v>282.88799999999998</v>
      </c>
      <c r="L1054">
        <f t="shared" si="32"/>
        <v>28288.799999999999</v>
      </c>
      <c r="M1054">
        <f t="shared" si="33"/>
        <v>5657.76</v>
      </c>
    </row>
    <row r="1055" spans="1:13" x14ac:dyDescent="0.3">
      <c r="A1055">
        <v>1054</v>
      </c>
      <c r="B1055" t="s">
        <v>1264</v>
      </c>
      <c r="C1055" s="1">
        <v>42464</v>
      </c>
      <c r="D1055" s="1">
        <v>42468</v>
      </c>
      <c r="E1055" t="s">
        <v>2118</v>
      </c>
      <c r="F1055" t="s">
        <v>1265</v>
      </c>
      <c r="G1055" t="s">
        <v>1266</v>
      </c>
      <c r="H1055" t="s">
        <v>26</v>
      </c>
      <c r="I1055" t="s">
        <v>2114</v>
      </c>
      <c r="J1055" t="s">
        <v>2110</v>
      </c>
      <c r="K1055">
        <v>11.16</v>
      </c>
      <c r="L1055">
        <f t="shared" si="32"/>
        <v>1116</v>
      </c>
      <c r="M1055">
        <f t="shared" si="33"/>
        <v>223.20000000000002</v>
      </c>
    </row>
    <row r="1056" spans="1:13" x14ac:dyDescent="0.3">
      <c r="A1056">
        <v>1055</v>
      </c>
      <c r="B1056" t="s">
        <v>1264</v>
      </c>
      <c r="C1056" s="1">
        <v>42464</v>
      </c>
      <c r="D1056" s="1">
        <v>42468</v>
      </c>
      <c r="E1056" t="s">
        <v>2118</v>
      </c>
      <c r="F1056" t="s">
        <v>1265</v>
      </c>
      <c r="G1056" t="s">
        <v>1266</v>
      </c>
      <c r="H1056" t="s">
        <v>26</v>
      </c>
      <c r="I1056" t="s">
        <v>2114</v>
      </c>
      <c r="J1056" t="s">
        <v>2109</v>
      </c>
      <c r="K1056">
        <v>108.4</v>
      </c>
      <c r="L1056">
        <f t="shared" si="32"/>
        <v>10840</v>
      </c>
      <c r="M1056">
        <f t="shared" si="33"/>
        <v>2168</v>
      </c>
    </row>
    <row r="1057" spans="1:13" x14ac:dyDescent="0.3">
      <c r="A1057">
        <v>1056</v>
      </c>
      <c r="B1057" t="s">
        <v>1264</v>
      </c>
      <c r="C1057" s="1">
        <v>42464</v>
      </c>
      <c r="D1057" s="1">
        <v>42468</v>
      </c>
      <c r="E1057" t="s">
        <v>2118</v>
      </c>
      <c r="F1057" t="s">
        <v>1265</v>
      </c>
      <c r="G1057" t="s">
        <v>1266</v>
      </c>
      <c r="H1057" t="s">
        <v>26</v>
      </c>
      <c r="I1057" t="s">
        <v>2114</v>
      </c>
      <c r="J1057" t="s">
        <v>2110</v>
      </c>
      <c r="K1057">
        <v>82.343999999999994</v>
      </c>
      <c r="L1057">
        <f t="shared" si="32"/>
        <v>8234.4</v>
      </c>
      <c r="M1057">
        <f t="shared" si="33"/>
        <v>1646.88</v>
      </c>
    </row>
    <row r="1058" spans="1:13" x14ac:dyDescent="0.3">
      <c r="A1058">
        <v>1057</v>
      </c>
      <c r="B1058" t="s">
        <v>1264</v>
      </c>
      <c r="C1058" s="1">
        <v>42464</v>
      </c>
      <c r="D1058" s="1">
        <v>42468</v>
      </c>
      <c r="E1058" t="s">
        <v>2118</v>
      </c>
      <c r="F1058" t="s">
        <v>1265</v>
      </c>
      <c r="G1058" t="s">
        <v>1266</v>
      </c>
      <c r="H1058" t="s">
        <v>26</v>
      </c>
      <c r="I1058" t="s">
        <v>2114</v>
      </c>
      <c r="J1058" t="s">
        <v>2110</v>
      </c>
      <c r="K1058">
        <v>9.0879999999999992</v>
      </c>
      <c r="L1058">
        <f t="shared" si="32"/>
        <v>908.8</v>
      </c>
      <c r="M1058">
        <f t="shared" si="33"/>
        <v>181.76</v>
      </c>
    </row>
    <row r="1059" spans="1:13" x14ac:dyDescent="0.3">
      <c r="A1059">
        <v>1058</v>
      </c>
      <c r="B1059" t="s">
        <v>1267</v>
      </c>
      <c r="C1059" s="1">
        <v>43444</v>
      </c>
      <c r="D1059" s="1">
        <v>43451</v>
      </c>
      <c r="E1059" t="s">
        <v>2118</v>
      </c>
      <c r="F1059" t="s">
        <v>409</v>
      </c>
      <c r="G1059" t="s">
        <v>410</v>
      </c>
      <c r="H1059" t="s">
        <v>10</v>
      </c>
      <c r="I1059" t="s">
        <v>2112</v>
      </c>
      <c r="J1059" t="s">
        <v>2110</v>
      </c>
      <c r="K1059">
        <v>19.936</v>
      </c>
      <c r="L1059">
        <f t="shared" si="32"/>
        <v>1993.6</v>
      </c>
      <c r="M1059">
        <f t="shared" si="33"/>
        <v>398.72</v>
      </c>
    </row>
    <row r="1060" spans="1:13" x14ac:dyDescent="0.3">
      <c r="A1060">
        <v>1059</v>
      </c>
      <c r="B1060" t="s">
        <v>1267</v>
      </c>
      <c r="C1060" s="1">
        <v>43444</v>
      </c>
      <c r="D1060" s="1">
        <v>43451</v>
      </c>
      <c r="E1060" t="s">
        <v>2118</v>
      </c>
      <c r="F1060" t="s">
        <v>409</v>
      </c>
      <c r="G1060" t="s">
        <v>410</v>
      </c>
      <c r="H1060" t="s">
        <v>10</v>
      </c>
      <c r="I1060" t="s">
        <v>2112</v>
      </c>
      <c r="J1060" t="s">
        <v>2110</v>
      </c>
      <c r="K1060">
        <v>65.567999999999998</v>
      </c>
      <c r="L1060">
        <f t="shared" si="32"/>
        <v>6556.8</v>
      </c>
      <c r="M1060">
        <f t="shared" si="33"/>
        <v>1311.3600000000001</v>
      </c>
    </row>
    <row r="1061" spans="1:13" x14ac:dyDescent="0.3">
      <c r="A1061">
        <v>1060</v>
      </c>
      <c r="B1061" t="s">
        <v>1268</v>
      </c>
      <c r="C1061" s="1">
        <v>43063</v>
      </c>
      <c r="D1061" s="1">
        <v>43070</v>
      </c>
      <c r="E1061" t="s">
        <v>2118</v>
      </c>
      <c r="F1061" t="s">
        <v>1269</v>
      </c>
      <c r="G1061" t="s">
        <v>1270</v>
      </c>
      <c r="H1061" t="s">
        <v>26</v>
      </c>
      <c r="I1061" t="s">
        <v>2114</v>
      </c>
      <c r="J1061" t="s">
        <v>2110</v>
      </c>
      <c r="K1061">
        <v>4.4160000000000004</v>
      </c>
      <c r="L1061">
        <f t="shared" si="32"/>
        <v>441.6</v>
      </c>
      <c r="M1061">
        <f t="shared" si="33"/>
        <v>88.320000000000007</v>
      </c>
    </row>
    <row r="1062" spans="1:13" x14ac:dyDescent="0.3">
      <c r="A1062">
        <v>1061</v>
      </c>
      <c r="B1062" t="s">
        <v>1271</v>
      </c>
      <c r="C1062" s="1">
        <v>42452</v>
      </c>
      <c r="D1062" s="1">
        <v>42458</v>
      </c>
      <c r="E1062" t="s">
        <v>2118</v>
      </c>
      <c r="F1062" t="s">
        <v>467</v>
      </c>
      <c r="G1062" t="s">
        <v>468</v>
      </c>
      <c r="H1062" t="s">
        <v>6</v>
      </c>
      <c r="I1062" t="s">
        <v>2117</v>
      </c>
      <c r="J1062" t="s">
        <v>2109</v>
      </c>
      <c r="K1062">
        <v>107.77200000000001</v>
      </c>
      <c r="L1062">
        <f t="shared" si="32"/>
        <v>10777.2</v>
      </c>
      <c r="M1062">
        <f t="shared" si="33"/>
        <v>2155.44</v>
      </c>
    </row>
    <row r="1063" spans="1:13" x14ac:dyDescent="0.3">
      <c r="A1063">
        <v>1062</v>
      </c>
      <c r="B1063" t="s">
        <v>1272</v>
      </c>
      <c r="C1063" s="1">
        <v>42476</v>
      </c>
      <c r="D1063" s="1">
        <v>42481</v>
      </c>
      <c r="E1063" t="s">
        <v>2118</v>
      </c>
      <c r="F1063" t="s">
        <v>1273</v>
      </c>
      <c r="G1063" t="s">
        <v>1274</v>
      </c>
      <c r="H1063" t="s">
        <v>10</v>
      </c>
      <c r="I1063" t="s">
        <v>2114</v>
      </c>
      <c r="J1063" t="s">
        <v>2110</v>
      </c>
      <c r="K1063">
        <v>45.216000000000001</v>
      </c>
      <c r="L1063">
        <f t="shared" si="32"/>
        <v>4521.6000000000004</v>
      </c>
      <c r="M1063">
        <f t="shared" si="33"/>
        <v>904.32000000000016</v>
      </c>
    </row>
    <row r="1064" spans="1:13" x14ac:dyDescent="0.3">
      <c r="A1064">
        <v>1063</v>
      </c>
      <c r="B1064" t="s">
        <v>1272</v>
      </c>
      <c r="C1064" s="1">
        <v>42476</v>
      </c>
      <c r="D1064" s="1">
        <v>42481</v>
      </c>
      <c r="E1064" t="s">
        <v>2118</v>
      </c>
      <c r="F1064" t="s">
        <v>1273</v>
      </c>
      <c r="G1064" t="s">
        <v>1274</v>
      </c>
      <c r="H1064" t="s">
        <v>10</v>
      </c>
      <c r="I1064" t="s">
        <v>2114</v>
      </c>
      <c r="J1064" t="s">
        <v>2110</v>
      </c>
      <c r="K1064">
        <v>10.416</v>
      </c>
      <c r="L1064">
        <f t="shared" si="32"/>
        <v>1041.6000000000001</v>
      </c>
      <c r="M1064">
        <f t="shared" si="33"/>
        <v>208.32000000000005</v>
      </c>
    </row>
    <row r="1065" spans="1:13" x14ac:dyDescent="0.3">
      <c r="A1065">
        <v>1064</v>
      </c>
      <c r="B1065" t="s">
        <v>1272</v>
      </c>
      <c r="C1065" s="1">
        <v>42476</v>
      </c>
      <c r="D1065" s="1">
        <v>42481</v>
      </c>
      <c r="E1065" t="s">
        <v>2118</v>
      </c>
      <c r="F1065" t="s">
        <v>1273</v>
      </c>
      <c r="G1065" t="s">
        <v>1274</v>
      </c>
      <c r="H1065" t="s">
        <v>10</v>
      </c>
      <c r="I1065" t="s">
        <v>2114</v>
      </c>
      <c r="J1065" t="s">
        <v>2110</v>
      </c>
      <c r="K1065">
        <v>7.8719999999999999</v>
      </c>
      <c r="L1065">
        <f t="shared" si="32"/>
        <v>787.2</v>
      </c>
      <c r="M1065">
        <f t="shared" si="33"/>
        <v>157.44000000000003</v>
      </c>
    </row>
    <row r="1066" spans="1:13" x14ac:dyDescent="0.3">
      <c r="A1066">
        <v>1065</v>
      </c>
      <c r="B1066" t="s">
        <v>1272</v>
      </c>
      <c r="C1066" s="1">
        <v>42476</v>
      </c>
      <c r="D1066" s="1">
        <v>42481</v>
      </c>
      <c r="E1066" t="s">
        <v>2118</v>
      </c>
      <c r="F1066" t="s">
        <v>1273</v>
      </c>
      <c r="G1066" t="s">
        <v>1274</v>
      </c>
      <c r="H1066" t="s">
        <v>10</v>
      </c>
      <c r="I1066" t="s">
        <v>2114</v>
      </c>
      <c r="J1066" t="s">
        <v>2111</v>
      </c>
      <c r="K1066">
        <v>118.782</v>
      </c>
      <c r="L1066">
        <f t="shared" si="32"/>
        <v>11878.199999999999</v>
      </c>
      <c r="M1066">
        <f t="shared" si="33"/>
        <v>2375.64</v>
      </c>
    </row>
    <row r="1067" spans="1:13" x14ac:dyDescent="0.3">
      <c r="A1067">
        <v>1066</v>
      </c>
      <c r="B1067" t="s">
        <v>1272</v>
      </c>
      <c r="C1067" s="1">
        <v>42476</v>
      </c>
      <c r="D1067" s="1">
        <v>42481</v>
      </c>
      <c r="E1067" t="s">
        <v>2118</v>
      </c>
      <c r="F1067" t="s">
        <v>1273</v>
      </c>
      <c r="G1067" t="s">
        <v>1274</v>
      </c>
      <c r="H1067" t="s">
        <v>10</v>
      </c>
      <c r="I1067" t="s">
        <v>2114</v>
      </c>
      <c r="J1067" t="s">
        <v>2110</v>
      </c>
      <c r="K1067">
        <v>1.448</v>
      </c>
      <c r="L1067">
        <f t="shared" si="32"/>
        <v>144.79999999999998</v>
      </c>
      <c r="M1067">
        <f t="shared" si="33"/>
        <v>28.959999999999997</v>
      </c>
    </row>
    <row r="1068" spans="1:13" x14ac:dyDescent="0.3">
      <c r="A1068">
        <v>1067</v>
      </c>
      <c r="B1068" t="s">
        <v>1272</v>
      </c>
      <c r="C1068" s="1">
        <v>42476</v>
      </c>
      <c r="D1068" s="1">
        <v>42481</v>
      </c>
      <c r="E1068" t="s">
        <v>2118</v>
      </c>
      <c r="F1068" t="s">
        <v>1273</v>
      </c>
      <c r="G1068" t="s">
        <v>1274</v>
      </c>
      <c r="H1068" t="s">
        <v>10</v>
      </c>
      <c r="I1068" t="s">
        <v>2114</v>
      </c>
      <c r="J1068" t="s">
        <v>2110</v>
      </c>
      <c r="K1068">
        <v>55.47</v>
      </c>
      <c r="L1068">
        <f t="shared" si="32"/>
        <v>5547</v>
      </c>
      <c r="M1068">
        <f t="shared" si="33"/>
        <v>1109.4000000000001</v>
      </c>
    </row>
    <row r="1069" spans="1:13" x14ac:dyDescent="0.3">
      <c r="A1069">
        <v>1068</v>
      </c>
      <c r="B1069" t="s">
        <v>1275</v>
      </c>
      <c r="C1069" s="1">
        <v>43009</v>
      </c>
      <c r="D1069" s="1">
        <v>43010</v>
      </c>
      <c r="E1069" t="s">
        <v>2120</v>
      </c>
      <c r="F1069" t="s">
        <v>1276</v>
      </c>
      <c r="G1069" t="s">
        <v>1277</v>
      </c>
      <c r="H1069" t="s">
        <v>6</v>
      </c>
      <c r="I1069" t="s">
        <v>2112</v>
      </c>
      <c r="J1069" t="s">
        <v>2109</v>
      </c>
      <c r="K1069">
        <v>194.84800000000001</v>
      </c>
      <c r="L1069">
        <f t="shared" si="32"/>
        <v>19484.800000000003</v>
      </c>
      <c r="M1069">
        <f t="shared" si="33"/>
        <v>3896.9600000000009</v>
      </c>
    </row>
    <row r="1070" spans="1:13" x14ac:dyDescent="0.3">
      <c r="A1070">
        <v>1069</v>
      </c>
      <c r="B1070" t="s">
        <v>1278</v>
      </c>
      <c r="C1070" s="1">
        <v>43371</v>
      </c>
      <c r="D1070" s="1">
        <v>43373</v>
      </c>
      <c r="E1070" t="s">
        <v>2119</v>
      </c>
      <c r="F1070" t="s">
        <v>1279</v>
      </c>
      <c r="G1070" t="s">
        <v>1280</v>
      </c>
      <c r="H1070" t="s">
        <v>6</v>
      </c>
      <c r="I1070" t="s">
        <v>2117</v>
      </c>
      <c r="J1070" t="s">
        <v>2110</v>
      </c>
      <c r="K1070">
        <v>1.744</v>
      </c>
      <c r="L1070">
        <f t="shared" si="32"/>
        <v>174.4</v>
      </c>
      <c r="M1070">
        <f t="shared" si="33"/>
        <v>34.880000000000003</v>
      </c>
    </row>
    <row r="1071" spans="1:13" x14ac:dyDescent="0.3">
      <c r="A1071">
        <v>1070</v>
      </c>
      <c r="B1071" t="s">
        <v>1281</v>
      </c>
      <c r="C1071" s="1">
        <v>42576</v>
      </c>
      <c r="D1071" s="1">
        <v>42580</v>
      </c>
      <c r="E1071" t="s">
        <v>2118</v>
      </c>
      <c r="F1071" t="s">
        <v>557</v>
      </c>
      <c r="G1071" t="s">
        <v>558</v>
      </c>
      <c r="H1071" t="s">
        <v>26</v>
      </c>
      <c r="I1071" t="s">
        <v>2114</v>
      </c>
      <c r="J1071" t="s">
        <v>2110</v>
      </c>
      <c r="K1071">
        <v>25.175999999999998</v>
      </c>
      <c r="L1071">
        <f t="shared" si="32"/>
        <v>2517.6</v>
      </c>
      <c r="M1071">
        <f t="shared" si="33"/>
        <v>503.52</v>
      </c>
    </row>
    <row r="1072" spans="1:13" x14ac:dyDescent="0.3">
      <c r="A1072">
        <v>1071</v>
      </c>
      <c r="B1072" t="s">
        <v>1282</v>
      </c>
      <c r="C1072" s="1">
        <v>42694</v>
      </c>
      <c r="D1072" s="1">
        <v>42700</v>
      </c>
      <c r="E1072" t="s">
        <v>2118</v>
      </c>
      <c r="F1072" t="s">
        <v>1283</v>
      </c>
      <c r="G1072" t="s">
        <v>1284</v>
      </c>
      <c r="H1072" t="s">
        <v>26</v>
      </c>
      <c r="I1072" t="s">
        <v>2112</v>
      </c>
      <c r="J1072" t="s">
        <v>2110</v>
      </c>
      <c r="K1072">
        <v>19.46</v>
      </c>
      <c r="L1072">
        <f t="shared" si="32"/>
        <v>1946</v>
      </c>
      <c r="M1072">
        <f t="shared" si="33"/>
        <v>389.20000000000005</v>
      </c>
    </row>
    <row r="1073" spans="1:13" x14ac:dyDescent="0.3">
      <c r="A1073">
        <v>1072</v>
      </c>
      <c r="B1073" t="s">
        <v>1285</v>
      </c>
      <c r="C1073" s="1">
        <v>42853</v>
      </c>
      <c r="D1073" s="1">
        <v>42857</v>
      </c>
      <c r="E1073" t="s">
        <v>2118</v>
      </c>
      <c r="F1073" t="s">
        <v>1286</v>
      </c>
      <c r="G1073" t="s">
        <v>1287</v>
      </c>
      <c r="H1073" t="s">
        <v>26</v>
      </c>
      <c r="I1073" t="s">
        <v>2112</v>
      </c>
      <c r="J1073" t="s">
        <v>2110</v>
      </c>
      <c r="K1073">
        <v>29.472000000000001</v>
      </c>
      <c r="L1073">
        <f t="shared" si="32"/>
        <v>2947.2000000000003</v>
      </c>
      <c r="M1073">
        <f t="shared" si="33"/>
        <v>589.44000000000005</v>
      </c>
    </row>
    <row r="1074" spans="1:13" x14ac:dyDescent="0.3">
      <c r="A1074">
        <v>1073</v>
      </c>
      <c r="B1074" t="s">
        <v>1288</v>
      </c>
      <c r="C1074" s="1">
        <v>43418</v>
      </c>
      <c r="D1074" s="1">
        <v>43423</v>
      </c>
      <c r="E1074" t="s">
        <v>2118</v>
      </c>
      <c r="F1074" t="s">
        <v>1289</v>
      </c>
      <c r="G1074" t="s">
        <v>1290</v>
      </c>
      <c r="H1074" t="s">
        <v>6</v>
      </c>
      <c r="I1074" t="s">
        <v>2114</v>
      </c>
      <c r="J1074" t="s">
        <v>2110</v>
      </c>
      <c r="K1074">
        <v>8.64</v>
      </c>
      <c r="L1074">
        <f t="shared" si="32"/>
        <v>864</v>
      </c>
      <c r="M1074">
        <f t="shared" si="33"/>
        <v>172.8</v>
      </c>
    </row>
    <row r="1075" spans="1:13" x14ac:dyDescent="0.3">
      <c r="A1075">
        <v>1074</v>
      </c>
      <c r="B1075" t="s">
        <v>1291</v>
      </c>
      <c r="C1075" s="1">
        <v>43051</v>
      </c>
      <c r="D1075" s="1">
        <v>43058</v>
      </c>
      <c r="E1075" t="s">
        <v>2118</v>
      </c>
      <c r="F1075" t="s">
        <v>1292</v>
      </c>
      <c r="G1075" t="s">
        <v>1293</v>
      </c>
      <c r="H1075" t="s">
        <v>6</v>
      </c>
      <c r="I1075" t="s">
        <v>2112</v>
      </c>
      <c r="J1075" t="s">
        <v>2110</v>
      </c>
      <c r="K1075">
        <v>6.27</v>
      </c>
      <c r="L1075">
        <f t="shared" si="32"/>
        <v>627</v>
      </c>
      <c r="M1075">
        <f t="shared" si="33"/>
        <v>125.4</v>
      </c>
    </row>
    <row r="1076" spans="1:13" x14ac:dyDescent="0.3">
      <c r="A1076">
        <v>1075</v>
      </c>
      <c r="B1076" t="s">
        <v>1291</v>
      </c>
      <c r="C1076" s="1">
        <v>43051</v>
      </c>
      <c r="D1076" s="1">
        <v>43058</v>
      </c>
      <c r="E1076" t="s">
        <v>2118</v>
      </c>
      <c r="F1076" t="s">
        <v>1292</v>
      </c>
      <c r="G1076" t="s">
        <v>1293</v>
      </c>
      <c r="H1076" t="s">
        <v>6</v>
      </c>
      <c r="I1076" t="s">
        <v>2112</v>
      </c>
      <c r="J1076" t="s">
        <v>2110</v>
      </c>
      <c r="K1076">
        <v>4.3680000000000003</v>
      </c>
      <c r="L1076">
        <f t="shared" si="32"/>
        <v>436.8</v>
      </c>
      <c r="M1076">
        <f t="shared" si="33"/>
        <v>87.360000000000014</v>
      </c>
    </row>
    <row r="1077" spans="1:13" x14ac:dyDescent="0.3">
      <c r="A1077">
        <v>1076</v>
      </c>
      <c r="B1077" t="s">
        <v>1291</v>
      </c>
      <c r="C1077" s="1">
        <v>43051</v>
      </c>
      <c r="D1077" s="1">
        <v>43058</v>
      </c>
      <c r="E1077" t="s">
        <v>2118</v>
      </c>
      <c r="F1077" t="s">
        <v>1292</v>
      </c>
      <c r="G1077" t="s">
        <v>1293</v>
      </c>
      <c r="H1077" t="s">
        <v>6</v>
      </c>
      <c r="I1077" t="s">
        <v>2112</v>
      </c>
      <c r="J1077" t="s">
        <v>2111</v>
      </c>
      <c r="K1077">
        <v>31.984000000000002</v>
      </c>
      <c r="L1077">
        <f t="shared" si="32"/>
        <v>3198.4</v>
      </c>
      <c r="M1077">
        <f t="shared" si="33"/>
        <v>639.68000000000006</v>
      </c>
    </row>
    <row r="1078" spans="1:13" x14ac:dyDescent="0.3">
      <c r="A1078">
        <v>1077</v>
      </c>
      <c r="B1078" t="s">
        <v>1294</v>
      </c>
      <c r="C1078" s="1">
        <v>43007</v>
      </c>
      <c r="D1078" s="1">
        <v>43008</v>
      </c>
      <c r="E1078" t="s">
        <v>2120</v>
      </c>
      <c r="F1078" t="s">
        <v>1295</v>
      </c>
      <c r="G1078" t="s">
        <v>1296</v>
      </c>
      <c r="H1078" t="s">
        <v>26</v>
      </c>
      <c r="I1078" t="s">
        <v>2117</v>
      </c>
      <c r="J1078" t="s">
        <v>2110</v>
      </c>
      <c r="K1078">
        <v>40.880000000000003</v>
      </c>
      <c r="L1078">
        <f t="shared" si="32"/>
        <v>4088.0000000000005</v>
      </c>
      <c r="M1078">
        <f t="shared" si="33"/>
        <v>817.60000000000014</v>
      </c>
    </row>
    <row r="1079" spans="1:13" x14ac:dyDescent="0.3">
      <c r="A1079">
        <v>1078</v>
      </c>
      <c r="B1079" t="s">
        <v>1297</v>
      </c>
      <c r="C1079" s="1">
        <v>43366</v>
      </c>
      <c r="D1079" s="1">
        <v>43368</v>
      </c>
      <c r="E1079" t="s">
        <v>2119</v>
      </c>
      <c r="F1079" t="s">
        <v>1298</v>
      </c>
      <c r="G1079" t="s">
        <v>1299</v>
      </c>
      <c r="H1079" t="s">
        <v>6</v>
      </c>
      <c r="I1079" t="s">
        <v>2112</v>
      </c>
      <c r="J1079" t="s">
        <v>2110</v>
      </c>
      <c r="K1079">
        <v>119.96</v>
      </c>
      <c r="L1079">
        <f t="shared" si="32"/>
        <v>11996</v>
      </c>
      <c r="M1079">
        <f t="shared" si="33"/>
        <v>2399.2000000000003</v>
      </c>
    </row>
    <row r="1080" spans="1:13" x14ac:dyDescent="0.3">
      <c r="A1080">
        <v>1079</v>
      </c>
      <c r="B1080" t="s">
        <v>1297</v>
      </c>
      <c r="C1080" s="1">
        <v>43366</v>
      </c>
      <c r="D1080" s="1">
        <v>43368</v>
      </c>
      <c r="E1080" t="s">
        <v>2119</v>
      </c>
      <c r="F1080" t="s">
        <v>1298</v>
      </c>
      <c r="G1080" t="s">
        <v>1299</v>
      </c>
      <c r="H1080" t="s">
        <v>6</v>
      </c>
      <c r="I1080" t="s">
        <v>2112</v>
      </c>
      <c r="J1080" t="s">
        <v>2110</v>
      </c>
      <c r="K1080">
        <v>31.44</v>
      </c>
      <c r="L1080">
        <f t="shared" si="32"/>
        <v>3144</v>
      </c>
      <c r="M1080">
        <f t="shared" si="33"/>
        <v>628.80000000000007</v>
      </c>
    </row>
    <row r="1081" spans="1:13" x14ac:dyDescent="0.3">
      <c r="A1081">
        <v>1080</v>
      </c>
      <c r="B1081" t="s">
        <v>1297</v>
      </c>
      <c r="C1081" s="1">
        <v>43366</v>
      </c>
      <c r="D1081" s="1">
        <v>43368</v>
      </c>
      <c r="E1081" t="s">
        <v>2119</v>
      </c>
      <c r="F1081" t="s">
        <v>1298</v>
      </c>
      <c r="G1081" t="s">
        <v>1299</v>
      </c>
      <c r="H1081" t="s">
        <v>6</v>
      </c>
      <c r="I1081" t="s">
        <v>2112</v>
      </c>
      <c r="J1081" t="s">
        <v>2110</v>
      </c>
      <c r="K1081">
        <v>6.88</v>
      </c>
      <c r="L1081">
        <f t="shared" si="32"/>
        <v>688</v>
      </c>
      <c r="M1081">
        <f t="shared" si="33"/>
        <v>137.6</v>
      </c>
    </row>
    <row r="1082" spans="1:13" x14ac:dyDescent="0.3">
      <c r="A1082">
        <v>1081</v>
      </c>
      <c r="B1082" t="s">
        <v>1300</v>
      </c>
      <c r="C1082" s="1">
        <v>42703</v>
      </c>
      <c r="D1082" s="1">
        <v>42708</v>
      </c>
      <c r="E1082" t="s">
        <v>2118</v>
      </c>
      <c r="F1082" t="s">
        <v>1301</v>
      </c>
      <c r="G1082" t="s">
        <v>1302</v>
      </c>
      <c r="H1082" t="s">
        <v>10</v>
      </c>
      <c r="I1082" t="s">
        <v>2117</v>
      </c>
      <c r="J1082" t="s">
        <v>2110</v>
      </c>
      <c r="K1082">
        <v>19.920000000000002</v>
      </c>
      <c r="L1082">
        <f t="shared" si="32"/>
        <v>1992.0000000000002</v>
      </c>
      <c r="M1082">
        <f t="shared" si="33"/>
        <v>398.40000000000009</v>
      </c>
    </row>
    <row r="1083" spans="1:13" x14ac:dyDescent="0.3">
      <c r="A1083">
        <v>1082</v>
      </c>
      <c r="B1083" t="s">
        <v>1300</v>
      </c>
      <c r="C1083" s="1">
        <v>42703</v>
      </c>
      <c r="D1083" s="1">
        <v>42708</v>
      </c>
      <c r="E1083" t="s">
        <v>2118</v>
      </c>
      <c r="F1083" t="s">
        <v>1301</v>
      </c>
      <c r="G1083" t="s">
        <v>1302</v>
      </c>
      <c r="H1083" t="s">
        <v>10</v>
      </c>
      <c r="I1083" t="s">
        <v>2117</v>
      </c>
      <c r="J1083" t="s">
        <v>2109</v>
      </c>
      <c r="K1083">
        <v>1106.9100000000001</v>
      </c>
      <c r="L1083">
        <f t="shared" si="32"/>
        <v>110691.00000000001</v>
      </c>
      <c r="M1083">
        <f t="shared" si="33"/>
        <v>22138.200000000004</v>
      </c>
    </row>
    <row r="1084" spans="1:13" x14ac:dyDescent="0.3">
      <c r="A1084">
        <v>1083</v>
      </c>
      <c r="B1084" t="s">
        <v>1303</v>
      </c>
      <c r="C1084" s="1">
        <v>42795</v>
      </c>
      <c r="D1084" s="1">
        <v>42799</v>
      </c>
      <c r="E1084" t="s">
        <v>2118</v>
      </c>
      <c r="F1084" t="s">
        <v>97</v>
      </c>
      <c r="G1084" t="s">
        <v>98</v>
      </c>
      <c r="H1084" t="s">
        <v>6</v>
      </c>
      <c r="I1084" t="s">
        <v>2114</v>
      </c>
      <c r="J1084" t="s">
        <v>2109</v>
      </c>
      <c r="K1084">
        <v>836.59199999999998</v>
      </c>
      <c r="L1084">
        <f t="shared" si="32"/>
        <v>83659.199999999997</v>
      </c>
      <c r="M1084">
        <f t="shared" si="33"/>
        <v>16731.84</v>
      </c>
    </row>
    <row r="1085" spans="1:13" x14ac:dyDescent="0.3">
      <c r="A1085">
        <v>1084</v>
      </c>
      <c r="B1085" t="s">
        <v>1303</v>
      </c>
      <c r="C1085" s="1">
        <v>42795</v>
      </c>
      <c r="D1085" s="1">
        <v>42799</v>
      </c>
      <c r="E1085" t="s">
        <v>2118</v>
      </c>
      <c r="F1085" t="s">
        <v>97</v>
      </c>
      <c r="G1085" t="s">
        <v>98</v>
      </c>
      <c r="H1085" t="s">
        <v>6</v>
      </c>
      <c r="I1085" t="s">
        <v>2114</v>
      </c>
      <c r="J1085" t="s">
        <v>2110</v>
      </c>
      <c r="K1085">
        <v>26.38</v>
      </c>
      <c r="L1085">
        <f t="shared" si="32"/>
        <v>2638</v>
      </c>
      <c r="M1085">
        <f t="shared" si="33"/>
        <v>527.6</v>
      </c>
    </row>
    <row r="1086" spans="1:13" x14ac:dyDescent="0.3">
      <c r="A1086">
        <v>1085</v>
      </c>
      <c r="B1086" t="s">
        <v>1303</v>
      </c>
      <c r="C1086" s="1">
        <v>42795</v>
      </c>
      <c r="D1086" s="1">
        <v>42799</v>
      </c>
      <c r="E1086" t="s">
        <v>2118</v>
      </c>
      <c r="F1086" t="s">
        <v>97</v>
      </c>
      <c r="G1086" t="s">
        <v>98</v>
      </c>
      <c r="H1086" t="s">
        <v>6</v>
      </c>
      <c r="I1086" t="s">
        <v>2114</v>
      </c>
      <c r="J1086" t="s">
        <v>2110</v>
      </c>
      <c r="K1086">
        <v>362.92</v>
      </c>
      <c r="L1086">
        <f t="shared" si="32"/>
        <v>36292</v>
      </c>
      <c r="M1086">
        <f t="shared" si="33"/>
        <v>7258.4000000000005</v>
      </c>
    </row>
    <row r="1087" spans="1:13" x14ac:dyDescent="0.3">
      <c r="A1087">
        <v>1086</v>
      </c>
      <c r="B1087" t="s">
        <v>1303</v>
      </c>
      <c r="C1087" s="1">
        <v>42795</v>
      </c>
      <c r="D1087" s="1">
        <v>42799</v>
      </c>
      <c r="E1087" t="s">
        <v>2118</v>
      </c>
      <c r="F1087" t="s">
        <v>97</v>
      </c>
      <c r="G1087" t="s">
        <v>98</v>
      </c>
      <c r="H1087" t="s">
        <v>6</v>
      </c>
      <c r="I1087" t="s">
        <v>2114</v>
      </c>
      <c r="J1087" t="s">
        <v>2111</v>
      </c>
      <c r="K1087">
        <v>4899.93</v>
      </c>
      <c r="L1087">
        <f t="shared" si="32"/>
        <v>489993</v>
      </c>
      <c r="M1087">
        <f t="shared" si="33"/>
        <v>97998.6</v>
      </c>
    </row>
    <row r="1088" spans="1:13" x14ac:dyDescent="0.3">
      <c r="A1088">
        <v>1087</v>
      </c>
      <c r="B1088" t="s">
        <v>1304</v>
      </c>
      <c r="C1088" s="1">
        <v>42959</v>
      </c>
      <c r="D1088" s="1">
        <v>42959</v>
      </c>
      <c r="E1088" t="s">
        <v>2120</v>
      </c>
      <c r="F1088" t="s">
        <v>154</v>
      </c>
      <c r="G1088" t="s">
        <v>155</v>
      </c>
      <c r="H1088" t="s">
        <v>6</v>
      </c>
      <c r="I1088" t="s">
        <v>2117</v>
      </c>
      <c r="J1088" t="s">
        <v>2110</v>
      </c>
      <c r="K1088">
        <v>6.48</v>
      </c>
      <c r="L1088">
        <f t="shared" si="32"/>
        <v>648</v>
      </c>
      <c r="M1088">
        <f t="shared" si="33"/>
        <v>129.6</v>
      </c>
    </row>
    <row r="1089" spans="1:13" x14ac:dyDescent="0.3">
      <c r="A1089">
        <v>1088</v>
      </c>
      <c r="B1089" t="s">
        <v>1305</v>
      </c>
      <c r="C1089" s="1">
        <v>42962</v>
      </c>
      <c r="D1089" s="1">
        <v>42967</v>
      </c>
      <c r="E1089" t="s">
        <v>2119</v>
      </c>
      <c r="F1089" t="s">
        <v>1306</v>
      </c>
      <c r="G1089" t="s">
        <v>1307</v>
      </c>
      <c r="H1089" t="s">
        <v>10</v>
      </c>
      <c r="I1089" t="s">
        <v>2112</v>
      </c>
      <c r="J1089" t="s">
        <v>2111</v>
      </c>
      <c r="K1089">
        <v>71.975999999999999</v>
      </c>
      <c r="L1089">
        <f t="shared" si="32"/>
        <v>7197.6</v>
      </c>
      <c r="M1089">
        <f t="shared" si="33"/>
        <v>1439.5200000000002</v>
      </c>
    </row>
    <row r="1090" spans="1:13" x14ac:dyDescent="0.3">
      <c r="A1090">
        <v>1089</v>
      </c>
      <c r="B1090" t="s">
        <v>1305</v>
      </c>
      <c r="C1090" s="1">
        <v>42962</v>
      </c>
      <c r="D1090" s="1">
        <v>42967</v>
      </c>
      <c r="E1090" t="s">
        <v>2119</v>
      </c>
      <c r="F1090" t="s">
        <v>1306</v>
      </c>
      <c r="G1090" t="s">
        <v>1307</v>
      </c>
      <c r="H1090" t="s">
        <v>10</v>
      </c>
      <c r="I1090" t="s">
        <v>2112</v>
      </c>
      <c r="J1090" t="s">
        <v>2110</v>
      </c>
      <c r="K1090">
        <v>3.15</v>
      </c>
      <c r="L1090">
        <f t="shared" ref="L1090:L1153" si="34">K1090*100</f>
        <v>315</v>
      </c>
      <c r="M1090">
        <f t="shared" si="33"/>
        <v>63</v>
      </c>
    </row>
    <row r="1091" spans="1:13" x14ac:dyDescent="0.3">
      <c r="A1091">
        <v>1090</v>
      </c>
      <c r="B1091" t="s">
        <v>1308</v>
      </c>
      <c r="C1091" s="1">
        <v>43255</v>
      </c>
      <c r="D1091" s="1">
        <v>43261</v>
      </c>
      <c r="E1091" t="s">
        <v>2118</v>
      </c>
      <c r="F1091" t="s">
        <v>1168</v>
      </c>
      <c r="G1091" t="s">
        <v>1169</v>
      </c>
      <c r="H1091" t="s">
        <v>10</v>
      </c>
      <c r="I1091" t="s">
        <v>2115</v>
      </c>
      <c r="J1091" t="s">
        <v>2109</v>
      </c>
      <c r="K1091">
        <v>31.984000000000002</v>
      </c>
      <c r="L1091">
        <f t="shared" si="34"/>
        <v>3198.4</v>
      </c>
      <c r="M1091">
        <f t="shared" ref="M1091:M1154" si="35">L1091*0.2</f>
        <v>639.68000000000006</v>
      </c>
    </row>
    <row r="1092" spans="1:13" x14ac:dyDescent="0.3">
      <c r="A1092">
        <v>1091</v>
      </c>
      <c r="B1092" t="s">
        <v>1308</v>
      </c>
      <c r="C1092" s="1">
        <v>43255</v>
      </c>
      <c r="D1092" s="1">
        <v>43261</v>
      </c>
      <c r="E1092" t="s">
        <v>2118</v>
      </c>
      <c r="F1092" t="s">
        <v>1168</v>
      </c>
      <c r="G1092" t="s">
        <v>1169</v>
      </c>
      <c r="H1092" t="s">
        <v>10</v>
      </c>
      <c r="I1092" t="s">
        <v>2115</v>
      </c>
      <c r="J1092" t="s">
        <v>2111</v>
      </c>
      <c r="K1092">
        <v>71.983999999999995</v>
      </c>
      <c r="L1092">
        <f t="shared" si="34"/>
        <v>7198.4</v>
      </c>
      <c r="M1092">
        <f t="shared" si="35"/>
        <v>1439.68</v>
      </c>
    </row>
    <row r="1093" spans="1:13" x14ac:dyDescent="0.3">
      <c r="A1093">
        <v>1092</v>
      </c>
      <c r="B1093" t="s">
        <v>1309</v>
      </c>
      <c r="C1093" s="1">
        <v>42710</v>
      </c>
      <c r="D1093" s="1">
        <v>42717</v>
      </c>
      <c r="E1093" t="s">
        <v>2118</v>
      </c>
      <c r="F1093" t="s">
        <v>863</v>
      </c>
      <c r="G1093" t="s">
        <v>864</v>
      </c>
      <c r="H1093" t="s">
        <v>6</v>
      </c>
      <c r="I1093" t="s">
        <v>2112</v>
      </c>
      <c r="J1093" t="s">
        <v>2110</v>
      </c>
      <c r="K1093">
        <v>120.15</v>
      </c>
      <c r="L1093">
        <f t="shared" si="34"/>
        <v>12015</v>
      </c>
      <c r="M1093">
        <f t="shared" si="35"/>
        <v>2403</v>
      </c>
    </row>
    <row r="1094" spans="1:13" x14ac:dyDescent="0.3">
      <c r="A1094">
        <v>1093</v>
      </c>
      <c r="B1094" t="s">
        <v>1309</v>
      </c>
      <c r="C1094" s="1">
        <v>42710</v>
      </c>
      <c r="D1094" s="1">
        <v>42717</v>
      </c>
      <c r="E1094" t="s">
        <v>2118</v>
      </c>
      <c r="F1094" t="s">
        <v>863</v>
      </c>
      <c r="G1094" t="s">
        <v>864</v>
      </c>
      <c r="H1094" t="s">
        <v>6</v>
      </c>
      <c r="I1094" t="s">
        <v>2112</v>
      </c>
      <c r="J1094" t="s">
        <v>2111</v>
      </c>
      <c r="K1094">
        <v>219.184</v>
      </c>
      <c r="L1094">
        <f t="shared" si="34"/>
        <v>21918.400000000001</v>
      </c>
      <c r="M1094">
        <f t="shared" si="35"/>
        <v>4383.68</v>
      </c>
    </row>
    <row r="1095" spans="1:13" x14ac:dyDescent="0.3">
      <c r="A1095">
        <v>1094</v>
      </c>
      <c r="B1095" t="s">
        <v>1310</v>
      </c>
      <c r="C1095" s="1">
        <v>42731</v>
      </c>
      <c r="D1095" s="1">
        <v>42735</v>
      </c>
      <c r="E1095" t="s">
        <v>2118</v>
      </c>
      <c r="F1095" t="s">
        <v>1311</v>
      </c>
      <c r="G1095" t="s">
        <v>1312</v>
      </c>
      <c r="H1095" t="s">
        <v>26</v>
      </c>
      <c r="I1095" t="s">
        <v>2114</v>
      </c>
      <c r="J1095" t="s">
        <v>2110</v>
      </c>
      <c r="K1095">
        <v>28.9</v>
      </c>
      <c r="L1095">
        <f t="shared" si="34"/>
        <v>2890</v>
      </c>
      <c r="M1095">
        <f t="shared" si="35"/>
        <v>578</v>
      </c>
    </row>
    <row r="1096" spans="1:13" x14ac:dyDescent="0.3">
      <c r="A1096">
        <v>1095</v>
      </c>
      <c r="B1096" t="s">
        <v>1310</v>
      </c>
      <c r="C1096" s="1">
        <v>42731</v>
      </c>
      <c r="D1096" s="1">
        <v>42735</v>
      </c>
      <c r="E1096" t="s">
        <v>2118</v>
      </c>
      <c r="F1096" t="s">
        <v>1311</v>
      </c>
      <c r="G1096" t="s">
        <v>1312</v>
      </c>
      <c r="H1096" t="s">
        <v>26</v>
      </c>
      <c r="I1096" t="s">
        <v>2114</v>
      </c>
      <c r="J1096" t="s">
        <v>2110</v>
      </c>
      <c r="K1096">
        <v>355.96</v>
      </c>
      <c r="L1096">
        <f t="shared" si="34"/>
        <v>35596</v>
      </c>
      <c r="M1096">
        <f t="shared" si="35"/>
        <v>7119.2000000000007</v>
      </c>
    </row>
    <row r="1097" spans="1:13" x14ac:dyDescent="0.3">
      <c r="A1097">
        <v>1096</v>
      </c>
      <c r="B1097" t="s">
        <v>1313</v>
      </c>
      <c r="C1097" s="1">
        <v>43121</v>
      </c>
      <c r="D1097" s="1">
        <v>43126</v>
      </c>
      <c r="E1097" t="s">
        <v>2118</v>
      </c>
      <c r="F1097" t="s">
        <v>1314</v>
      </c>
      <c r="G1097" t="s">
        <v>1315</v>
      </c>
      <c r="H1097" t="s">
        <v>26</v>
      </c>
      <c r="I1097" t="s">
        <v>2115</v>
      </c>
      <c r="J1097" t="s">
        <v>2110</v>
      </c>
      <c r="K1097">
        <v>348.20800000000003</v>
      </c>
      <c r="L1097">
        <f t="shared" si="34"/>
        <v>34820.800000000003</v>
      </c>
      <c r="M1097">
        <f t="shared" si="35"/>
        <v>6964.1600000000008</v>
      </c>
    </row>
    <row r="1098" spans="1:13" x14ac:dyDescent="0.3">
      <c r="A1098">
        <v>1097</v>
      </c>
      <c r="B1098" t="s">
        <v>1313</v>
      </c>
      <c r="C1098" s="1">
        <v>43121</v>
      </c>
      <c r="D1098" s="1">
        <v>43126</v>
      </c>
      <c r="E1098" t="s">
        <v>2118</v>
      </c>
      <c r="F1098" t="s">
        <v>1314</v>
      </c>
      <c r="G1098" t="s">
        <v>1315</v>
      </c>
      <c r="H1098" t="s">
        <v>26</v>
      </c>
      <c r="I1098" t="s">
        <v>2115</v>
      </c>
      <c r="J1098" t="s">
        <v>2110</v>
      </c>
      <c r="K1098">
        <v>35.783999999999999</v>
      </c>
      <c r="L1098">
        <f t="shared" si="34"/>
        <v>3578.4</v>
      </c>
      <c r="M1098">
        <f t="shared" si="35"/>
        <v>715.68000000000006</v>
      </c>
    </row>
    <row r="1099" spans="1:13" x14ac:dyDescent="0.3">
      <c r="A1099">
        <v>1098</v>
      </c>
      <c r="B1099" t="s">
        <v>1316</v>
      </c>
      <c r="C1099" s="1">
        <v>42180</v>
      </c>
      <c r="D1099" s="1">
        <v>42183</v>
      </c>
      <c r="E1099" t="s">
        <v>2120</v>
      </c>
      <c r="F1099" t="s">
        <v>1256</v>
      </c>
      <c r="G1099" t="s">
        <v>1257</v>
      </c>
      <c r="H1099" t="s">
        <v>10</v>
      </c>
      <c r="I1099" t="s">
        <v>2112</v>
      </c>
      <c r="J1099" t="s">
        <v>2109</v>
      </c>
      <c r="K1099">
        <v>447.84</v>
      </c>
      <c r="L1099">
        <f t="shared" si="34"/>
        <v>44784</v>
      </c>
      <c r="M1099">
        <f t="shared" si="35"/>
        <v>8956.8000000000011</v>
      </c>
    </row>
    <row r="1100" spans="1:13" x14ac:dyDescent="0.3">
      <c r="A1100">
        <v>1099</v>
      </c>
      <c r="B1100" t="s">
        <v>1317</v>
      </c>
      <c r="C1100" s="1">
        <v>42900</v>
      </c>
      <c r="D1100" s="1">
        <v>42903</v>
      </c>
      <c r="E1100" t="s">
        <v>2120</v>
      </c>
      <c r="F1100" t="s">
        <v>1318</v>
      </c>
      <c r="G1100" t="s">
        <v>1319</v>
      </c>
      <c r="H1100" t="s">
        <v>26</v>
      </c>
      <c r="I1100" t="s">
        <v>2112</v>
      </c>
      <c r="J1100" t="s">
        <v>2110</v>
      </c>
      <c r="K1100">
        <v>7.04</v>
      </c>
      <c r="L1100">
        <f t="shared" si="34"/>
        <v>704</v>
      </c>
      <c r="M1100">
        <f t="shared" si="35"/>
        <v>140.80000000000001</v>
      </c>
    </row>
    <row r="1101" spans="1:13" x14ac:dyDescent="0.3">
      <c r="A1101">
        <v>1100</v>
      </c>
      <c r="B1101" t="s">
        <v>1317</v>
      </c>
      <c r="C1101" s="1">
        <v>42900</v>
      </c>
      <c r="D1101" s="1">
        <v>42903</v>
      </c>
      <c r="E1101" t="s">
        <v>2120</v>
      </c>
      <c r="F1101" t="s">
        <v>1318</v>
      </c>
      <c r="G1101" t="s">
        <v>1319</v>
      </c>
      <c r="H1101" t="s">
        <v>26</v>
      </c>
      <c r="I1101" t="s">
        <v>2112</v>
      </c>
      <c r="J1101" t="s">
        <v>2109</v>
      </c>
      <c r="K1101">
        <v>8.73</v>
      </c>
      <c r="L1101">
        <f t="shared" si="34"/>
        <v>873</v>
      </c>
      <c r="M1101">
        <f t="shared" si="35"/>
        <v>174.60000000000002</v>
      </c>
    </row>
    <row r="1102" spans="1:13" x14ac:dyDescent="0.3">
      <c r="A1102">
        <v>1101</v>
      </c>
      <c r="B1102" t="s">
        <v>1317</v>
      </c>
      <c r="C1102" s="1">
        <v>42900</v>
      </c>
      <c r="D1102" s="1">
        <v>42903</v>
      </c>
      <c r="E1102" t="s">
        <v>2120</v>
      </c>
      <c r="F1102" t="s">
        <v>1318</v>
      </c>
      <c r="G1102" t="s">
        <v>1319</v>
      </c>
      <c r="H1102" t="s">
        <v>26</v>
      </c>
      <c r="I1102" t="s">
        <v>2112</v>
      </c>
      <c r="J1102" t="s">
        <v>2111</v>
      </c>
      <c r="K1102">
        <v>29.29</v>
      </c>
      <c r="L1102">
        <f t="shared" si="34"/>
        <v>2929</v>
      </c>
      <c r="M1102">
        <f t="shared" si="35"/>
        <v>585.80000000000007</v>
      </c>
    </row>
    <row r="1103" spans="1:13" x14ac:dyDescent="0.3">
      <c r="A1103">
        <v>1102</v>
      </c>
      <c r="B1103" t="s">
        <v>1317</v>
      </c>
      <c r="C1103" s="1">
        <v>42900</v>
      </c>
      <c r="D1103" s="1">
        <v>42903</v>
      </c>
      <c r="E1103" t="s">
        <v>2120</v>
      </c>
      <c r="F1103" t="s">
        <v>1318</v>
      </c>
      <c r="G1103" t="s">
        <v>1319</v>
      </c>
      <c r="H1103" t="s">
        <v>26</v>
      </c>
      <c r="I1103" t="s">
        <v>2112</v>
      </c>
      <c r="J1103" t="s">
        <v>2110</v>
      </c>
      <c r="K1103">
        <v>8.64</v>
      </c>
      <c r="L1103">
        <f t="shared" si="34"/>
        <v>864</v>
      </c>
      <c r="M1103">
        <f t="shared" si="35"/>
        <v>172.8</v>
      </c>
    </row>
    <row r="1104" spans="1:13" x14ac:dyDescent="0.3">
      <c r="A1104">
        <v>1103</v>
      </c>
      <c r="B1104" t="s">
        <v>1320</v>
      </c>
      <c r="C1104" s="1">
        <v>43211</v>
      </c>
      <c r="D1104" s="1">
        <v>43217</v>
      </c>
      <c r="E1104" t="s">
        <v>2118</v>
      </c>
      <c r="F1104" t="s">
        <v>840</v>
      </c>
      <c r="G1104" t="s">
        <v>841</v>
      </c>
      <c r="H1104" t="s">
        <v>6</v>
      </c>
      <c r="I1104" t="s">
        <v>2117</v>
      </c>
      <c r="J1104" t="s">
        <v>2110</v>
      </c>
      <c r="K1104">
        <v>2.694</v>
      </c>
      <c r="L1104">
        <f t="shared" si="34"/>
        <v>269.39999999999998</v>
      </c>
      <c r="M1104">
        <f t="shared" si="35"/>
        <v>53.879999999999995</v>
      </c>
    </row>
    <row r="1105" spans="1:13" x14ac:dyDescent="0.3">
      <c r="A1105">
        <v>1104</v>
      </c>
      <c r="B1105" t="s">
        <v>1320</v>
      </c>
      <c r="C1105" s="1">
        <v>43211</v>
      </c>
      <c r="D1105" s="1">
        <v>43217</v>
      </c>
      <c r="E1105" t="s">
        <v>2118</v>
      </c>
      <c r="F1105" t="s">
        <v>840</v>
      </c>
      <c r="G1105" t="s">
        <v>841</v>
      </c>
      <c r="H1105" t="s">
        <v>6</v>
      </c>
      <c r="I1105" t="s">
        <v>2117</v>
      </c>
      <c r="J1105" t="s">
        <v>2110</v>
      </c>
      <c r="K1105">
        <v>2.9340000000000002</v>
      </c>
      <c r="L1105">
        <f t="shared" si="34"/>
        <v>293.40000000000003</v>
      </c>
      <c r="M1105">
        <f t="shared" si="35"/>
        <v>58.680000000000007</v>
      </c>
    </row>
    <row r="1106" spans="1:13" x14ac:dyDescent="0.3">
      <c r="A1106">
        <v>1105</v>
      </c>
      <c r="B1106" t="s">
        <v>1321</v>
      </c>
      <c r="C1106" s="1">
        <v>43029</v>
      </c>
      <c r="D1106" s="1">
        <v>43035</v>
      </c>
      <c r="E1106" t="s">
        <v>2118</v>
      </c>
      <c r="F1106" t="s">
        <v>1322</v>
      </c>
      <c r="G1106" t="s">
        <v>1323</v>
      </c>
      <c r="H1106" t="s">
        <v>6</v>
      </c>
      <c r="I1106" t="s">
        <v>2112</v>
      </c>
      <c r="J1106" t="s">
        <v>2110</v>
      </c>
      <c r="K1106">
        <v>22.92</v>
      </c>
      <c r="L1106">
        <f t="shared" si="34"/>
        <v>2292</v>
      </c>
      <c r="M1106">
        <f t="shared" si="35"/>
        <v>458.40000000000003</v>
      </c>
    </row>
    <row r="1107" spans="1:13" x14ac:dyDescent="0.3">
      <c r="A1107">
        <v>1106</v>
      </c>
      <c r="B1107" t="s">
        <v>1324</v>
      </c>
      <c r="C1107" s="1">
        <v>43058</v>
      </c>
      <c r="D1107" s="1">
        <v>43063</v>
      </c>
      <c r="E1107" t="s">
        <v>2118</v>
      </c>
      <c r="F1107" t="s">
        <v>46</v>
      </c>
      <c r="G1107" t="s">
        <v>47</v>
      </c>
      <c r="H1107" t="s">
        <v>6</v>
      </c>
      <c r="I1107" t="s">
        <v>2117</v>
      </c>
      <c r="J1107" t="s">
        <v>2110</v>
      </c>
      <c r="K1107">
        <v>100.70399999999999</v>
      </c>
      <c r="L1107">
        <f t="shared" si="34"/>
        <v>10070.4</v>
      </c>
      <c r="M1107">
        <f t="shared" si="35"/>
        <v>2014.08</v>
      </c>
    </row>
    <row r="1108" spans="1:13" x14ac:dyDescent="0.3">
      <c r="A1108">
        <v>1107</v>
      </c>
      <c r="B1108" t="s">
        <v>1324</v>
      </c>
      <c r="C1108" s="1">
        <v>43058</v>
      </c>
      <c r="D1108" s="1">
        <v>43063</v>
      </c>
      <c r="E1108" t="s">
        <v>2118</v>
      </c>
      <c r="F1108" t="s">
        <v>46</v>
      </c>
      <c r="G1108" t="s">
        <v>47</v>
      </c>
      <c r="H1108" t="s">
        <v>6</v>
      </c>
      <c r="I1108" t="s">
        <v>2117</v>
      </c>
      <c r="J1108" t="s">
        <v>2109</v>
      </c>
      <c r="K1108">
        <v>2.3279999999999998</v>
      </c>
      <c r="L1108">
        <f t="shared" si="34"/>
        <v>232.79999999999998</v>
      </c>
      <c r="M1108">
        <f t="shared" si="35"/>
        <v>46.56</v>
      </c>
    </row>
    <row r="1109" spans="1:13" x14ac:dyDescent="0.3">
      <c r="A1109">
        <v>1108</v>
      </c>
      <c r="B1109" t="s">
        <v>1324</v>
      </c>
      <c r="C1109" s="1">
        <v>43058</v>
      </c>
      <c r="D1109" s="1">
        <v>43063</v>
      </c>
      <c r="E1109" t="s">
        <v>2118</v>
      </c>
      <c r="F1109" t="s">
        <v>46</v>
      </c>
      <c r="G1109" t="s">
        <v>47</v>
      </c>
      <c r="H1109" t="s">
        <v>6</v>
      </c>
      <c r="I1109" t="s">
        <v>2117</v>
      </c>
      <c r="J1109" t="s">
        <v>2110</v>
      </c>
      <c r="K1109">
        <v>10.78</v>
      </c>
      <c r="L1109">
        <f t="shared" si="34"/>
        <v>1078</v>
      </c>
      <c r="M1109">
        <f t="shared" si="35"/>
        <v>215.60000000000002</v>
      </c>
    </row>
    <row r="1110" spans="1:13" x14ac:dyDescent="0.3">
      <c r="A1110">
        <v>1109</v>
      </c>
      <c r="B1110" t="s">
        <v>1324</v>
      </c>
      <c r="C1110" s="1">
        <v>43058</v>
      </c>
      <c r="D1110" s="1">
        <v>43063</v>
      </c>
      <c r="E1110" t="s">
        <v>2118</v>
      </c>
      <c r="F1110" t="s">
        <v>46</v>
      </c>
      <c r="G1110" t="s">
        <v>47</v>
      </c>
      <c r="H1110" t="s">
        <v>6</v>
      </c>
      <c r="I1110" t="s">
        <v>2117</v>
      </c>
      <c r="J1110" t="s">
        <v>2110</v>
      </c>
      <c r="K1110">
        <v>58.368000000000002</v>
      </c>
      <c r="L1110">
        <f t="shared" si="34"/>
        <v>5836.8</v>
      </c>
      <c r="M1110">
        <f t="shared" si="35"/>
        <v>1167.3600000000001</v>
      </c>
    </row>
    <row r="1111" spans="1:13" x14ac:dyDescent="0.3">
      <c r="A1111">
        <v>1110</v>
      </c>
      <c r="B1111" t="s">
        <v>1324</v>
      </c>
      <c r="C1111" s="1">
        <v>43058</v>
      </c>
      <c r="D1111" s="1">
        <v>43063</v>
      </c>
      <c r="E1111" t="s">
        <v>2118</v>
      </c>
      <c r="F1111" t="s">
        <v>46</v>
      </c>
      <c r="G1111" t="s">
        <v>47</v>
      </c>
      <c r="H1111" t="s">
        <v>6</v>
      </c>
      <c r="I1111" t="s">
        <v>2117</v>
      </c>
      <c r="J1111" t="s">
        <v>2110</v>
      </c>
      <c r="K1111">
        <v>40.968000000000004</v>
      </c>
      <c r="L1111">
        <f t="shared" si="34"/>
        <v>4096.8</v>
      </c>
      <c r="M1111">
        <f t="shared" si="35"/>
        <v>819.36000000000013</v>
      </c>
    </row>
    <row r="1112" spans="1:13" x14ac:dyDescent="0.3">
      <c r="A1112">
        <v>1111</v>
      </c>
      <c r="B1112" t="s">
        <v>1324</v>
      </c>
      <c r="C1112" s="1">
        <v>43058</v>
      </c>
      <c r="D1112" s="1">
        <v>43063</v>
      </c>
      <c r="E1112" t="s">
        <v>2118</v>
      </c>
      <c r="F1112" t="s">
        <v>46</v>
      </c>
      <c r="G1112" t="s">
        <v>47</v>
      </c>
      <c r="H1112" t="s">
        <v>6</v>
      </c>
      <c r="I1112" t="s">
        <v>2117</v>
      </c>
      <c r="J1112" t="s">
        <v>2111</v>
      </c>
      <c r="K1112">
        <v>71.959999999999994</v>
      </c>
      <c r="L1112">
        <f t="shared" si="34"/>
        <v>7195.9999999999991</v>
      </c>
      <c r="M1112">
        <f t="shared" si="35"/>
        <v>1439.1999999999998</v>
      </c>
    </row>
    <row r="1113" spans="1:13" x14ac:dyDescent="0.3">
      <c r="A1113">
        <v>1112</v>
      </c>
      <c r="B1113" t="s">
        <v>1324</v>
      </c>
      <c r="C1113" s="1">
        <v>43058</v>
      </c>
      <c r="D1113" s="1">
        <v>43063</v>
      </c>
      <c r="E1113" t="s">
        <v>2118</v>
      </c>
      <c r="F1113" t="s">
        <v>46</v>
      </c>
      <c r="G1113" t="s">
        <v>47</v>
      </c>
      <c r="H1113" t="s">
        <v>6</v>
      </c>
      <c r="I1113" t="s">
        <v>2117</v>
      </c>
      <c r="J1113" t="s">
        <v>2110</v>
      </c>
      <c r="K1113">
        <v>10.368</v>
      </c>
      <c r="L1113">
        <f t="shared" si="34"/>
        <v>1036.8</v>
      </c>
      <c r="M1113">
        <f t="shared" si="35"/>
        <v>207.36</v>
      </c>
    </row>
    <row r="1114" spans="1:13" x14ac:dyDescent="0.3">
      <c r="A1114">
        <v>1113</v>
      </c>
      <c r="B1114" t="s">
        <v>1324</v>
      </c>
      <c r="C1114" s="1">
        <v>43058</v>
      </c>
      <c r="D1114" s="1">
        <v>43063</v>
      </c>
      <c r="E1114" t="s">
        <v>2118</v>
      </c>
      <c r="F1114" t="s">
        <v>46</v>
      </c>
      <c r="G1114" t="s">
        <v>47</v>
      </c>
      <c r="H1114" t="s">
        <v>6</v>
      </c>
      <c r="I1114" t="s">
        <v>2117</v>
      </c>
      <c r="J1114" t="s">
        <v>2110</v>
      </c>
      <c r="K1114">
        <v>1.1919999999999999</v>
      </c>
      <c r="L1114">
        <f t="shared" si="34"/>
        <v>119.19999999999999</v>
      </c>
      <c r="M1114">
        <f t="shared" si="35"/>
        <v>23.84</v>
      </c>
    </row>
    <row r="1115" spans="1:13" x14ac:dyDescent="0.3">
      <c r="A1115">
        <v>1114</v>
      </c>
      <c r="B1115" t="s">
        <v>1325</v>
      </c>
      <c r="C1115" s="1">
        <v>43452</v>
      </c>
      <c r="D1115" s="1">
        <v>43457</v>
      </c>
      <c r="E1115" t="s">
        <v>2119</v>
      </c>
      <c r="F1115" t="s">
        <v>485</v>
      </c>
      <c r="G1115" t="s">
        <v>486</v>
      </c>
      <c r="H1115" t="s">
        <v>6</v>
      </c>
      <c r="I1115" t="s">
        <v>2112</v>
      </c>
      <c r="J1115" t="s">
        <v>2110</v>
      </c>
      <c r="K1115">
        <v>46.671999999999997</v>
      </c>
      <c r="L1115">
        <f t="shared" si="34"/>
        <v>4667.2</v>
      </c>
      <c r="M1115">
        <f t="shared" si="35"/>
        <v>933.44</v>
      </c>
    </row>
    <row r="1116" spans="1:13" x14ac:dyDescent="0.3">
      <c r="A1116">
        <v>1115</v>
      </c>
      <c r="B1116" t="s">
        <v>1325</v>
      </c>
      <c r="C1116" s="1">
        <v>43452</v>
      </c>
      <c r="D1116" s="1">
        <v>43457</v>
      </c>
      <c r="E1116" t="s">
        <v>2119</v>
      </c>
      <c r="F1116" t="s">
        <v>485</v>
      </c>
      <c r="G1116" t="s">
        <v>486</v>
      </c>
      <c r="H1116" t="s">
        <v>6</v>
      </c>
      <c r="I1116" t="s">
        <v>2112</v>
      </c>
      <c r="J1116" t="s">
        <v>2109</v>
      </c>
      <c r="K1116">
        <v>119.833</v>
      </c>
      <c r="L1116">
        <f t="shared" si="34"/>
        <v>11983.3</v>
      </c>
      <c r="M1116">
        <f t="shared" si="35"/>
        <v>2396.66</v>
      </c>
    </row>
    <row r="1117" spans="1:13" x14ac:dyDescent="0.3">
      <c r="A1117">
        <v>1116</v>
      </c>
      <c r="B1117" t="s">
        <v>1325</v>
      </c>
      <c r="C1117" s="1">
        <v>43452</v>
      </c>
      <c r="D1117" s="1">
        <v>43457</v>
      </c>
      <c r="E1117" t="s">
        <v>2119</v>
      </c>
      <c r="F1117" t="s">
        <v>485</v>
      </c>
      <c r="G1117" t="s">
        <v>486</v>
      </c>
      <c r="H1117" t="s">
        <v>6</v>
      </c>
      <c r="I1117" t="s">
        <v>2112</v>
      </c>
      <c r="J1117" t="s">
        <v>2111</v>
      </c>
      <c r="K1117">
        <v>119.98</v>
      </c>
      <c r="L1117">
        <f t="shared" si="34"/>
        <v>11998</v>
      </c>
      <c r="M1117">
        <f t="shared" si="35"/>
        <v>2399.6</v>
      </c>
    </row>
    <row r="1118" spans="1:13" x14ac:dyDescent="0.3">
      <c r="A1118">
        <v>1117</v>
      </c>
      <c r="B1118" t="s">
        <v>1326</v>
      </c>
      <c r="C1118" s="1">
        <v>42938</v>
      </c>
      <c r="D1118" s="1">
        <v>42940</v>
      </c>
      <c r="E1118" t="s">
        <v>2119</v>
      </c>
      <c r="F1118" t="s">
        <v>1327</v>
      </c>
      <c r="G1118" t="s">
        <v>1328</v>
      </c>
      <c r="H1118" t="s">
        <v>10</v>
      </c>
      <c r="I1118" t="s">
        <v>2112</v>
      </c>
      <c r="J1118" t="s">
        <v>2110</v>
      </c>
      <c r="K1118">
        <v>6.3</v>
      </c>
      <c r="L1118">
        <f t="shared" si="34"/>
        <v>630</v>
      </c>
      <c r="M1118">
        <f t="shared" si="35"/>
        <v>126</v>
      </c>
    </row>
    <row r="1119" spans="1:13" x14ac:dyDescent="0.3">
      <c r="A1119">
        <v>1118</v>
      </c>
      <c r="B1119" t="s">
        <v>1329</v>
      </c>
      <c r="C1119" s="1">
        <v>42617</v>
      </c>
      <c r="D1119" s="1">
        <v>42621</v>
      </c>
      <c r="E1119" t="s">
        <v>2118</v>
      </c>
      <c r="F1119" t="s">
        <v>1330</v>
      </c>
      <c r="G1119" t="s">
        <v>1331</v>
      </c>
      <c r="H1119" t="s">
        <v>6</v>
      </c>
      <c r="I1119" t="s">
        <v>2115</v>
      </c>
      <c r="J1119" t="s">
        <v>2110</v>
      </c>
      <c r="K1119">
        <v>279.89999999999998</v>
      </c>
      <c r="L1119">
        <f t="shared" si="34"/>
        <v>27989.999999999996</v>
      </c>
      <c r="M1119">
        <f t="shared" si="35"/>
        <v>5598</v>
      </c>
    </row>
    <row r="1120" spans="1:13" x14ac:dyDescent="0.3">
      <c r="A1120">
        <v>1119</v>
      </c>
      <c r="B1120" t="s">
        <v>1329</v>
      </c>
      <c r="C1120" s="1">
        <v>42617</v>
      </c>
      <c r="D1120" s="1">
        <v>42621</v>
      </c>
      <c r="E1120" t="s">
        <v>2118</v>
      </c>
      <c r="F1120" t="s">
        <v>1330</v>
      </c>
      <c r="G1120" t="s">
        <v>1331</v>
      </c>
      <c r="H1120" t="s">
        <v>6</v>
      </c>
      <c r="I1120" t="s">
        <v>2115</v>
      </c>
      <c r="J1120" t="s">
        <v>2111</v>
      </c>
      <c r="K1120">
        <v>619.95000000000005</v>
      </c>
      <c r="L1120">
        <f t="shared" si="34"/>
        <v>61995.000000000007</v>
      </c>
      <c r="M1120">
        <f t="shared" si="35"/>
        <v>12399.000000000002</v>
      </c>
    </row>
    <row r="1121" spans="1:13" x14ac:dyDescent="0.3">
      <c r="A1121">
        <v>1120</v>
      </c>
      <c r="B1121" t="s">
        <v>1329</v>
      </c>
      <c r="C1121" s="1">
        <v>42617</v>
      </c>
      <c r="D1121" s="1">
        <v>42621</v>
      </c>
      <c r="E1121" t="s">
        <v>2118</v>
      </c>
      <c r="F1121" t="s">
        <v>1330</v>
      </c>
      <c r="G1121" t="s">
        <v>1331</v>
      </c>
      <c r="H1121" t="s">
        <v>6</v>
      </c>
      <c r="I1121" t="s">
        <v>2115</v>
      </c>
      <c r="J1121" t="s">
        <v>2110</v>
      </c>
      <c r="K1121">
        <v>4.3600000000000003</v>
      </c>
      <c r="L1121">
        <f t="shared" si="34"/>
        <v>436.00000000000006</v>
      </c>
      <c r="M1121">
        <f t="shared" si="35"/>
        <v>87.200000000000017</v>
      </c>
    </row>
    <row r="1122" spans="1:13" x14ac:dyDescent="0.3">
      <c r="A1122">
        <v>1121</v>
      </c>
      <c r="B1122" t="s">
        <v>1329</v>
      </c>
      <c r="C1122" s="1">
        <v>42617</v>
      </c>
      <c r="D1122" s="1">
        <v>42621</v>
      </c>
      <c r="E1122" t="s">
        <v>2118</v>
      </c>
      <c r="F1122" t="s">
        <v>1330</v>
      </c>
      <c r="G1122" t="s">
        <v>1331</v>
      </c>
      <c r="H1122" t="s">
        <v>6</v>
      </c>
      <c r="I1122" t="s">
        <v>2115</v>
      </c>
      <c r="J1122" t="s">
        <v>2110</v>
      </c>
      <c r="K1122">
        <v>15.28</v>
      </c>
      <c r="L1122">
        <f t="shared" si="34"/>
        <v>1528</v>
      </c>
      <c r="M1122">
        <f t="shared" si="35"/>
        <v>305.60000000000002</v>
      </c>
    </row>
    <row r="1123" spans="1:13" x14ac:dyDescent="0.3">
      <c r="A1123">
        <v>1122</v>
      </c>
      <c r="B1123" t="s">
        <v>1332</v>
      </c>
      <c r="C1123" s="1">
        <v>42024</v>
      </c>
      <c r="D1123" s="1">
        <v>42030</v>
      </c>
      <c r="E1123" t="s">
        <v>2118</v>
      </c>
      <c r="F1123" t="s">
        <v>1095</v>
      </c>
      <c r="G1123" t="s">
        <v>1096</v>
      </c>
      <c r="H1123" t="s">
        <v>6</v>
      </c>
      <c r="I1123" t="s">
        <v>2115</v>
      </c>
      <c r="J1123" t="s">
        <v>2111</v>
      </c>
      <c r="K1123">
        <v>699.93</v>
      </c>
      <c r="L1123">
        <f t="shared" si="34"/>
        <v>69993</v>
      </c>
      <c r="M1123">
        <f t="shared" si="35"/>
        <v>13998.6</v>
      </c>
    </row>
    <row r="1124" spans="1:13" x14ac:dyDescent="0.3">
      <c r="A1124">
        <v>1123</v>
      </c>
      <c r="B1124" t="s">
        <v>1332</v>
      </c>
      <c r="C1124" s="1">
        <v>42024</v>
      </c>
      <c r="D1124" s="1">
        <v>42030</v>
      </c>
      <c r="E1124" t="s">
        <v>2118</v>
      </c>
      <c r="F1124" t="s">
        <v>1095</v>
      </c>
      <c r="G1124" t="s">
        <v>1096</v>
      </c>
      <c r="H1124" t="s">
        <v>6</v>
      </c>
      <c r="I1124" t="s">
        <v>2115</v>
      </c>
      <c r="J1124" t="s">
        <v>2110</v>
      </c>
      <c r="K1124">
        <v>22.96</v>
      </c>
      <c r="L1124">
        <f t="shared" si="34"/>
        <v>2296</v>
      </c>
      <c r="M1124">
        <f t="shared" si="35"/>
        <v>459.20000000000005</v>
      </c>
    </row>
    <row r="1125" spans="1:13" x14ac:dyDescent="0.3">
      <c r="A1125">
        <v>1124</v>
      </c>
      <c r="B1125" t="s">
        <v>1332</v>
      </c>
      <c r="C1125" s="1">
        <v>42024</v>
      </c>
      <c r="D1125" s="1">
        <v>42030</v>
      </c>
      <c r="E1125" t="s">
        <v>2118</v>
      </c>
      <c r="F1125" t="s">
        <v>1095</v>
      </c>
      <c r="G1125" t="s">
        <v>1096</v>
      </c>
      <c r="H1125" t="s">
        <v>6</v>
      </c>
      <c r="I1125" t="s">
        <v>2115</v>
      </c>
      <c r="J1125" t="s">
        <v>2109</v>
      </c>
      <c r="K1125">
        <v>38.6</v>
      </c>
      <c r="L1125">
        <f t="shared" si="34"/>
        <v>3860</v>
      </c>
      <c r="M1125">
        <f t="shared" si="35"/>
        <v>772</v>
      </c>
    </row>
    <row r="1126" spans="1:13" x14ac:dyDescent="0.3">
      <c r="A1126">
        <v>1125</v>
      </c>
      <c r="B1126" t="s">
        <v>1332</v>
      </c>
      <c r="C1126" s="1">
        <v>42024</v>
      </c>
      <c r="D1126" s="1">
        <v>42030</v>
      </c>
      <c r="E1126" t="s">
        <v>2118</v>
      </c>
      <c r="F1126" t="s">
        <v>1095</v>
      </c>
      <c r="G1126" t="s">
        <v>1096</v>
      </c>
      <c r="H1126" t="s">
        <v>6</v>
      </c>
      <c r="I1126" t="s">
        <v>2115</v>
      </c>
      <c r="J1126" t="s">
        <v>2110</v>
      </c>
      <c r="K1126">
        <v>6.63</v>
      </c>
      <c r="L1126">
        <f t="shared" si="34"/>
        <v>663</v>
      </c>
      <c r="M1126">
        <f t="shared" si="35"/>
        <v>132.6</v>
      </c>
    </row>
    <row r="1127" spans="1:13" x14ac:dyDescent="0.3">
      <c r="A1127">
        <v>1126</v>
      </c>
      <c r="B1127" t="s">
        <v>1332</v>
      </c>
      <c r="C1127" s="1">
        <v>42024</v>
      </c>
      <c r="D1127" s="1">
        <v>42030</v>
      </c>
      <c r="E1127" t="s">
        <v>2118</v>
      </c>
      <c r="F1127" t="s">
        <v>1095</v>
      </c>
      <c r="G1127" t="s">
        <v>1096</v>
      </c>
      <c r="H1127" t="s">
        <v>6</v>
      </c>
      <c r="I1127" t="s">
        <v>2115</v>
      </c>
      <c r="J1127" t="s">
        <v>2110</v>
      </c>
      <c r="K1127">
        <v>23.34</v>
      </c>
      <c r="L1127">
        <f t="shared" si="34"/>
        <v>2334</v>
      </c>
      <c r="M1127">
        <f t="shared" si="35"/>
        <v>466.8</v>
      </c>
    </row>
    <row r="1128" spans="1:13" x14ac:dyDescent="0.3">
      <c r="A1128">
        <v>1127</v>
      </c>
      <c r="B1128" t="s">
        <v>1332</v>
      </c>
      <c r="C1128" s="1">
        <v>42024</v>
      </c>
      <c r="D1128" s="1">
        <v>42030</v>
      </c>
      <c r="E1128" t="s">
        <v>2118</v>
      </c>
      <c r="F1128" t="s">
        <v>1095</v>
      </c>
      <c r="G1128" t="s">
        <v>1096</v>
      </c>
      <c r="H1128" t="s">
        <v>6</v>
      </c>
      <c r="I1128" t="s">
        <v>2115</v>
      </c>
      <c r="J1128" t="s">
        <v>2109</v>
      </c>
      <c r="K1128">
        <v>1067.94</v>
      </c>
      <c r="L1128">
        <f t="shared" si="34"/>
        <v>106794</v>
      </c>
      <c r="M1128">
        <f t="shared" si="35"/>
        <v>21358.800000000003</v>
      </c>
    </row>
    <row r="1129" spans="1:13" x14ac:dyDescent="0.3">
      <c r="A1129">
        <v>1128</v>
      </c>
      <c r="B1129" t="s">
        <v>1333</v>
      </c>
      <c r="C1129" s="1">
        <v>42431</v>
      </c>
      <c r="D1129" s="1">
        <v>42436</v>
      </c>
      <c r="E1129" t="s">
        <v>2118</v>
      </c>
      <c r="F1129" t="s">
        <v>160</v>
      </c>
      <c r="G1129" t="s">
        <v>161</v>
      </c>
      <c r="H1129" t="s">
        <v>26</v>
      </c>
      <c r="I1129" t="s">
        <v>2117</v>
      </c>
      <c r="J1129" t="s">
        <v>2110</v>
      </c>
      <c r="K1129">
        <v>10.16</v>
      </c>
      <c r="L1129">
        <f t="shared" si="34"/>
        <v>1016</v>
      </c>
      <c r="M1129">
        <f t="shared" si="35"/>
        <v>203.20000000000002</v>
      </c>
    </row>
    <row r="1130" spans="1:13" x14ac:dyDescent="0.3">
      <c r="A1130">
        <v>1129</v>
      </c>
      <c r="B1130" t="s">
        <v>1333</v>
      </c>
      <c r="C1130" s="1">
        <v>42431</v>
      </c>
      <c r="D1130" s="1">
        <v>42436</v>
      </c>
      <c r="E1130" t="s">
        <v>2118</v>
      </c>
      <c r="F1130" t="s">
        <v>160</v>
      </c>
      <c r="G1130" t="s">
        <v>161</v>
      </c>
      <c r="H1130" t="s">
        <v>26</v>
      </c>
      <c r="I1130" t="s">
        <v>2117</v>
      </c>
      <c r="J1130" t="s">
        <v>2110</v>
      </c>
      <c r="K1130">
        <v>101.88</v>
      </c>
      <c r="L1130">
        <f t="shared" si="34"/>
        <v>10188</v>
      </c>
      <c r="M1130">
        <f t="shared" si="35"/>
        <v>2037.6000000000001</v>
      </c>
    </row>
    <row r="1131" spans="1:13" x14ac:dyDescent="0.3">
      <c r="A1131">
        <v>1130</v>
      </c>
      <c r="B1131" t="s">
        <v>1334</v>
      </c>
      <c r="C1131" s="1">
        <v>42837</v>
      </c>
      <c r="D1131" s="1">
        <v>42841</v>
      </c>
      <c r="E1131" t="s">
        <v>2118</v>
      </c>
      <c r="F1131" t="s">
        <v>658</v>
      </c>
      <c r="G1131" t="s">
        <v>659</v>
      </c>
      <c r="H1131" t="s">
        <v>6</v>
      </c>
      <c r="I1131" t="s">
        <v>2115</v>
      </c>
      <c r="J1131" t="s">
        <v>2109</v>
      </c>
      <c r="K1131">
        <v>343.92</v>
      </c>
      <c r="L1131">
        <f t="shared" si="34"/>
        <v>34392</v>
      </c>
      <c r="M1131">
        <f t="shared" si="35"/>
        <v>6878.4000000000005</v>
      </c>
    </row>
    <row r="1132" spans="1:13" x14ac:dyDescent="0.3">
      <c r="A1132">
        <v>1131</v>
      </c>
      <c r="B1132" t="s">
        <v>1334</v>
      </c>
      <c r="C1132" s="1">
        <v>42837</v>
      </c>
      <c r="D1132" s="1">
        <v>42841</v>
      </c>
      <c r="E1132" t="s">
        <v>2118</v>
      </c>
      <c r="F1132" t="s">
        <v>658</v>
      </c>
      <c r="G1132" t="s">
        <v>659</v>
      </c>
      <c r="H1132" t="s">
        <v>6</v>
      </c>
      <c r="I1132" t="s">
        <v>2115</v>
      </c>
      <c r="J1132" t="s">
        <v>2110</v>
      </c>
      <c r="K1132">
        <v>40.99</v>
      </c>
      <c r="L1132">
        <f t="shared" si="34"/>
        <v>4099</v>
      </c>
      <c r="M1132">
        <f t="shared" si="35"/>
        <v>819.80000000000007</v>
      </c>
    </row>
    <row r="1133" spans="1:13" x14ac:dyDescent="0.3">
      <c r="A1133">
        <v>1132</v>
      </c>
      <c r="B1133" t="s">
        <v>1334</v>
      </c>
      <c r="C1133" s="1">
        <v>42837</v>
      </c>
      <c r="D1133" s="1">
        <v>42841</v>
      </c>
      <c r="E1133" t="s">
        <v>2118</v>
      </c>
      <c r="F1133" t="s">
        <v>658</v>
      </c>
      <c r="G1133" t="s">
        <v>659</v>
      </c>
      <c r="H1133" t="s">
        <v>6</v>
      </c>
      <c r="I1133" t="s">
        <v>2115</v>
      </c>
      <c r="J1133" t="s">
        <v>2110</v>
      </c>
      <c r="K1133">
        <v>63.9</v>
      </c>
      <c r="L1133">
        <f t="shared" si="34"/>
        <v>6390</v>
      </c>
      <c r="M1133">
        <f t="shared" si="35"/>
        <v>1278</v>
      </c>
    </row>
    <row r="1134" spans="1:13" x14ac:dyDescent="0.3">
      <c r="A1134">
        <v>1133</v>
      </c>
      <c r="B1134" t="s">
        <v>1335</v>
      </c>
      <c r="C1134" s="1">
        <v>43075</v>
      </c>
      <c r="D1134" s="1">
        <v>43076</v>
      </c>
      <c r="E1134" t="s">
        <v>2120</v>
      </c>
      <c r="F1134" t="s">
        <v>175</v>
      </c>
      <c r="G1134" t="s">
        <v>176</v>
      </c>
      <c r="H1134" t="s">
        <v>10</v>
      </c>
      <c r="I1134" t="s">
        <v>2112</v>
      </c>
      <c r="J1134" t="s">
        <v>2110</v>
      </c>
      <c r="K1134">
        <v>19.440000000000001</v>
      </c>
      <c r="L1134">
        <f t="shared" si="34"/>
        <v>1944.0000000000002</v>
      </c>
      <c r="M1134">
        <f t="shared" si="35"/>
        <v>388.80000000000007</v>
      </c>
    </row>
    <row r="1135" spans="1:13" x14ac:dyDescent="0.3">
      <c r="A1135">
        <v>1134</v>
      </c>
      <c r="B1135" t="s">
        <v>1336</v>
      </c>
      <c r="C1135" s="1">
        <v>42891</v>
      </c>
      <c r="D1135" s="1">
        <v>42895</v>
      </c>
      <c r="E1135" t="s">
        <v>2118</v>
      </c>
      <c r="F1135" t="s">
        <v>590</v>
      </c>
      <c r="G1135" t="s">
        <v>591</v>
      </c>
      <c r="H1135" t="s">
        <v>26</v>
      </c>
      <c r="I1135" t="s">
        <v>2114</v>
      </c>
      <c r="J1135" t="s">
        <v>2110</v>
      </c>
      <c r="K1135">
        <v>124.608</v>
      </c>
      <c r="L1135">
        <f t="shared" si="34"/>
        <v>12460.800000000001</v>
      </c>
      <c r="M1135">
        <f t="shared" si="35"/>
        <v>2492.1600000000003</v>
      </c>
    </row>
    <row r="1136" spans="1:13" x14ac:dyDescent="0.3">
      <c r="A1136">
        <v>1135</v>
      </c>
      <c r="B1136" t="s">
        <v>1336</v>
      </c>
      <c r="C1136" s="1">
        <v>42891</v>
      </c>
      <c r="D1136" s="1">
        <v>42895</v>
      </c>
      <c r="E1136" t="s">
        <v>2118</v>
      </c>
      <c r="F1136" t="s">
        <v>590</v>
      </c>
      <c r="G1136" t="s">
        <v>591</v>
      </c>
      <c r="H1136" t="s">
        <v>26</v>
      </c>
      <c r="I1136" t="s">
        <v>2114</v>
      </c>
      <c r="J1136" t="s">
        <v>2110</v>
      </c>
      <c r="K1136">
        <v>7.56</v>
      </c>
      <c r="L1136">
        <f t="shared" si="34"/>
        <v>756</v>
      </c>
      <c r="M1136">
        <f t="shared" si="35"/>
        <v>151.20000000000002</v>
      </c>
    </row>
    <row r="1137" spans="1:13" x14ac:dyDescent="0.3">
      <c r="A1137">
        <v>1136</v>
      </c>
      <c r="B1137" t="s">
        <v>1337</v>
      </c>
      <c r="C1137" s="1">
        <v>43080</v>
      </c>
      <c r="D1137" s="1">
        <v>43080</v>
      </c>
      <c r="E1137" t="s">
        <v>2120</v>
      </c>
      <c r="F1137" t="s">
        <v>754</v>
      </c>
      <c r="G1137" t="s">
        <v>755</v>
      </c>
      <c r="H1137" t="s">
        <v>6</v>
      </c>
      <c r="I1137" t="s">
        <v>2115</v>
      </c>
      <c r="J1137" t="s">
        <v>2110</v>
      </c>
      <c r="K1137">
        <v>85.224000000000004</v>
      </c>
      <c r="L1137">
        <f t="shared" si="34"/>
        <v>8522.4</v>
      </c>
      <c r="M1137">
        <f t="shared" si="35"/>
        <v>1704.48</v>
      </c>
    </row>
    <row r="1138" spans="1:13" x14ac:dyDescent="0.3">
      <c r="A1138">
        <v>1137</v>
      </c>
      <c r="B1138" t="s">
        <v>1338</v>
      </c>
      <c r="C1138" s="1">
        <v>43051</v>
      </c>
      <c r="D1138" s="1">
        <v>43054</v>
      </c>
      <c r="E1138" t="s">
        <v>2119</v>
      </c>
      <c r="F1138" t="s">
        <v>1339</v>
      </c>
      <c r="G1138" t="s">
        <v>1340</v>
      </c>
      <c r="H1138" t="s">
        <v>10</v>
      </c>
      <c r="I1138" t="s">
        <v>2117</v>
      </c>
      <c r="J1138" t="s">
        <v>2110</v>
      </c>
      <c r="K1138">
        <v>287.52</v>
      </c>
      <c r="L1138">
        <f t="shared" si="34"/>
        <v>28752</v>
      </c>
      <c r="M1138">
        <f t="shared" si="35"/>
        <v>5750.4000000000005</v>
      </c>
    </row>
    <row r="1139" spans="1:13" x14ac:dyDescent="0.3">
      <c r="A1139">
        <v>1138</v>
      </c>
      <c r="B1139" t="s">
        <v>1338</v>
      </c>
      <c r="C1139" s="1">
        <v>43051</v>
      </c>
      <c r="D1139" s="1">
        <v>43054</v>
      </c>
      <c r="E1139" t="s">
        <v>2119</v>
      </c>
      <c r="F1139" t="s">
        <v>1339</v>
      </c>
      <c r="G1139" t="s">
        <v>1340</v>
      </c>
      <c r="H1139" t="s">
        <v>10</v>
      </c>
      <c r="I1139" t="s">
        <v>2117</v>
      </c>
      <c r="J1139" t="s">
        <v>2110</v>
      </c>
      <c r="K1139">
        <v>37.68</v>
      </c>
      <c r="L1139">
        <f t="shared" si="34"/>
        <v>3768</v>
      </c>
      <c r="M1139">
        <f t="shared" si="35"/>
        <v>753.6</v>
      </c>
    </row>
    <row r="1140" spans="1:13" x14ac:dyDescent="0.3">
      <c r="A1140">
        <v>1139</v>
      </c>
      <c r="B1140" t="s">
        <v>1338</v>
      </c>
      <c r="C1140" s="1">
        <v>43051</v>
      </c>
      <c r="D1140" s="1">
        <v>43054</v>
      </c>
      <c r="E1140" t="s">
        <v>2119</v>
      </c>
      <c r="F1140" t="s">
        <v>1339</v>
      </c>
      <c r="G1140" t="s">
        <v>1340</v>
      </c>
      <c r="H1140" t="s">
        <v>10</v>
      </c>
      <c r="I1140" t="s">
        <v>2117</v>
      </c>
      <c r="J1140" t="s">
        <v>2110</v>
      </c>
      <c r="K1140">
        <v>19.98</v>
      </c>
      <c r="L1140">
        <f t="shared" si="34"/>
        <v>1998</v>
      </c>
      <c r="M1140">
        <f t="shared" si="35"/>
        <v>399.6</v>
      </c>
    </row>
    <row r="1141" spans="1:13" x14ac:dyDescent="0.3">
      <c r="A1141">
        <v>1140</v>
      </c>
      <c r="B1141" t="s">
        <v>1338</v>
      </c>
      <c r="C1141" s="1">
        <v>43051</v>
      </c>
      <c r="D1141" s="1">
        <v>43054</v>
      </c>
      <c r="E1141" t="s">
        <v>2119</v>
      </c>
      <c r="F1141" t="s">
        <v>1339</v>
      </c>
      <c r="G1141" t="s">
        <v>1340</v>
      </c>
      <c r="H1141" t="s">
        <v>10</v>
      </c>
      <c r="I1141" t="s">
        <v>2117</v>
      </c>
      <c r="J1141" t="s">
        <v>2110</v>
      </c>
      <c r="K1141">
        <v>20.58</v>
      </c>
      <c r="L1141">
        <f t="shared" si="34"/>
        <v>2058</v>
      </c>
      <c r="M1141">
        <f t="shared" si="35"/>
        <v>411.6</v>
      </c>
    </row>
    <row r="1142" spans="1:13" x14ac:dyDescent="0.3">
      <c r="A1142">
        <v>1141</v>
      </c>
      <c r="B1142" t="s">
        <v>1338</v>
      </c>
      <c r="C1142" s="1">
        <v>43051</v>
      </c>
      <c r="D1142" s="1">
        <v>43054</v>
      </c>
      <c r="E1142" t="s">
        <v>2119</v>
      </c>
      <c r="F1142" t="s">
        <v>1339</v>
      </c>
      <c r="G1142" t="s">
        <v>1340</v>
      </c>
      <c r="H1142" t="s">
        <v>10</v>
      </c>
      <c r="I1142" t="s">
        <v>2117</v>
      </c>
      <c r="J1142" t="s">
        <v>2110</v>
      </c>
      <c r="K1142">
        <v>17.38</v>
      </c>
      <c r="L1142">
        <f t="shared" si="34"/>
        <v>1738</v>
      </c>
      <c r="M1142">
        <f t="shared" si="35"/>
        <v>347.6</v>
      </c>
    </row>
    <row r="1143" spans="1:13" x14ac:dyDescent="0.3">
      <c r="A1143">
        <v>1142</v>
      </c>
      <c r="B1143" t="s">
        <v>1341</v>
      </c>
      <c r="C1143" s="1">
        <v>42276</v>
      </c>
      <c r="D1143" s="1">
        <v>42280</v>
      </c>
      <c r="E1143" t="s">
        <v>2118</v>
      </c>
      <c r="F1143" t="s">
        <v>886</v>
      </c>
      <c r="G1143" t="s">
        <v>887</v>
      </c>
      <c r="H1143" t="s">
        <v>6</v>
      </c>
      <c r="I1143" t="s">
        <v>2112</v>
      </c>
      <c r="J1143" t="s">
        <v>2109</v>
      </c>
      <c r="K1143">
        <v>204.6</v>
      </c>
      <c r="L1143">
        <f t="shared" si="34"/>
        <v>20460</v>
      </c>
      <c r="M1143">
        <f t="shared" si="35"/>
        <v>4092</v>
      </c>
    </row>
    <row r="1144" spans="1:13" x14ac:dyDescent="0.3">
      <c r="A1144">
        <v>1143</v>
      </c>
      <c r="B1144" t="s">
        <v>1341</v>
      </c>
      <c r="C1144" s="1">
        <v>42276</v>
      </c>
      <c r="D1144" s="1">
        <v>42280</v>
      </c>
      <c r="E1144" t="s">
        <v>2118</v>
      </c>
      <c r="F1144" t="s">
        <v>886</v>
      </c>
      <c r="G1144" t="s">
        <v>887</v>
      </c>
      <c r="H1144" t="s">
        <v>6</v>
      </c>
      <c r="I1144" t="s">
        <v>2112</v>
      </c>
      <c r="J1144" t="s">
        <v>2110</v>
      </c>
      <c r="K1144">
        <v>8.7200000000000006</v>
      </c>
      <c r="L1144">
        <f t="shared" si="34"/>
        <v>872.00000000000011</v>
      </c>
      <c r="M1144">
        <f t="shared" si="35"/>
        <v>174.40000000000003</v>
      </c>
    </row>
    <row r="1145" spans="1:13" x14ac:dyDescent="0.3">
      <c r="A1145">
        <v>1144</v>
      </c>
      <c r="B1145" t="s">
        <v>1341</v>
      </c>
      <c r="C1145" s="1">
        <v>42276</v>
      </c>
      <c r="D1145" s="1">
        <v>42280</v>
      </c>
      <c r="E1145" t="s">
        <v>2118</v>
      </c>
      <c r="F1145" t="s">
        <v>886</v>
      </c>
      <c r="G1145" t="s">
        <v>887</v>
      </c>
      <c r="H1145" t="s">
        <v>6</v>
      </c>
      <c r="I1145" t="s">
        <v>2112</v>
      </c>
      <c r="J1145" t="s">
        <v>2110</v>
      </c>
      <c r="K1145">
        <v>6.48</v>
      </c>
      <c r="L1145">
        <f t="shared" si="34"/>
        <v>648</v>
      </c>
      <c r="M1145">
        <f t="shared" si="35"/>
        <v>129.6</v>
      </c>
    </row>
    <row r="1146" spans="1:13" x14ac:dyDescent="0.3">
      <c r="A1146">
        <v>1145</v>
      </c>
      <c r="B1146" t="s">
        <v>1341</v>
      </c>
      <c r="C1146" s="1">
        <v>42276</v>
      </c>
      <c r="D1146" s="1">
        <v>42280</v>
      </c>
      <c r="E1146" t="s">
        <v>2118</v>
      </c>
      <c r="F1146" t="s">
        <v>886</v>
      </c>
      <c r="G1146" t="s">
        <v>887</v>
      </c>
      <c r="H1146" t="s">
        <v>6</v>
      </c>
      <c r="I1146" t="s">
        <v>2112</v>
      </c>
      <c r="J1146" t="s">
        <v>2111</v>
      </c>
      <c r="K1146">
        <v>686.32</v>
      </c>
      <c r="L1146">
        <f t="shared" si="34"/>
        <v>68632</v>
      </c>
      <c r="M1146">
        <f t="shared" si="35"/>
        <v>13726.400000000001</v>
      </c>
    </row>
    <row r="1147" spans="1:13" x14ac:dyDescent="0.3">
      <c r="A1147">
        <v>1146</v>
      </c>
      <c r="B1147" t="s">
        <v>1341</v>
      </c>
      <c r="C1147" s="1">
        <v>42276</v>
      </c>
      <c r="D1147" s="1">
        <v>42280</v>
      </c>
      <c r="E1147" t="s">
        <v>2118</v>
      </c>
      <c r="F1147" t="s">
        <v>886</v>
      </c>
      <c r="G1147" t="s">
        <v>887</v>
      </c>
      <c r="H1147" t="s">
        <v>6</v>
      </c>
      <c r="I1147" t="s">
        <v>2112</v>
      </c>
      <c r="J1147" t="s">
        <v>2110</v>
      </c>
      <c r="K1147">
        <v>62.18</v>
      </c>
      <c r="L1147">
        <f t="shared" si="34"/>
        <v>6218</v>
      </c>
      <c r="M1147">
        <f t="shared" si="35"/>
        <v>1243.6000000000001</v>
      </c>
    </row>
    <row r="1148" spans="1:13" x14ac:dyDescent="0.3">
      <c r="A1148">
        <v>1147</v>
      </c>
      <c r="B1148" t="s">
        <v>1342</v>
      </c>
      <c r="C1148" s="1">
        <v>42464</v>
      </c>
      <c r="D1148" s="1">
        <v>42464</v>
      </c>
      <c r="E1148" t="s">
        <v>2120</v>
      </c>
      <c r="F1148" t="s">
        <v>1343</v>
      </c>
      <c r="G1148" t="s">
        <v>1344</v>
      </c>
      <c r="H1148" t="s">
        <v>6</v>
      </c>
      <c r="I1148" t="s">
        <v>2117</v>
      </c>
      <c r="J1148" t="s">
        <v>2110</v>
      </c>
      <c r="K1148">
        <v>644.07600000000002</v>
      </c>
      <c r="L1148">
        <f t="shared" si="34"/>
        <v>64407.600000000006</v>
      </c>
      <c r="M1148">
        <f t="shared" si="35"/>
        <v>12881.520000000002</v>
      </c>
    </row>
    <row r="1149" spans="1:13" x14ac:dyDescent="0.3">
      <c r="A1149">
        <v>1148</v>
      </c>
      <c r="B1149" t="s">
        <v>1342</v>
      </c>
      <c r="C1149" s="1">
        <v>42464</v>
      </c>
      <c r="D1149" s="1">
        <v>42464</v>
      </c>
      <c r="E1149" t="s">
        <v>2120</v>
      </c>
      <c r="F1149" t="s">
        <v>1343</v>
      </c>
      <c r="G1149" t="s">
        <v>1344</v>
      </c>
      <c r="H1149" t="s">
        <v>6</v>
      </c>
      <c r="I1149" t="s">
        <v>2117</v>
      </c>
      <c r="J1149" t="s">
        <v>2110</v>
      </c>
      <c r="K1149">
        <v>5.84</v>
      </c>
      <c r="L1149">
        <f t="shared" si="34"/>
        <v>584</v>
      </c>
      <c r="M1149">
        <f t="shared" si="35"/>
        <v>116.80000000000001</v>
      </c>
    </row>
    <row r="1150" spans="1:13" x14ac:dyDescent="0.3">
      <c r="A1150">
        <v>1149</v>
      </c>
      <c r="B1150" t="s">
        <v>1342</v>
      </c>
      <c r="C1150" s="1">
        <v>42464</v>
      </c>
      <c r="D1150" s="1">
        <v>42464</v>
      </c>
      <c r="E1150" t="s">
        <v>2120</v>
      </c>
      <c r="F1150" t="s">
        <v>1343</v>
      </c>
      <c r="G1150" t="s">
        <v>1344</v>
      </c>
      <c r="H1150" t="s">
        <v>6</v>
      </c>
      <c r="I1150" t="s">
        <v>2117</v>
      </c>
      <c r="J1150" t="s">
        <v>2110</v>
      </c>
      <c r="K1150">
        <v>12.76</v>
      </c>
      <c r="L1150">
        <f t="shared" si="34"/>
        <v>1276</v>
      </c>
      <c r="M1150">
        <f t="shared" si="35"/>
        <v>255.20000000000002</v>
      </c>
    </row>
    <row r="1151" spans="1:13" x14ac:dyDescent="0.3">
      <c r="A1151">
        <v>1150</v>
      </c>
      <c r="B1151" t="s">
        <v>1342</v>
      </c>
      <c r="C1151" s="1">
        <v>42464</v>
      </c>
      <c r="D1151" s="1">
        <v>42464</v>
      </c>
      <c r="E1151" t="s">
        <v>2120</v>
      </c>
      <c r="F1151" t="s">
        <v>1343</v>
      </c>
      <c r="G1151" t="s">
        <v>1344</v>
      </c>
      <c r="H1151" t="s">
        <v>6</v>
      </c>
      <c r="I1151" t="s">
        <v>2117</v>
      </c>
      <c r="J1151" t="s">
        <v>2111</v>
      </c>
      <c r="K1151">
        <v>10.95</v>
      </c>
      <c r="L1151">
        <f t="shared" si="34"/>
        <v>1095</v>
      </c>
      <c r="M1151">
        <f t="shared" si="35"/>
        <v>219</v>
      </c>
    </row>
    <row r="1152" spans="1:13" x14ac:dyDescent="0.3">
      <c r="A1152">
        <v>1151</v>
      </c>
      <c r="B1152" t="s">
        <v>1342</v>
      </c>
      <c r="C1152" s="1">
        <v>42464</v>
      </c>
      <c r="D1152" s="1">
        <v>42464</v>
      </c>
      <c r="E1152" t="s">
        <v>2120</v>
      </c>
      <c r="F1152" t="s">
        <v>1343</v>
      </c>
      <c r="G1152" t="s">
        <v>1344</v>
      </c>
      <c r="H1152" t="s">
        <v>6</v>
      </c>
      <c r="I1152" t="s">
        <v>2117</v>
      </c>
      <c r="J1152" t="s">
        <v>2111</v>
      </c>
      <c r="K1152">
        <v>599.98</v>
      </c>
      <c r="L1152">
        <f t="shared" si="34"/>
        <v>59998</v>
      </c>
      <c r="M1152">
        <f t="shared" si="35"/>
        <v>11999.6</v>
      </c>
    </row>
    <row r="1153" spans="1:13" x14ac:dyDescent="0.3">
      <c r="A1153">
        <v>1152</v>
      </c>
      <c r="B1153" t="s">
        <v>1345</v>
      </c>
      <c r="C1153" s="1">
        <v>42498</v>
      </c>
      <c r="D1153" s="1">
        <v>42504</v>
      </c>
      <c r="E1153" t="s">
        <v>2118</v>
      </c>
      <c r="F1153" t="s">
        <v>366</v>
      </c>
      <c r="G1153" t="s">
        <v>367</v>
      </c>
      <c r="H1153" t="s">
        <v>10</v>
      </c>
      <c r="I1153" t="s">
        <v>2114</v>
      </c>
      <c r="J1153" t="s">
        <v>2109</v>
      </c>
      <c r="K1153">
        <v>8.3520000000000003</v>
      </c>
      <c r="L1153">
        <f t="shared" si="34"/>
        <v>835.2</v>
      </c>
      <c r="M1153">
        <f t="shared" si="35"/>
        <v>167.04000000000002</v>
      </c>
    </row>
    <row r="1154" spans="1:13" x14ac:dyDescent="0.3">
      <c r="A1154">
        <v>1153</v>
      </c>
      <c r="B1154" t="s">
        <v>1346</v>
      </c>
      <c r="C1154" s="1">
        <v>43100</v>
      </c>
      <c r="D1154" s="1">
        <v>43106</v>
      </c>
      <c r="E1154" t="s">
        <v>2118</v>
      </c>
      <c r="F1154" t="s">
        <v>394</v>
      </c>
      <c r="G1154" t="s">
        <v>395</v>
      </c>
      <c r="H1154" t="s">
        <v>10</v>
      </c>
      <c r="I1154" t="s">
        <v>2112</v>
      </c>
      <c r="J1154" t="s">
        <v>2110</v>
      </c>
      <c r="K1154">
        <v>3.64</v>
      </c>
      <c r="L1154">
        <f t="shared" ref="L1154:L1217" si="36">K1154*100</f>
        <v>364</v>
      </c>
      <c r="M1154">
        <f t="shared" si="35"/>
        <v>72.8</v>
      </c>
    </row>
    <row r="1155" spans="1:13" x14ac:dyDescent="0.3">
      <c r="A1155">
        <v>1154</v>
      </c>
      <c r="B1155" t="s">
        <v>1346</v>
      </c>
      <c r="C1155" s="1">
        <v>43100</v>
      </c>
      <c r="D1155" s="1">
        <v>43106</v>
      </c>
      <c r="E1155" t="s">
        <v>2118</v>
      </c>
      <c r="F1155" t="s">
        <v>394</v>
      </c>
      <c r="G1155" t="s">
        <v>395</v>
      </c>
      <c r="H1155" t="s">
        <v>10</v>
      </c>
      <c r="I1155" t="s">
        <v>2112</v>
      </c>
      <c r="J1155" t="s">
        <v>2110</v>
      </c>
      <c r="K1155">
        <v>159.768</v>
      </c>
      <c r="L1155">
        <f t="shared" si="36"/>
        <v>15976.8</v>
      </c>
      <c r="M1155">
        <f t="shared" ref="M1155:M1218" si="37">L1155*0.2</f>
        <v>3195.36</v>
      </c>
    </row>
    <row r="1156" spans="1:13" x14ac:dyDescent="0.3">
      <c r="A1156">
        <v>1155</v>
      </c>
      <c r="B1156" t="s">
        <v>1347</v>
      </c>
      <c r="C1156" s="1">
        <v>42358</v>
      </c>
      <c r="D1156" s="1">
        <v>42359</v>
      </c>
      <c r="E1156" t="s">
        <v>2120</v>
      </c>
      <c r="F1156" t="s">
        <v>1314</v>
      </c>
      <c r="G1156" t="s">
        <v>1315</v>
      </c>
      <c r="H1156" t="s">
        <v>26</v>
      </c>
      <c r="I1156" t="s">
        <v>2115</v>
      </c>
      <c r="J1156" t="s">
        <v>2110</v>
      </c>
      <c r="K1156">
        <v>122.48</v>
      </c>
      <c r="L1156">
        <f t="shared" si="36"/>
        <v>12248</v>
      </c>
      <c r="M1156">
        <f t="shared" si="37"/>
        <v>2449.6</v>
      </c>
    </row>
    <row r="1157" spans="1:13" x14ac:dyDescent="0.3">
      <c r="A1157">
        <v>1156</v>
      </c>
      <c r="B1157" t="s">
        <v>1347</v>
      </c>
      <c r="C1157" s="1">
        <v>42358</v>
      </c>
      <c r="D1157" s="1">
        <v>42359</v>
      </c>
      <c r="E1157" t="s">
        <v>2120</v>
      </c>
      <c r="F1157" t="s">
        <v>1314</v>
      </c>
      <c r="G1157" t="s">
        <v>1315</v>
      </c>
      <c r="H1157" t="s">
        <v>26</v>
      </c>
      <c r="I1157" t="s">
        <v>2115</v>
      </c>
      <c r="J1157" t="s">
        <v>2109</v>
      </c>
      <c r="K1157">
        <v>2244.48</v>
      </c>
      <c r="L1157">
        <f t="shared" si="36"/>
        <v>224448</v>
      </c>
      <c r="M1157">
        <f t="shared" si="37"/>
        <v>44889.600000000006</v>
      </c>
    </row>
    <row r="1158" spans="1:13" x14ac:dyDescent="0.3">
      <c r="A1158">
        <v>1157</v>
      </c>
      <c r="B1158" t="s">
        <v>1347</v>
      </c>
      <c r="C1158" s="1">
        <v>42358</v>
      </c>
      <c r="D1158" s="1">
        <v>42359</v>
      </c>
      <c r="E1158" t="s">
        <v>2120</v>
      </c>
      <c r="F1158" t="s">
        <v>1314</v>
      </c>
      <c r="G1158" t="s">
        <v>1315</v>
      </c>
      <c r="H1158" t="s">
        <v>26</v>
      </c>
      <c r="I1158" t="s">
        <v>2115</v>
      </c>
      <c r="J1158" t="s">
        <v>2110</v>
      </c>
      <c r="K1158">
        <v>62.31</v>
      </c>
      <c r="L1158">
        <f t="shared" si="36"/>
        <v>6231</v>
      </c>
      <c r="M1158">
        <f t="shared" si="37"/>
        <v>1246.2</v>
      </c>
    </row>
    <row r="1159" spans="1:13" x14ac:dyDescent="0.3">
      <c r="A1159">
        <v>1158</v>
      </c>
      <c r="B1159" t="s">
        <v>1347</v>
      </c>
      <c r="C1159" s="1">
        <v>42358</v>
      </c>
      <c r="D1159" s="1">
        <v>42359</v>
      </c>
      <c r="E1159" t="s">
        <v>2120</v>
      </c>
      <c r="F1159" t="s">
        <v>1314</v>
      </c>
      <c r="G1159" t="s">
        <v>1315</v>
      </c>
      <c r="H1159" t="s">
        <v>26</v>
      </c>
      <c r="I1159" t="s">
        <v>2115</v>
      </c>
      <c r="J1159" t="s">
        <v>2109</v>
      </c>
      <c r="K1159">
        <v>455.1</v>
      </c>
      <c r="L1159">
        <f t="shared" si="36"/>
        <v>45510</v>
      </c>
      <c r="M1159">
        <f t="shared" si="37"/>
        <v>9102</v>
      </c>
    </row>
    <row r="1160" spans="1:13" x14ac:dyDescent="0.3">
      <c r="A1160">
        <v>1159</v>
      </c>
      <c r="B1160" t="s">
        <v>1348</v>
      </c>
      <c r="C1160" s="1">
        <v>42918</v>
      </c>
      <c r="D1160" s="1">
        <v>42923</v>
      </c>
      <c r="E1160" t="s">
        <v>2119</v>
      </c>
      <c r="F1160" t="s">
        <v>1101</v>
      </c>
      <c r="G1160" t="s">
        <v>1102</v>
      </c>
      <c r="H1160" t="s">
        <v>10</v>
      </c>
      <c r="I1160" t="s">
        <v>2112</v>
      </c>
      <c r="J1160" t="s">
        <v>2109</v>
      </c>
      <c r="K1160">
        <v>195.184</v>
      </c>
      <c r="L1160">
        <f t="shared" si="36"/>
        <v>19518.400000000001</v>
      </c>
      <c r="M1160">
        <f t="shared" si="37"/>
        <v>3903.6800000000003</v>
      </c>
    </row>
    <row r="1161" spans="1:13" x14ac:dyDescent="0.3">
      <c r="A1161">
        <v>1160</v>
      </c>
      <c r="B1161" t="s">
        <v>1349</v>
      </c>
      <c r="C1161" s="1">
        <v>43280</v>
      </c>
      <c r="D1161" s="1">
        <v>43285</v>
      </c>
      <c r="E1161" t="s">
        <v>2118</v>
      </c>
      <c r="F1161" t="s">
        <v>1350</v>
      </c>
      <c r="G1161" t="s">
        <v>1351</v>
      </c>
      <c r="H1161" t="s">
        <v>6</v>
      </c>
      <c r="I1161" t="s">
        <v>2117</v>
      </c>
      <c r="J1161" t="s">
        <v>2110</v>
      </c>
      <c r="K1161">
        <v>362.94</v>
      </c>
      <c r="L1161">
        <f t="shared" si="36"/>
        <v>36294</v>
      </c>
      <c r="M1161">
        <f t="shared" si="37"/>
        <v>7258.8</v>
      </c>
    </row>
    <row r="1162" spans="1:13" x14ac:dyDescent="0.3">
      <c r="A1162">
        <v>1161</v>
      </c>
      <c r="B1162" t="s">
        <v>1349</v>
      </c>
      <c r="C1162" s="1">
        <v>43280</v>
      </c>
      <c r="D1162" s="1">
        <v>43285</v>
      </c>
      <c r="E1162" t="s">
        <v>2118</v>
      </c>
      <c r="F1162" t="s">
        <v>1350</v>
      </c>
      <c r="G1162" t="s">
        <v>1351</v>
      </c>
      <c r="H1162" t="s">
        <v>6</v>
      </c>
      <c r="I1162" t="s">
        <v>2117</v>
      </c>
      <c r="J1162" t="s">
        <v>2110</v>
      </c>
      <c r="K1162">
        <v>11.54</v>
      </c>
      <c r="L1162">
        <f t="shared" si="36"/>
        <v>1154</v>
      </c>
      <c r="M1162">
        <f t="shared" si="37"/>
        <v>230.8</v>
      </c>
    </row>
    <row r="1163" spans="1:13" x14ac:dyDescent="0.3">
      <c r="A1163">
        <v>1162</v>
      </c>
      <c r="B1163" t="s">
        <v>1352</v>
      </c>
      <c r="C1163" s="1">
        <v>42248</v>
      </c>
      <c r="D1163" s="1">
        <v>42252</v>
      </c>
      <c r="E1163" t="s">
        <v>2119</v>
      </c>
      <c r="F1163" t="s">
        <v>1353</v>
      </c>
      <c r="G1163" t="s">
        <v>1354</v>
      </c>
      <c r="H1163" t="s">
        <v>6</v>
      </c>
      <c r="I1163" t="s">
        <v>2112</v>
      </c>
      <c r="J1163" t="s">
        <v>2110</v>
      </c>
      <c r="K1163">
        <v>53.94</v>
      </c>
      <c r="L1163">
        <f t="shared" si="36"/>
        <v>5394</v>
      </c>
      <c r="M1163">
        <f t="shared" si="37"/>
        <v>1078.8</v>
      </c>
    </row>
    <row r="1164" spans="1:13" x14ac:dyDescent="0.3">
      <c r="A1164">
        <v>1163</v>
      </c>
      <c r="B1164" t="s">
        <v>1355</v>
      </c>
      <c r="C1164" s="1">
        <v>42066</v>
      </c>
      <c r="D1164" s="1">
        <v>42071</v>
      </c>
      <c r="E1164" t="s">
        <v>2118</v>
      </c>
      <c r="F1164" t="s">
        <v>1356</v>
      </c>
      <c r="G1164" t="s">
        <v>1357</v>
      </c>
      <c r="H1164" t="s">
        <v>26</v>
      </c>
      <c r="I1164" t="s">
        <v>2114</v>
      </c>
      <c r="J1164" t="s">
        <v>2111</v>
      </c>
      <c r="K1164">
        <v>9.99</v>
      </c>
      <c r="L1164">
        <f t="shared" si="36"/>
        <v>999</v>
      </c>
      <c r="M1164">
        <f t="shared" si="37"/>
        <v>199.8</v>
      </c>
    </row>
    <row r="1165" spans="1:13" x14ac:dyDescent="0.3">
      <c r="A1165">
        <v>1164</v>
      </c>
      <c r="B1165" t="s">
        <v>1355</v>
      </c>
      <c r="C1165" s="1">
        <v>42066</v>
      </c>
      <c r="D1165" s="1">
        <v>42071</v>
      </c>
      <c r="E1165" t="s">
        <v>2118</v>
      </c>
      <c r="F1165" t="s">
        <v>1356</v>
      </c>
      <c r="G1165" t="s">
        <v>1357</v>
      </c>
      <c r="H1165" t="s">
        <v>26</v>
      </c>
      <c r="I1165" t="s">
        <v>2114</v>
      </c>
      <c r="J1165" t="s">
        <v>2110</v>
      </c>
      <c r="K1165">
        <v>125.76</v>
      </c>
      <c r="L1165">
        <f t="shared" si="36"/>
        <v>12576</v>
      </c>
      <c r="M1165">
        <f t="shared" si="37"/>
        <v>2515.2000000000003</v>
      </c>
    </row>
    <row r="1166" spans="1:13" x14ac:dyDescent="0.3">
      <c r="A1166">
        <v>1165</v>
      </c>
      <c r="B1166" t="s">
        <v>1355</v>
      </c>
      <c r="C1166" s="1">
        <v>42066</v>
      </c>
      <c r="D1166" s="1">
        <v>42071</v>
      </c>
      <c r="E1166" t="s">
        <v>2118</v>
      </c>
      <c r="F1166" t="s">
        <v>1356</v>
      </c>
      <c r="G1166" t="s">
        <v>1357</v>
      </c>
      <c r="H1166" t="s">
        <v>26</v>
      </c>
      <c r="I1166" t="s">
        <v>2114</v>
      </c>
      <c r="J1166" t="s">
        <v>2110</v>
      </c>
      <c r="K1166">
        <v>25.32</v>
      </c>
      <c r="L1166">
        <f t="shared" si="36"/>
        <v>2532</v>
      </c>
      <c r="M1166">
        <f t="shared" si="37"/>
        <v>506.40000000000003</v>
      </c>
    </row>
    <row r="1167" spans="1:13" x14ac:dyDescent="0.3">
      <c r="A1167">
        <v>1166</v>
      </c>
      <c r="B1167" t="s">
        <v>1358</v>
      </c>
      <c r="C1167" s="1">
        <v>42128</v>
      </c>
      <c r="D1167" s="1">
        <v>42132</v>
      </c>
      <c r="E1167" t="s">
        <v>2118</v>
      </c>
      <c r="F1167" t="s">
        <v>1359</v>
      </c>
      <c r="G1167" t="s">
        <v>1360</v>
      </c>
      <c r="H1167" t="s">
        <v>6</v>
      </c>
      <c r="I1167" t="s">
        <v>2117</v>
      </c>
      <c r="J1167" t="s">
        <v>2110</v>
      </c>
      <c r="K1167">
        <v>46.8</v>
      </c>
      <c r="L1167">
        <f t="shared" si="36"/>
        <v>4680</v>
      </c>
      <c r="M1167">
        <f t="shared" si="37"/>
        <v>936</v>
      </c>
    </row>
    <row r="1168" spans="1:13" x14ac:dyDescent="0.3">
      <c r="A1168">
        <v>1167</v>
      </c>
      <c r="B1168" t="s">
        <v>1361</v>
      </c>
      <c r="C1168" s="1">
        <v>42676</v>
      </c>
      <c r="D1168" s="1">
        <v>42676</v>
      </c>
      <c r="E1168" t="s">
        <v>2120</v>
      </c>
      <c r="F1168" t="s">
        <v>342</v>
      </c>
      <c r="G1168" t="s">
        <v>343</v>
      </c>
      <c r="H1168" t="s">
        <v>6</v>
      </c>
      <c r="I1168" t="s">
        <v>2112</v>
      </c>
      <c r="J1168" t="s">
        <v>2111</v>
      </c>
      <c r="K1168">
        <v>447.93</v>
      </c>
      <c r="L1168">
        <f t="shared" si="36"/>
        <v>44793</v>
      </c>
      <c r="M1168">
        <f t="shared" si="37"/>
        <v>8958.6</v>
      </c>
    </row>
    <row r="1169" spans="1:13" x14ac:dyDescent="0.3">
      <c r="A1169">
        <v>1168</v>
      </c>
      <c r="B1169" t="s">
        <v>1362</v>
      </c>
      <c r="C1169" s="1">
        <v>43442</v>
      </c>
      <c r="D1169" s="1">
        <v>43444</v>
      </c>
      <c r="E1169" t="s">
        <v>2119</v>
      </c>
      <c r="F1169" t="s">
        <v>345</v>
      </c>
      <c r="G1169" t="s">
        <v>346</v>
      </c>
      <c r="H1169" t="s">
        <v>6</v>
      </c>
      <c r="I1169" t="s">
        <v>2114</v>
      </c>
      <c r="J1169" t="s">
        <v>2109</v>
      </c>
      <c r="K1169">
        <v>109.48</v>
      </c>
      <c r="L1169">
        <f t="shared" si="36"/>
        <v>10948</v>
      </c>
      <c r="M1169">
        <f t="shared" si="37"/>
        <v>2189.6</v>
      </c>
    </row>
    <row r="1170" spans="1:13" x14ac:dyDescent="0.3">
      <c r="A1170">
        <v>1169</v>
      </c>
      <c r="B1170" t="s">
        <v>1362</v>
      </c>
      <c r="C1170" s="1">
        <v>43442</v>
      </c>
      <c r="D1170" s="1">
        <v>43444</v>
      </c>
      <c r="E1170" t="s">
        <v>2119</v>
      </c>
      <c r="F1170" t="s">
        <v>345</v>
      </c>
      <c r="G1170" t="s">
        <v>346</v>
      </c>
      <c r="H1170" t="s">
        <v>6</v>
      </c>
      <c r="I1170" t="s">
        <v>2114</v>
      </c>
      <c r="J1170" t="s">
        <v>2110</v>
      </c>
      <c r="K1170">
        <v>272.94</v>
      </c>
      <c r="L1170">
        <f t="shared" si="36"/>
        <v>27294</v>
      </c>
      <c r="M1170">
        <f t="shared" si="37"/>
        <v>5458.8</v>
      </c>
    </row>
    <row r="1171" spans="1:13" x14ac:dyDescent="0.3">
      <c r="A1171">
        <v>1170</v>
      </c>
      <c r="B1171" t="s">
        <v>1362</v>
      </c>
      <c r="C1171" s="1">
        <v>43442</v>
      </c>
      <c r="D1171" s="1">
        <v>43444</v>
      </c>
      <c r="E1171" t="s">
        <v>2119</v>
      </c>
      <c r="F1171" t="s">
        <v>345</v>
      </c>
      <c r="G1171" t="s">
        <v>346</v>
      </c>
      <c r="H1171" t="s">
        <v>6</v>
      </c>
      <c r="I1171" t="s">
        <v>2114</v>
      </c>
      <c r="J1171" t="s">
        <v>2110</v>
      </c>
      <c r="K1171">
        <v>19.440000000000001</v>
      </c>
      <c r="L1171">
        <f t="shared" si="36"/>
        <v>1944.0000000000002</v>
      </c>
      <c r="M1171">
        <f t="shared" si="37"/>
        <v>388.80000000000007</v>
      </c>
    </row>
    <row r="1172" spans="1:13" x14ac:dyDescent="0.3">
      <c r="A1172">
        <v>1171</v>
      </c>
      <c r="B1172" t="s">
        <v>1362</v>
      </c>
      <c r="C1172" s="1">
        <v>43442</v>
      </c>
      <c r="D1172" s="1">
        <v>43444</v>
      </c>
      <c r="E1172" t="s">
        <v>2119</v>
      </c>
      <c r="F1172" t="s">
        <v>345</v>
      </c>
      <c r="G1172" t="s">
        <v>346</v>
      </c>
      <c r="H1172" t="s">
        <v>6</v>
      </c>
      <c r="I1172" t="s">
        <v>2114</v>
      </c>
      <c r="J1172" t="s">
        <v>2110</v>
      </c>
      <c r="K1172">
        <v>31.92</v>
      </c>
      <c r="L1172">
        <f t="shared" si="36"/>
        <v>3192</v>
      </c>
      <c r="M1172">
        <f t="shared" si="37"/>
        <v>638.40000000000009</v>
      </c>
    </row>
    <row r="1173" spans="1:13" x14ac:dyDescent="0.3">
      <c r="A1173">
        <v>1172</v>
      </c>
      <c r="B1173" t="s">
        <v>1363</v>
      </c>
      <c r="C1173" s="1">
        <v>42073</v>
      </c>
      <c r="D1173" s="1">
        <v>42077</v>
      </c>
      <c r="E1173" t="s">
        <v>2118</v>
      </c>
      <c r="F1173" t="s">
        <v>1159</v>
      </c>
      <c r="G1173" t="s">
        <v>1160</v>
      </c>
      <c r="H1173" t="s">
        <v>6</v>
      </c>
      <c r="I1173" t="s">
        <v>2117</v>
      </c>
      <c r="J1173" t="s">
        <v>2110</v>
      </c>
      <c r="K1173">
        <v>22.38</v>
      </c>
      <c r="L1173">
        <f t="shared" si="36"/>
        <v>2238</v>
      </c>
      <c r="M1173">
        <f t="shared" si="37"/>
        <v>447.6</v>
      </c>
    </row>
    <row r="1174" spans="1:13" x14ac:dyDescent="0.3">
      <c r="A1174">
        <v>1173</v>
      </c>
      <c r="B1174" t="s">
        <v>1364</v>
      </c>
      <c r="C1174" s="1">
        <v>42115</v>
      </c>
      <c r="D1174" s="1">
        <v>42119</v>
      </c>
      <c r="E1174" t="s">
        <v>2118</v>
      </c>
      <c r="F1174" t="s">
        <v>676</v>
      </c>
      <c r="G1174" t="s">
        <v>677</v>
      </c>
      <c r="H1174" t="s">
        <v>6</v>
      </c>
      <c r="I1174" t="s">
        <v>2112</v>
      </c>
      <c r="J1174" t="s">
        <v>2110</v>
      </c>
      <c r="K1174">
        <v>16.52</v>
      </c>
      <c r="L1174">
        <f t="shared" si="36"/>
        <v>1652</v>
      </c>
      <c r="M1174">
        <f t="shared" si="37"/>
        <v>330.40000000000003</v>
      </c>
    </row>
    <row r="1175" spans="1:13" x14ac:dyDescent="0.3">
      <c r="A1175">
        <v>1174</v>
      </c>
      <c r="B1175" t="s">
        <v>1365</v>
      </c>
      <c r="C1175" s="1">
        <v>42665</v>
      </c>
      <c r="D1175" s="1">
        <v>42669</v>
      </c>
      <c r="E1175" t="s">
        <v>2118</v>
      </c>
      <c r="F1175" t="s">
        <v>971</v>
      </c>
      <c r="G1175" t="s">
        <v>972</v>
      </c>
      <c r="H1175" t="s">
        <v>6</v>
      </c>
      <c r="I1175" t="s">
        <v>2117</v>
      </c>
      <c r="J1175" t="s">
        <v>2110</v>
      </c>
      <c r="K1175">
        <v>5.1760000000000002</v>
      </c>
      <c r="L1175">
        <f t="shared" si="36"/>
        <v>517.6</v>
      </c>
      <c r="M1175">
        <f t="shared" si="37"/>
        <v>103.52000000000001</v>
      </c>
    </row>
    <row r="1176" spans="1:13" x14ac:dyDescent="0.3">
      <c r="A1176">
        <v>1175</v>
      </c>
      <c r="B1176" t="s">
        <v>1366</v>
      </c>
      <c r="C1176" s="1">
        <v>42604</v>
      </c>
      <c r="D1176" s="1">
        <v>42607</v>
      </c>
      <c r="E1176" t="s">
        <v>2120</v>
      </c>
      <c r="F1176" t="s">
        <v>1038</v>
      </c>
      <c r="G1176" t="s">
        <v>1039</v>
      </c>
      <c r="H1176" t="s">
        <v>10</v>
      </c>
      <c r="I1176" t="s">
        <v>2114</v>
      </c>
      <c r="J1176" t="s">
        <v>2110</v>
      </c>
      <c r="K1176">
        <v>50.112000000000002</v>
      </c>
      <c r="L1176">
        <f t="shared" si="36"/>
        <v>5011.2</v>
      </c>
      <c r="M1176">
        <f t="shared" si="37"/>
        <v>1002.24</v>
      </c>
    </row>
    <row r="1177" spans="1:13" x14ac:dyDescent="0.3">
      <c r="A1177">
        <v>1176</v>
      </c>
      <c r="B1177" t="s">
        <v>1367</v>
      </c>
      <c r="C1177" s="1">
        <v>42976</v>
      </c>
      <c r="D1177" s="1">
        <v>42981</v>
      </c>
      <c r="E1177" t="s">
        <v>2118</v>
      </c>
      <c r="F1177" t="s">
        <v>454</v>
      </c>
      <c r="G1177" t="s">
        <v>455</v>
      </c>
      <c r="H1177" t="s">
        <v>26</v>
      </c>
      <c r="I1177" t="s">
        <v>2114</v>
      </c>
      <c r="J1177" t="s">
        <v>2110</v>
      </c>
      <c r="K1177">
        <v>27.93</v>
      </c>
      <c r="L1177">
        <f t="shared" si="36"/>
        <v>2793</v>
      </c>
      <c r="M1177">
        <f t="shared" si="37"/>
        <v>558.6</v>
      </c>
    </row>
    <row r="1178" spans="1:13" x14ac:dyDescent="0.3">
      <c r="A1178">
        <v>1177</v>
      </c>
      <c r="B1178" t="s">
        <v>1368</v>
      </c>
      <c r="C1178" s="1">
        <v>42365</v>
      </c>
      <c r="D1178" s="1">
        <v>42368</v>
      </c>
      <c r="E1178" t="s">
        <v>2119</v>
      </c>
      <c r="F1178" t="s">
        <v>1369</v>
      </c>
      <c r="G1178" t="s">
        <v>1370</v>
      </c>
      <c r="H1178" t="s">
        <v>26</v>
      </c>
      <c r="I1178" t="s">
        <v>2112</v>
      </c>
      <c r="J1178" t="s">
        <v>2110</v>
      </c>
      <c r="K1178">
        <v>11.56</v>
      </c>
      <c r="L1178">
        <f t="shared" si="36"/>
        <v>1156</v>
      </c>
      <c r="M1178">
        <f t="shared" si="37"/>
        <v>231.20000000000002</v>
      </c>
    </row>
    <row r="1179" spans="1:13" x14ac:dyDescent="0.3">
      <c r="A1179">
        <v>1178</v>
      </c>
      <c r="B1179" t="s">
        <v>1371</v>
      </c>
      <c r="C1179" s="1">
        <v>43070</v>
      </c>
      <c r="D1179" s="1">
        <v>43074</v>
      </c>
      <c r="E1179" t="s">
        <v>2118</v>
      </c>
      <c r="F1179" t="s">
        <v>104</v>
      </c>
      <c r="G1179" t="s">
        <v>105</v>
      </c>
      <c r="H1179" t="s">
        <v>6</v>
      </c>
      <c r="I1179" t="s">
        <v>2114</v>
      </c>
      <c r="J1179" t="s">
        <v>2109</v>
      </c>
      <c r="K1179">
        <v>172.5</v>
      </c>
      <c r="L1179">
        <f t="shared" si="36"/>
        <v>17250</v>
      </c>
      <c r="M1179">
        <f t="shared" si="37"/>
        <v>3450</v>
      </c>
    </row>
    <row r="1180" spans="1:13" x14ac:dyDescent="0.3">
      <c r="A1180">
        <v>1179</v>
      </c>
      <c r="B1180" t="s">
        <v>1371</v>
      </c>
      <c r="C1180" s="1">
        <v>43070</v>
      </c>
      <c r="D1180" s="1">
        <v>43074</v>
      </c>
      <c r="E1180" t="s">
        <v>2118</v>
      </c>
      <c r="F1180" t="s">
        <v>104</v>
      </c>
      <c r="G1180" t="s">
        <v>105</v>
      </c>
      <c r="H1180" t="s">
        <v>6</v>
      </c>
      <c r="I1180" t="s">
        <v>2114</v>
      </c>
      <c r="J1180" t="s">
        <v>2111</v>
      </c>
      <c r="K1180">
        <v>179.97</v>
      </c>
      <c r="L1180">
        <f t="shared" si="36"/>
        <v>17997</v>
      </c>
      <c r="M1180">
        <f t="shared" si="37"/>
        <v>3599.4</v>
      </c>
    </row>
    <row r="1181" spans="1:13" x14ac:dyDescent="0.3">
      <c r="A1181">
        <v>1180</v>
      </c>
      <c r="B1181" t="s">
        <v>1372</v>
      </c>
      <c r="C1181" s="1">
        <v>42849</v>
      </c>
      <c r="D1181" s="1">
        <v>42852</v>
      </c>
      <c r="E1181" t="s">
        <v>2119</v>
      </c>
      <c r="F1181" t="s">
        <v>1373</v>
      </c>
      <c r="G1181" t="s">
        <v>1374</v>
      </c>
      <c r="H1181" t="s">
        <v>26</v>
      </c>
      <c r="I1181" t="s">
        <v>2117</v>
      </c>
      <c r="J1181" t="s">
        <v>2111</v>
      </c>
      <c r="K1181">
        <v>258.69600000000003</v>
      </c>
      <c r="L1181">
        <f t="shared" si="36"/>
        <v>25869.600000000002</v>
      </c>
      <c r="M1181">
        <f t="shared" si="37"/>
        <v>5173.920000000001</v>
      </c>
    </row>
    <row r="1182" spans="1:13" x14ac:dyDescent="0.3">
      <c r="A1182">
        <v>1181</v>
      </c>
      <c r="B1182" t="s">
        <v>1375</v>
      </c>
      <c r="C1182" s="1">
        <v>42176</v>
      </c>
      <c r="D1182" s="1">
        <v>42180</v>
      </c>
      <c r="E1182" t="s">
        <v>2118</v>
      </c>
      <c r="F1182" t="s">
        <v>226</v>
      </c>
      <c r="G1182" t="s">
        <v>227</v>
      </c>
      <c r="H1182" t="s">
        <v>6</v>
      </c>
      <c r="I1182" t="s">
        <v>2114</v>
      </c>
      <c r="J1182" t="s">
        <v>2111</v>
      </c>
      <c r="K1182">
        <v>1322.93</v>
      </c>
      <c r="L1182">
        <f t="shared" si="36"/>
        <v>132293</v>
      </c>
      <c r="M1182">
        <f t="shared" si="37"/>
        <v>26458.600000000002</v>
      </c>
    </row>
    <row r="1183" spans="1:13" x14ac:dyDescent="0.3">
      <c r="A1183">
        <v>1182</v>
      </c>
      <c r="B1183" t="s">
        <v>1375</v>
      </c>
      <c r="C1183" s="1">
        <v>42176</v>
      </c>
      <c r="D1183" s="1">
        <v>42180</v>
      </c>
      <c r="E1183" t="s">
        <v>2118</v>
      </c>
      <c r="F1183" t="s">
        <v>226</v>
      </c>
      <c r="G1183" t="s">
        <v>227</v>
      </c>
      <c r="H1183" t="s">
        <v>6</v>
      </c>
      <c r="I1183" t="s">
        <v>2114</v>
      </c>
      <c r="J1183" t="s">
        <v>2110</v>
      </c>
      <c r="K1183">
        <v>3.76</v>
      </c>
      <c r="L1183">
        <f t="shared" si="36"/>
        <v>376</v>
      </c>
      <c r="M1183">
        <f t="shared" si="37"/>
        <v>75.2</v>
      </c>
    </row>
    <row r="1184" spans="1:13" x14ac:dyDescent="0.3">
      <c r="A1184">
        <v>1183</v>
      </c>
      <c r="B1184" t="s">
        <v>1376</v>
      </c>
      <c r="C1184" s="1">
        <v>43114</v>
      </c>
      <c r="D1184" s="1">
        <v>43115</v>
      </c>
      <c r="E1184" t="s">
        <v>2120</v>
      </c>
      <c r="F1184" t="s">
        <v>845</v>
      </c>
      <c r="G1184" t="s">
        <v>846</v>
      </c>
      <c r="H1184" t="s">
        <v>6</v>
      </c>
      <c r="I1184" t="s">
        <v>2115</v>
      </c>
      <c r="J1184" t="s">
        <v>2110</v>
      </c>
      <c r="K1184">
        <v>21.744</v>
      </c>
      <c r="L1184">
        <f t="shared" si="36"/>
        <v>2174.4</v>
      </c>
      <c r="M1184">
        <f t="shared" si="37"/>
        <v>434.88000000000005</v>
      </c>
    </row>
    <row r="1185" spans="1:13" x14ac:dyDescent="0.3">
      <c r="A1185">
        <v>1184</v>
      </c>
      <c r="B1185" t="s">
        <v>1376</v>
      </c>
      <c r="C1185" s="1">
        <v>43114</v>
      </c>
      <c r="D1185" s="1">
        <v>43115</v>
      </c>
      <c r="E1185" t="s">
        <v>2120</v>
      </c>
      <c r="F1185" t="s">
        <v>845</v>
      </c>
      <c r="G1185" t="s">
        <v>846</v>
      </c>
      <c r="H1185" t="s">
        <v>6</v>
      </c>
      <c r="I1185" t="s">
        <v>2115</v>
      </c>
      <c r="J1185" t="s">
        <v>2111</v>
      </c>
      <c r="K1185">
        <v>7.92</v>
      </c>
      <c r="L1185">
        <f t="shared" si="36"/>
        <v>792</v>
      </c>
      <c r="M1185">
        <f t="shared" si="37"/>
        <v>158.4</v>
      </c>
    </row>
    <row r="1186" spans="1:13" x14ac:dyDescent="0.3">
      <c r="A1186">
        <v>1185</v>
      </c>
      <c r="B1186" t="s">
        <v>1377</v>
      </c>
      <c r="C1186" s="1">
        <v>42332</v>
      </c>
      <c r="D1186" s="1">
        <v>42338</v>
      </c>
      <c r="E1186" t="s">
        <v>2118</v>
      </c>
      <c r="F1186" t="s">
        <v>1378</v>
      </c>
      <c r="G1186" t="s">
        <v>1379</v>
      </c>
      <c r="H1186" t="s">
        <v>10</v>
      </c>
      <c r="I1186" t="s">
        <v>2112</v>
      </c>
      <c r="J1186" t="s">
        <v>2110</v>
      </c>
      <c r="K1186">
        <v>12.096</v>
      </c>
      <c r="L1186">
        <f t="shared" si="36"/>
        <v>1209.5999999999999</v>
      </c>
      <c r="M1186">
        <f t="shared" si="37"/>
        <v>241.92</v>
      </c>
    </row>
    <row r="1187" spans="1:13" x14ac:dyDescent="0.3">
      <c r="A1187">
        <v>1186</v>
      </c>
      <c r="B1187" t="s">
        <v>1377</v>
      </c>
      <c r="C1187" s="1">
        <v>42332</v>
      </c>
      <c r="D1187" s="1">
        <v>42338</v>
      </c>
      <c r="E1187" t="s">
        <v>2118</v>
      </c>
      <c r="F1187" t="s">
        <v>1378</v>
      </c>
      <c r="G1187" t="s">
        <v>1379</v>
      </c>
      <c r="H1187" t="s">
        <v>10</v>
      </c>
      <c r="I1187" t="s">
        <v>2112</v>
      </c>
      <c r="J1187" t="s">
        <v>2110</v>
      </c>
      <c r="K1187">
        <v>485.88</v>
      </c>
      <c r="L1187">
        <f t="shared" si="36"/>
        <v>48588</v>
      </c>
      <c r="M1187">
        <f t="shared" si="37"/>
        <v>9717.6</v>
      </c>
    </row>
    <row r="1188" spans="1:13" x14ac:dyDescent="0.3">
      <c r="A1188">
        <v>1187</v>
      </c>
      <c r="B1188" t="s">
        <v>1377</v>
      </c>
      <c r="C1188" s="1">
        <v>42332</v>
      </c>
      <c r="D1188" s="1">
        <v>42338</v>
      </c>
      <c r="E1188" t="s">
        <v>2118</v>
      </c>
      <c r="F1188" t="s">
        <v>1378</v>
      </c>
      <c r="G1188" t="s">
        <v>1379</v>
      </c>
      <c r="H1188" t="s">
        <v>10</v>
      </c>
      <c r="I1188" t="s">
        <v>2112</v>
      </c>
      <c r="J1188" t="s">
        <v>2110</v>
      </c>
      <c r="K1188">
        <v>25.92</v>
      </c>
      <c r="L1188">
        <f t="shared" si="36"/>
        <v>2592</v>
      </c>
      <c r="M1188">
        <f t="shared" si="37"/>
        <v>518.4</v>
      </c>
    </row>
    <row r="1189" spans="1:13" x14ac:dyDescent="0.3">
      <c r="A1189">
        <v>1188</v>
      </c>
      <c r="B1189" t="s">
        <v>1377</v>
      </c>
      <c r="C1189" s="1">
        <v>42332</v>
      </c>
      <c r="D1189" s="1">
        <v>42338</v>
      </c>
      <c r="E1189" t="s">
        <v>2118</v>
      </c>
      <c r="F1189" t="s">
        <v>1378</v>
      </c>
      <c r="G1189" t="s">
        <v>1379</v>
      </c>
      <c r="H1189" t="s">
        <v>10</v>
      </c>
      <c r="I1189" t="s">
        <v>2112</v>
      </c>
      <c r="J1189" t="s">
        <v>2110</v>
      </c>
      <c r="K1189">
        <v>197.58</v>
      </c>
      <c r="L1189">
        <f t="shared" si="36"/>
        <v>19758</v>
      </c>
      <c r="M1189">
        <f t="shared" si="37"/>
        <v>3951.6000000000004</v>
      </c>
    </row>
    <row r="1190" spans="1:13" x14ac:dyDescent="0.3">
      <c r="A1190">
        <v>1189</v>
      </c>
      <c r="B1190" t="s">
        <v>1380</v>
      </c>
      <c r="C1190" s="1">
        <v>43157</v>
      </c>
      <c r="D1190" s="1">
        <v>43159</v>
      </c>
      <c r="E1190" t="s">
        <v>2119</v>
      </c>
      <c r="F1190" t="s">
        <v>1381</v>
      </c>
      <c r="G1190" t="s">
        <v>1382</v>
      </c>
      <c r="H1190" t="s">
        <v>26</v>
      </c>
      <c r="I1190" t="s">
        <v>2112</v>
      </c>
      <c r="J1190" t="s">
        <v>2110</v>
      </c>
      <c r="K1190">
        <v>81.92</v>
      </c>
      <c r="L1190">
        <f t="shared" si="36"/>
        <v>8192</v>
      </c>
      <c r="M1190">
        <f t="shared" si="37"/>
        <v>1638.4</v>
      </c>
    </row>
    <row r="1191" spans="1:13" x14ac:dyDescent="0.3">
      <c r="A1191">
        <v>1190</v>
      </c>
      <c r="B1191" t="s">
        <v>1380</v>
      </c>
      <c r="C1191" s="1">
        <v>43157</v>
      </c>
      <c r="D1191" s="1">
        <v>43159</v>
      </c>
      <c r="E1191" t="s">
        <v>2119</v>
      </c>
      <c r="F1191" t="s">
        <v>1381</v>
      </c>
      <c r="G1191" t="s">
        <v>1382</v>
      </c>
      <c r="H1191" t="s">
        <v>26</v>
      </c>
      <c r="I1191" t="s">
        <v>2112</v>
      </c>
      <c r="J1191" t="s">
        <v>2111</v>
      </c>
      <c r="K1191">
        <v>889.53599999999994</v>
      </c>
      <c r="L1191">
        <f t="shared" si="36"/>
        <v>88953.599999999991</v>
      </c>
      <c r="M1191">
        <f t="shared" si="37"/>
        <v>17790.719999999998</v>
      </c>
    </row>
    <row r="1192" spans="1:13" x14ac:dyDescent="0.3">
      <c r="A1192">
        <v>1191</v>
      </c>
      <c r="B1192" t="s">
        <v>1380</v>
      </c>
      <c r="C1192" s="1">
        <v>43157</v>
      </c>
      <c r="D1192" s="1">
        <v>43159</v>
      </c>
      <c r="E1192" t="s">
        <v>2119</v>
      </c>
      <c r="F1192" t="s">
        <v>1381</v>
      </c>
      <c r="G1192" t="s">
        <v>1382</v>
      </c>
      <c r="H1192" t="s">
        <v>26</v>
      </c>
      <c r="I1192" t="s">
        <v>2112</v>
      </c>
      <c r="J1192" t="s">
        <v>2109</v>
      </c>
      <c r="K1192">
        <v>892.22400000000005</v>
      </c>
      <c r="L1192">
        <f t="shared" si="36"/>
        <v>89222.400000000009</v>
      </c>
      <c r="M1192">
        <f t="shared" si="37"/>
        <v>17844.480000000003</v>
      </c>
    </row>
    <row r="1193" spans="1:13" x14ac:dyDescent="0.3">
      <c r="A1193">
        <v>1192</v>
      </c>
      <c r="B1193" t="s">
        <v>1380</v>
      </c>
      <c r="C1193" s="1">
        <v>43157</v>
      </c>
      <c r="D1193" s="1">
        <v>43159</v>
      </c>
      <c r="E1193" t="s">
        <v>2119</v>
      </c>
      <c r="F1193" t="s">
        <v>1381</v>
      </c>
      <c r="G1193" t="s">
        <v>1382</v>
      </c>
      <c r="H1193" t="s">
        <v>26</v>
      </c>
      <c r="I1193" t="s">
        <v>2112</v>
      </c>
      <c r="J1193" t="s">
        <v>2110</v>
      </c>
      <c r="K1193">
        <v>223.92</v>
      </c>
      <c r="L1193">
        <f t="shared" si="36"/>
        <v>22392</v>
      </c>
      <c r="M1193">
        <f t="shared" si="37"/>
        <v>4478.4000000000005</v>
      </c>
    </row>
    <row r="1194" spans="1:13" x14ac:dyDescent="0.3">
      <c r="A1194">
        <v>1193</v>
      </c>
      <c r="B1194" t="s">
        <v>1380</v>
      </c>
      <c r="C1194" s="1">
        <v>43157</v>
      </c>
      <c r="D1194" s="1">
        <v>43159</v>
      </c>
      <c r="E1194" t="s">
        <v>2119</v>
      </c>
      <c r="F1194" t="s">
        <v>1381</v>
      </c>
      <c r="G1194" t="s">
        <v>1382</v>
      </c>
      <c r="H1194" t="s">
        <v>26</v>
      </c>
      <c r="I1194" t="s">
        <v>2112</v>
      </c>
      <c r="J1194" t="s">
        <v>2110</v>
      </c>
      <c r="K1194">
        <v>23.12</v>
      </c>
      <c r="L1194">
        <f t="shared" si="36"/>
        <v>2312</v>
      </c>
      <c r="M1194">
        <f t="shared" si="37"/>
        <v>462.40000000000003</v>
      </c>
    </row>
    <row r="1195" spans="1:13" x14ac:dyDescent="0.3">
      <c r="A1195">
        <v>1194</v>
      </c>
      <c r="B1195" t="s">
        <v>1383</v>
      </c>
      <c r="C1195" s="1">
        <v>42628</v>
      </c>
      <c r="D1195" s="1">
        <v>42628</v>
      </c>
      <c r="E1195" t="s">
        <v>2120</v>
      </c>
      <c r="F1195" t="s">
        <v>778</v>
      </c>
      <c r="G1195" t="s">
        <v>779</v>
      </c>
      <c r="H1195" t="s">
        <v>10</v>
      </c>
      <c r="I1195" t="s">
        <v>2115</v>
      </c>
      <c r="J1195" t="s">
        <v>2110</v>
      </c>
      <c r="K1195">
        <v>15.552</v>
      </c>
      <c r="L1195">
        <f t="shared" si="36"/>
        <v>1555.2</v>
      </c>
      <c r="M1195">
        <f t="shared" si="37"/>
        <v>311.04000000000002</v>
      </c>
    </row>
    <row r="1196" spans="1:13" x14ac:dyDescent="0.3">
      <c r="A1196">
        <v>1195</v>
      </c>
      <c r="B1196" t="s">
        <v>1383</v>
      </c>
      <c r="C1196" s="1">
        <v>42628</v>
      </c>
      <c r="D1196" s="1">
        <v>42628</v>
      </c>
      <c r="E1196" t="s">
        <v>2120</v>
      </c>
      <c r="F1196" t="s">
        <v>778</v>
      </c>
      <c r="G1196" t="s">
        <v>779</v>
      </c>
      <c r="H1196" t="s">
        <v>10</v>
      </c>
      <c r="I1196" t="s">
        <v>2115</v>
      </c>
      <c r="J1196" t="s">
        <v>2109</v>
      </c>
      <c r="K1196">
        <v>15.712</v>
      </c>
      <c r="L1196">
        <f t="shared" si="36"/>
        <v>1571.2</v>
      </c>
      <c r="M1196">
        <f t="shared" si="37"/>
        <v>314.24</v>
      </c>
    </row>
    <row r="1197" spans="1:13" x14ac:dyDescent="0.3">
      <c r="A1197">
        <v>1196</v>
      </c>
      <c r="B1197" t="s">
        <v>1383</v>
      </c>
      <c r="C1197" s="1">
        <v>42628</v>
      </c>
      <c r="D1197" s="1">
        <v>42628</v>
      </c>
      <c r="E1197" t="s">
        <v>2120</v>
      </c>
      <c r="F1197" t="s">
        <v>778</v>
      </c>
      <c r="G1197" t="s">
        <v>779</v>
      </c>
      <c r="H1197" t="s">
        <v>10</v>
      </c>
      <c r="I1197" t="s">
        <v>2115</v>
      </c>
      <c r="J1197" t="s">
        <v>2110</v>
      </c>
      <c r="K1197">
        <v>24.672000000000001</v>
      </c>
      <c r="L1197">
        <f t="shared" si="36"/>
        <v>2467.2000000000003</v>
      </c>
      <c r="M1197">
        <f t="shared" si="37"/>
        <v>493.44000000000005</v>
      </c>
    </row>
    <row r="1198" spans="1:13" x14ac:dyDescent="0.3">
      <c r="A1198">
        <v>1197</v>
      </c>
      <c r="B1198" t="s">
        <v>1383</v>
      </c>
      <c r="C1198" s="1">
        <v>42628</v>
      </c>
      <c r="D1198" s="1">
        <v>42628</v>
      </c>
      <c r="E1198" t="s">
        <v>2120</v>
      </c>
      <c r="F1198" t="s">
        <v>778</v>
      </c>
      <c r="G1198" t="s">
        <v>779</v>
      </c>
      <c r="H1198" t="s">
        <v>10</v>
      </c>
      <c r="I1198" t="s">
        <v>2115</v>
      </c>
      <c r="J1198" t="s">
        <v>2109</v>
      </c>
      <c r="K1198">
        <v>55.968000000000004</v>
      </c>
      <c r="L1198">
        <f t="shared" si="36"/>
        <v>5596.8</v>
      </c>
      <c r="M1198">
        <f t="shared" si="37"/>
        <v>1119.3600000000001</v>
      </c>
    </row>
    <row r="1199" spans="1:13" x14ac:dyDescent="0.3">
      <c r="A1199">
        <v>1198</v>
      </c>
      <c r="B1199" t="s">
        <v>1384</v>
      </c>
      <c r="C1199" s="1">
        <v>42833</v>
      </c>
      <c r="D1199" s="1">
        <v>42837</v>
      </c>
      <c r="E1199" t="s">
        <v>2118</v>
      </c>
      <c r="F1199" t="s">
        <v>748</v>
      </c>
      <c r="G1199" t="s">
        <v>749</v>
      </c>
      <c r="H1199" t="s">
        <v>6</v>
      </c>
      <c r="I1199" t="s">
        <v>2117</v>
      </c>
      <c r="J1199" t="s">
        <v>2111</v>
      </c>
      <c r="K1199">
        <v>431.928</v>
      </c>
      <c r="L1199">
        <f t="shared" si="36"/>
        <v>43192.800000000003</v>
      </c>
      <c r="M1199">
        <f t="shared" si="37"/>
        <v>8638.5600000000013</v>
      </c>
    </row>
    <row r="1200" spans="1:13" x14ac:dyDescent="0.3">
      <c r="A1200">
        <v>1199</v>
      </c>
      <c r="B1200" t="s">
        <v>1384</v>
      </c>
      <c r="C1200" s="1">
        <v>42833</v>
      </c>
      <c r="D1200" s="1">
        <v>42837</v>
      </c>
      <c r="E1200" t="s">
        <v>2118</v>
      </c>
      <c r="F1200" t="s">
        <v>748</v>
      </c>
      <c r="G1200" t="s">
        <v>749</v>
      </c>
      <c r="H1200" t="s">
        <v>6</v>
      </c>
      <c r="I1200" t="s">
        <v>2117</v>
      </c>
      <c r="J1200" t="s">
        <v>2109</v>
      </c>
      <c r="K1200">
        <v>95.983999999999995</v>
      </c>
      <c r="L1200">
        <f t="shared" si="36"/>
        <v>9598.4</v>
      </c>
      <c r="M1200">
        <f t="shared" si="37"/>
        <v>1919.68</v>
      </c>
    </row>
    <row r="1201" spans="1:13" x14ac:dyDescent="0.3">
      <c r="A1201">
        <v>1200</v>
      </c>
      <c r="B1201" t="s">
        <v>1384</v>
      </c>
      <c r="C1201" s="1">
        <v>42833</v>
      </c>
      <c r="D1201" s="1">
        <v>42837</v>
      </c>
      <c r="E1201" t="s">
        <v>2118</v>
      </c>
      <c r="F1201" t="s">
        <v>748</v>
      </c>
      <c r="G1201" t="s">
        <v>749</v>
      </c>
      <c r="H1201" t="s">
        <v>6</v>
      </c>
      <c r="I1201" t="s">
        <v>2117</v>
      </c>
      <c r="J1201" t="s">
        <v>2110</v>
      </c>
      <c r="K1201">
        <v>1088.7919999999999</v>
      </c>
      <c r="L1201">
        <f t="shared" si="36"/>
        <v>108879.2</v>
      </c>
      <c r="M1201">
        <f t="shared" si="37"/>
        <v>21775.84</v>
      </c>
    </row>
    <row r="1202" spans="1:13" x14ac:dyDescent="0.3">
      <c r="A1202">
        <v>1201</v>
      </c>
      <c r="B1202" t="s">
        <v>1385</v>
      </c>
      <c r="C1202" s="1">
        <v>42934</v>
      </c>
      <c r="D1202" s="1">
        <v>42940</v>
      </c>
      <c r="E1202" t="s">
        <v>2118</v>
      </c>
      <c r="F1202" t="s">
        <v>1056</v>
      </c>
      <c r="G1202" t="s">
        <v>2116</v>
      </c>
      <c r="H1202" t="s">
        <v>10</v>
      </c>
      <c r="I1202" t="s">
        <v>2112</v>
      </c>
      <c r="J1202" t="s">
        <v>2109</v>
      </c>
      <c r="K1202">
        <v>544.00800000000004</v>
      </c>
      <c r="L1202">
        <f t="shared" si="36"/>
        <v>54400.800000000003</v>
      </c>
      <c r="M1202">
        <f t="shared" si="37"/>
        <v>10880.160000000002</v>
      </c>
    </row>
    <row r="1203" spans="1:13" x14ac:dyDescent="0.3">
      <c r="A1203">
        <v>1202</v>
      </c>
      <c r="B1203" t="s">
        <v>1385</v>
      </c>
      <c r="C1203" s="1">
        <v>42934</v>
      </c>
      <c r="D1203" s="1">
        <v>42940</v>
      </c>
      <c r="E1203" t="s">
        <v>2118</v>
      </c>
      <c r="F1203" t="s">
        <v>1056</v>
      </c>
      <c r="G1203" t="s">
        <v>2116</v>
      </c>
      <c r="H1203" t="s">
        <v>10</v>
      </c>
      <c r="I1203" t="s">
        <v>2112</v>
      </c>
      <c r="J1203" t="s">
        <v>2110</v>
      </c>
      <c r="K1203">
        <v>1.8720000000000001</v>
      </c>
      <c r="L1203">
        <f t="shared" si="36"/>
        <v>187.20000000000002</v>
      </c>
      <c r="M1203">
        <f t="shared" si="37"/>
        <v>37.440000000000005</v>
      </c>
    </row>
    <row r="1204" spans="1:13" x14ac:dyDescent="0.3">
      <c r="A1204">
        <v>1203</v>
      </c>
      <c r="B1204" t="s">
        <v>1385</v>
      </c>
      <c r="C1204" s="1">
        <v>42934</v>
      </c>
      <c r="D1204" s="1">
        <v>42940</v>
      </c>
      <c r="E1204" t="s">
        <v>2118</v>
      </c>
      <c r="F1204" t="s">
        <v>1056</v>
      </c>
      <c r="G1204" t="s">
        <v>2116</v>
      </c>
      <c r="H1204" t="s">
        <v>10</v>
      </c>
      <c r="I1204" t="s">
        <v>2112</v>
      </c>
      <c r="J1204" t="s">
        <v>2109</v>
      </c>
      <c r="K1204">
        <v>854.35199999999998</v>
      </c>
      <c r="L1204">
        <f t="shared" si="36"/>
        <v>85435.199999999997</v>
      </c>
      <c r="M1204">
        <f t="shared" si="37"/>
        <v>17087.04</v>
      </c>
    </row>
    <row r="1205" spans="1:13" x14ac:dyDescent="0.3">
      <c r="A1205">
        <v>1204</v>
      </c>
      <c r="B1205" t="s">
        <v>1385</v>
      </c>
      <c r="C1205" s="1">
        <v>42934</v>
      </c>
      <c r="D1205" s="1">
        <v>42940</v>
      </c>
      <c r="E1205" t="s">
        <v>2118</v>
      </c>
      <c r="F1205" t="s">
        <v>1056</v>
      </c>
      <c r="G1205" t="s">
        <v>2116</v>
      </c>
      <c r="H1205" t="s">
        <v>10</v>
      </c>
      <c r="I1205" t="s">
        <v>2112</v>
      </c>
      <c r="J1205" t="s">
        <v>2110</v>
      </c>
      <c r="K1205">
        <v>593.56799999999998</v>
      </c>
      <c r="L1205">
        <f t="shared" si="36"/>
        <v>59356.799999999996</v>
      </c>
      <c r="M1205">
        <f t="shared" si="37"/>
        <v>11871.36</v>
      </c>
    </row>
    <row r="1206" spans="1:13" x14ac:dyDescent="0.3">
      <c r="A1206">
        <v>1205</v>
      </c>
      <c r="B1206" t="s">
        <v>1385</v>
      </c>
      <c r="C1206" s="1">
        <v>42934</v>
      </c>
      <c r="D1206" s="1">
        <v>42940</v>
      </c>
      <c r="E1206" t="s">
        <v>2118</v>
      </c>
      <c r="F1206" t="s">
        <v>1056</v>
      </c>
      <c r="G1206" t="s">
        <v>2116</v>
      </c>
      <c r="H1206" t="s">
        <v>10</v>
      </c>
      <c r="I1206" t="s">
        <v>2112</v>
      </c>
      <c r="J1206" t="s">
        <v>2110</v>
      </c>
      <c r="K1206">
        <v>338.04</v>
      </c>
      <c r="L1206">
        <f t="shared" si="36"/>
        <v>33804</v>
      </c>
      <c r="M1206">
        <f t="shared" si="37"/>
        <v>6760.8</v>
      </c>
    </row>
    <row r="1207" spans="1:13" x14ac:dyDescent="0.3">
      <c r="A1207">
        <v>1206</v>
      </c>
      <c r="B1207" t="s">
        <v>1386</v>
      </c>
      <c r="C1207" s="1">
        <v>43313</v>
      </c>
      <c r="D1207" s="1">
        <v>43316</v>
      </c>
      <c r="E1207" t="s">
        <v>2120</v>
      </c>
      <c r="F1207" t="s">
        <v>1387</v>
      </c>
      <c r="G1207" t="s">
        <v>1388</v>
      </c>
      <c r="H1207" t="s">
        <v>6</v>
      </c>
      <c r="I1207" t="s">
        <v>2115</v>
      </c>
      <c r="J1207" t="s">
        <v>2111</v>
      </c>
      <c r="K1207">
        <v>271.95999999999998</v>
      </c>
      <c r="L1207">
        <f t="shared" si="36"/>
        <v>27195.999999999996</v>
      </c>
      <c r="M1207">
        <f t="shared" si="37"/>
        <v>5439.2</v>
      </c>
    </row>
    <row r="1208" spans="1:13" x14ac:dyDescent="0.3">
      <c r="A1208">
        <v>1207</v>
      </c>
      <c r="B1208" t="s">
        <v>1389</v>
      </c>
      <c r="C1208" s="1">
        <v>42930</v>
      </c>
      <c r="D1208" s="1">
        <v>42934</v>
      </c>
      <c r="E1208" t="s">
        <v>2119</v>
      </c>
      <c r="F1208" t="s">
        <v>1390</v>
      </c>
      <c r="G1208" t="s">
        <v>1391</v>
      </c>
      <c r="H1208" t="s">
        <v>10</v>
      </c>
      <c r="I1208" t="s">
        <v>2114</v>
      </c>
      <c r="J1208" t="s">
        <v>2110</v>
      </c>
      <c r="K1208">
        <v>11.21</v>
      </c>
      <c r="L1208">
        <f t="shared" si="36"/>
        <v>1121</v>
      </c>
      <c r="M1208">
        <f t="shared" si="37"/>
        <v>224.20000000000002</v>
      </c>
    </row>
    <row r="1209" spans="1:13" x14ac:dyDescent="0.3">
      <c r="A1209">
        <v>1208</v>
      </c>
      <c r="B1209" t="s">
        <v>1389</v>
      </c>
      <c r="C1209" s="1">
        <v>42930</v>
      </c>
      <c r="D1209" s="1">
        <v>42934</v>
      </c>
      <c r="E1209" t="s">
        <v>2119</v>
      </c>
      <c r="F1209" t="s">
        <v>1390</v>
      </c>
      <c r="G1209" t="s">
        <v>1391</v>
      </c>
      <c r="H1209" t="s">
        <v>10</v>
      </c>
      <c r="I1209" t="s">
        <v>2114</v>
      </c>
      <c r="J1209" t="s">
        <v>2110</v>
      </c>
      <c r="K1209">
        <v>9.1440000000000001</v>
      </c>
      <c r="L1209">
        <f t="shared" si="36"/>
        <v>914.4</v>
      </c>
      <c r="M1209">
        <f t="shared" si="37"/>
        <v>182.88</v>
      </c>
    </row>
    <row r="1210" spans="1:13" x14ac:dyDescent="0.3">
      <c r="A1210">
        <v>1209</v>
      </c>
      <c r="B1210" t="s">
        <v>1389</v>
      </c>
      <c r="C1210" s="1">
        <v>42930</v>
      </c>
      <c r="D1210" s="1">
        <v>42934</v>
      </c>
      <c r="E1210" t="s">
        <v>2119</v>
      </c>
      <c r="F1210" t="s">
        <v>1390</v>
      </c>
      <c r="G1210" t="s">
        <v>1391</v>
      </c>
      <c r="H1210" t="s">
        <v>10</v>
      </c>
      <c r="I1210" t="s">
        <v>2114</v>
      </c>
      <c r="J1210" t="s">
        <v>2110</v>
      </c>
      <c r="K1210">
        <v>14.07</v>
      </c>
      <c r="L1210">
        <f t="shared" si="36"/>
        <v>1407</v>
      </c>
      <c r="M1210">
        <f t="shared" si="37"/>
        <v>281.40000000000003</v>
      </c>
    </row>
    <row r="1211" spans="1:13" x14ac:dyDescent="0.3">
      <c r="A1211">
        <v>1210</v>
      </c>
      <c r="B1211" t="s">
        <v>1389</v>
      </c>
      <c r="C1211" s="1">
        <v>42930</v>
      </c>
      <c r="D1211" s="1">
        <v>42934</v>
      </c>
      <c r="E1211" t="s">
        <v>2119</v>
      </c>
      <c r="F1211" t="s">
        <v>1390</v>
      </c>
      <c r="G1211" t="s">
        <v>1391</v>
      </c>
      <c r="H1211" t="s">
        <v>10</v>
      </c>
      <c r="I1211" t="s">
        <v>2114</v>
      </c>
      <c r="J1211" t="s">
        <v>2110</v>
      </c>
      <c r="K1211">
        <v>41.86</v>
      </c>
      <c r="L1211">
        <f t="shared" si="36"/>
        <v>4186</v>
      </c>
      <c r="M1211">
        <f t="shared" si="37"/>
        <v>837.2</v>
      </c>
    </row>
    <row r="1212" spans="1:13" x14ac:dyDescent="0.3">
      <c r="A1212">
        <v>1211</v>
      </c>
      <c r="B1212" t="s">
        <v>1389</v>
      </c>
      <c r="C1212" s="1">
        <v>42930</v>
      </c>
      <c r="D1212" s="1">
        <v>42934</v>
      </c>
      <c r="E1212" t="s">
        <v>2119</v>
      </c>
      <c r="F1212" t="s">
        <v>1390</v>
      </c>
      <c r="G1212" t="s">
        <v>1391</v>
      </c>
      <c r="H1212" t="s">
        <v>10</v>
      </c>
      <c r="I1212" t="s">
        <v>2114</v>
      </c>
      <c r="J1212" t="s">
        <v>2110</v>
      </c>
      <c r="K1212">
        <v>8.5440000000000005</v>
      </c>
      <c r="L1212">
        <f t="shared" si="36"/>
        <v>854.40000000000009</v>
      </c>
      <c r="M1212">
        <f t="shared" si="37"/>
        <v>170.88000000000002</v>
      </c>
    </row>
    <row r="1213" spans="1:13" x14ac:dyDescent="0.3">
      <c r="A1213">
        <v>1212</v>
      </c>
      <c r="B1213" t="s">
        <v>1389</v>
      </c>
      <c r="C1213" s="1">
        <v>42930</v>
      </c>
      <c r="D1213" s="1">
        <v>42934</v>
      </c>
      <c r="E1213" t="s">
        <v>2119</v>
      </c>
      <c r="F1213" t="s">
        <v>1390</v>
      </c>
      <c r="G1213" t="s">
        <v>1391</v>
      </c>
      <c r="H1213" t="s">
        <v>10</v>
      </c>
      <c r="I1213" t="s">
        <v>2114</v>
      </c>
      <c r="J1213" t="s">
        <v>2109</v>
      </c>
      <c r="K1213">
        <v>579.13599999999997</v>
      </c>
      <c r="L1213">
        <f t="shared" si="36"/>
        <v>57913.599999999999</v>
      </c>
      <c r="M1213">
        <f t="shared" si="37"/>
        <v>11582.720000000001</v>
      </c>
    </row>
    <row r="1214" spans="1:13" x14ac:dyDescent="0.3">
      <c r="A1214">
        <v>1213</v>
      </c>
      <c r="B1214" t="s">
        <v>1392</v>
      </c>
      <c r="C1214" s="1">
        <v>43352</v>
      </c>
      <c r="D1214" s="1">
        <v>43356</v>
      </c>
      <c r="E1214" t="s">
        <v>2118</v>
      </c>
      <c r="F1214" t="s">
        <v>1393</v>
      </c>
      <c r="G1214" t="s">
        <v>1394</v>
      </c>
      <c r="H1214" t="s">
        <v>10</v>
      </c>
      <c r="I1214" t="s">
        <v>2114</v>
      </c>
      <c r="J1214" t="s">
        <v>2109</v>
      </c>
      <c r="K1214">
        <v>141.37200000000001</v>
      </c>
      <c r="L1214">
        <f t="shared" si="36"/>
        <v>14137.2</v>
      </c>
      <c r="M1214">
        <f t="shared" si="37"/>
        <v>2827.4400000000005</v>
      </c>
    </row>
    <row r="1215" spans="1:13" x14ac:dyDescent="0.3">
      <c r="A1215">
        <v>1214</v>
      </c>
      <c r="B1215" t="s">
        <v>1392</v>
      </c>
      <c r="C1215" s="1">
        <v>43352</v>
      </c>
      <c r="D1215" s="1">
        <v>43356</v>
      </c>
      <c r="E1215" t="s">
        <v>2118</v>
      </c>
      <c r="F1215" t="s">
        <v>1393</v>
      </c>
      <c r="G1215" t="s">
        <v>1394</v>
      </c>
      <c r="H1215" t="s">
        <v>10</v>
      </c>
      <c r="I1215" t="s">
        <v>2114</v>
      </c>
      <c r="J1215" t="s">
        <v>2110</v>
      </c>
      <c r="K1215">
        <v>3.036</v>
      </c>
      <c r="L1215">
        <f t="shared" si="36"/>
        <v>303.60000000000002</v>
      </c>
      <c r="M1215">
        <f t="shared" si="37"/>
        <v>60.720000000000006</v>
      </c>
    </row>
    <row r="1216" spans="1:13" x14ac:dyDescent="0.3">
      <c r="A1216">
        <v>1215</v>
      </c>
      <c r="B1216" t="s">
        <v>1392</v>
      </c>
      <c r="C1216" s="1">
        <v>43352</v>
      </c>
      <c r="D1216" s="1">
        <v>43356</v>
      </c>
      <c r="E1216" t="s">
        <v>2118</v>
      </c>
      <c r="F1216" t="s">
        <v>1393</v>
      </c>
      <c r="G1216" t="s">
        <v>1394</v>
      </c>
      <c r="H1216" t="s">
        <v>10</v>
      </c>
      <c r="I1216" t="s">
        <v>2114</v>
      </c>
      <c r="J1216" t="s">
        <v>2110</v>
      </c>
      <c r="K1216">
        <v>4.5030000000000001</v>
      </c>
      <c r="L1216">
        <f t="shared" si="36"/>
        <v>450.3</v>
      </c>
      <c r="M1216">
        <f t="shared" si="37"/>
        <v>90.06</v>
      </c>
    </row>
    <row r="1217" spans="1:13" x14ac:dyDescent="0.3">
      <c r="A1217">
        <v>1216</v>
      </c>
      <c r="B1217" t="s">
        <v>1392</v>
      </c>
      <c r="C1217" s="1">
        <v>43352</v>
      </c>
      <c r="D1217" s="1">
        <v>43356</v>
      </c>
      <c r="E1217" t="s">
        <v>2118</v>
      </c>
      <c r="F1217" t="s">
        <v>1393</v>
      </c>
      <c r="G1217" t="s">
        <v>1394</v>
      </c>
      <c r="H1217" t="s">
        <v>10</v>
      </c>
      <c r="I1217" t="s">
        <v>2114</v>
      </c>
      <c r="J1217" t="s">
        <v>2110</v>
      </c>
      <c r="K1217">
        <v>4.6719999999999997</v>
      </c>
      <c r="L1217">
        <f t="shared" si="36"/>
        <v>467.2</v>
      </c>
      <c r="M1217">
        <f t="shared" si="37"/>
        <v>93.44</v>
      </c>
    </row>
    <row r="1218" spans="1:13" x14ac:dyDescent="0.3">
      <c r="A1218">
        <v>1217</v>
      </c>
      <c r="B1218" t="s">
        <v>1392</v>
      </c>
      <c r="C1218" s="1">
        <v>43352</v>
      </c>
      <c r="D1218" s="1">
        <v>43356</v>
      </c>
      <c r="E1218" t="s">
        <v>2118</v>
      </c>
      <c r="F1218" t="s">
        <v>1393</v>
      </c>
      <c r="G1218" t="s">
        <v>1394</v>
      </c>
      <c r="H1218" t="s">
        <v>10</v>
      </c>
      <c r="I1218" t="s">
        <v>2114</v>
      </c>
      <c r="J1218" t="s">
        <v>2111</v>
      </c>
      <c r="K1218">
        <v>95.88</v>
      </c>
      <c r="L1218">
        <f t="shared" ref="L1218:L1281" si="38">K1218*100</f>
        <v>9588</v>
      </c>
      <c r="M1218">
        <f t="shared" si="37"/>
        <v>1917.6000000000001</v>
      </c>
    </row>
    <row r="1219" spans="1:13" x14ac:dyDescent="0.3">
      <c r="A1219">
        <v>1218</v>
      </c>
      <c r="B1219" t="s">
        <v>1392</v>
      </c>
      <c r="C1219" s="1">
        <v>43352</v>
      </c>
      <c r="D1219" s="1">
        <v>43356</v>
      </c>
      <c r="E1219" t="s">
        <v>2118</v>
      </c>
      <c r="F1219" t="s">
        <v>1393</v>
      </c>
      <c r="G1219" t="s">
        <v>1394</v>
      </c>
      <c r="H1219" t="s">
        <v>10</v>
      </c>
      <c r="I1219" t="s">
        <v>2114</v>
      </c>
      <c r="J1219" t="s">
        <v>2109</v>
      </c>
      <c r="K1219">
        <v>17.024000000000001</v>
      </c>
      <c r="L1219">
        <f t="shared" si="38"/>
        <v>1702.4</v>
      </c>
      <c r="M1219">
        <f t="shared" ref="M1219:M1282" si="39">L1219*0.2</f>
        <v>340.48</v>
      </c>
    </row>
    <row r="1220" spans="1:13" x14ac:dyDescent="0.3">
      <c r="A1220">
        <v>1219</v>
      </c>
      <c r="B1220" t="s">
        <v>1392</v>
      </c>
      <c r="C1220" s="1">
        <v>43352</v>
      </c>
      <c r="D1220" s="1">
        <v>43356</v>
      </c>
      <c r="E1220" t="s">
        <v>2118</v>
      </c>
      <c r="F1220" t="s">
        <v>1393</v>
      </c>
      <c r="G1220" t="s">
        <v>1394</v>
      </c>
      <c r="H1220" t="s">
        <v>10</v>
      </c>
      <c r="I1220" t="s">
        <v>2114</v>
      </c>
      <c r="J1220" t="s">
        <v>2111</v>
      </c>
      <c r="K1220">
        <v>258.69600000000003</v>
      </c>
      <c r="L1220">
        <f t="shared" si="38"/>
        <v>25869.600000000002</v>
      </c>
      <c r="M1220">
        <f t="shared" si="39"/>
        <v>5173.920000000001</v>
      </c>
    </row>
    <row r="1221" spans="1:13" x14ac:dyDescent="0.3">
      <c r="A1221">
        <v>1220</v>
      </c>
      <c r="B1221" t="s">
        <v>1392</v>
      </c>
      <c r="C1221" s="1">
        <v>43352</v>
      </c>
      <c r="D1221" s="1">
        <v>43356</v>
      </c>
      <c r="E1221" t="s">
        <v>2118</v>
      </c>
      <c r="F1221" t="s">
        <v>1393</v>
      </c>
      <c r="G1221" t="s">
        <v>1394</v>
      </c>
      <c r="H1221" t="s">
        <v>10</v>
      </c>
      <c r="I1221" t="s">
        <v>2114</v>
      </c>
      <c r="J1221" t="s">
        <v>2111</v>
      </c>
      <c r="K1221">
        <v>1931.9580000000001</v>
      </c>
      <c r="L1221">
        <f t="shared" si="38"/>
        <v>193195.80000000002</v>
      </c>
      <c r="M1221">
        <f t="shared" si="39"/>
        <v>38639.160000000003</v>
      </c>
    </row>
    <row r="1222" spans="1:13" x14ac:dyDescent="0.3">
      <c r="A1222">
        <v>1221</v>
      </c>
      <c r="B1222" t="s">
        <v>1395</v>
      </c>
      <c r="C1222" s="1">
        <v>42197</v>
      </c>
      <c r="D1222" s="1">
        <v>42201</v>
      </c>
      <c r="E1222" t="s">
        <v>2118</v>
      </c>
      <c r="F1222" t="s">
        <v>1396</v>
      </c>
      <c r="G1222" t="s">
        <v>1397</v>
      </c>
      <c r="H1222" t="s">
        <v>26</v>
      </c>
      <c r="I1222" t="s">
        <v>2112</v>
      </c>
      <c r="J1222" t="s">
        <v>2110</v>
      </c>
      <c r="K1222">
        <v>249.75</v>
      </c>
      <c r="L1222">
        <f t="shared" si="38"/>
        <v>24975</v>
      </c>
      <c r="M1222">
        <f t="shared" si="39"/>
        <v>4995</v>
      </c>
    </row>
    <row r="1223" spans="1:13" x14ac:dyDescent="0.3">
      <c r="A1223">
        <v>1222</v>
      </c>
      <c r="B1223" t="s">
        <v>1395</v>
      </c>
      <c r="C1223" s="1">
        <v>42197</v>
      </c>
      <c r="D1223" s="1">
        <v>42201</v>
      </c>
      <c r="E1223" t="s">
        <v>2118</v>
      </c>
      <c r="F1223" t="s">
        <v>1396</v>
      </c>
      <c r="G1223" t="s">
        <v>1397</v>
      </c>
      <c r="H1223" t="s">
        <v>26</v>
      </c>
      <c r="I1223" t="s">
        <v>2112</v>
      </c>
      <c r="J1223" t="s">
        <v>2111</v>
      </c>
      <c r="K1223">
        <v>255.93600000000001</v>
      </c>
      <c r="L1223">
        <f t="shared" si="38"/>
        <v>25593.600000000002</v>
      </c>
      <c r="M1223">
        <f t="shared" si="39"/>
        <v>5118.7200000000012</v>
      </c>
    </row>
    <row r="1224" spans="1:13" x14ac:dyDescent="0.3">
      <c r="A1224">
        <v>1223</v>
      </c>
      <c r="B1224" t="s">
        <v>1398</v>
      </c>
      <c r="C1224" s="1">
        <v>43073</v>
      </c>
      <c r="D1224" s="1">
        <v>43074</v>
      </c>
      <c r="E1224" t="s">
        <v>2120</v>
      </c>
      <c r="F1224" t="s">
        <v>244</v>
      </c>
      <c r="G1224" t="s">
        <v>245</v>
      </c>
      <c r="H1224" t="s">
        <v>6</v>
      </c>
      <c r="I1224" t="s">
        <v>2114</v>
      </c>
      <c r="J1224" t="s">
        <v>2109</v>
      </c>
      <c r="K1224">
        <v>113.79</v>
      </c>
      <c r="L1224">
        <f t="shared" si="38"/>
        <v>11379</v>
      </c>
      <c r="M1224">
        <f t="shared" si="39"/>
        <v>2275.8000000000002</v>
      </c>
    </row>
    <row r="1225" spans="1:13" x14ac:dyDescent="0.3">
      <c r="A1225">
        <v>1224</v>
      </c>
      <c r="B1225" t="s">
        <v>1398</v>
      </c>
      <c r="C1225" s="1">
        <v>43073</v>
      </c>
      <c r="D1225" s="1">
        <v>43074</v>
      </c>
      <c r="E1225" t="s">
        <v>2120</v>
      </c>
      <c r="F1225" t="s">
        <v>244</v>
      </c>
      <c r="G1225" t="s">
        <v>245</v>
      </c>
      <c r="H1225" t="s">
        <v>6</v>
      </c>
      <c r="I1225" t="s">
        <v>2114</v>
      </c>
      <c r="J1225" t="s">
        <v>2111</v>
      </c>
      <c r="K1225">
        <v>78.150000000000006</v>
      </c>
      <c r="L1225">
        <f t="shared" si="38"/>
        <v>7815.0000000000009</v>
      </c>
      <c r="M1225">
        <f t="shared" si="39"/>
        <v>1563.0000000000002</v>
      </c>
    </row>
    <row r="1226" spans="1:13" x14ac:dyDescent="0.3">
      <c r="A1226">
        <v>1225</v>
      </c>
      <c r="B1226" t="s">
        <v>1398</v>
      </c>
      <c r="C1226" s="1">
        <v>43073</v>
      </c>
      <c r="D1226" s="1">
        <v>43074</v>
      </c>
      <c r="E1226" t="s">
        <v>2120</v>
      </c>
      <c r="F1226" t="s">
        <v>244</v>
      </c>
      <c r="G1226" t="s">
        <v>245</v>
      </c>
      <c r="H1226" t="s">
        <v>6</v>
      </c>
      <c r="I1226" t="s">
        <v>2114</v>
      </c>
      <c r="J1226" t="s">
        <v>2110</v>
      </c>
      <c r="K1226">
        <v>1.728</v>
      </c>
      <c r="L1226">
        <f t="shared" si="38"/>
        <v>172.8</v>
      </c>
      <c r="M1226">
        <f t="shared" si="39"/>
        <v>34.56</v>
      </c>
    </row>
    <row r="1227" spans="1:13" x14ac:dyDescent="0.3">
      <c r="A1227">
        <v>1226</v>
      </c>
      <c r="B1227" t="s">
        <v>1398</v>
      </c>
      <c r="C1227" s="1">
        <v>43073</v>
      </c>
      <c r="D1227" s="1">
        <v>43074</v>
      </c>
      <c r="E1227" t="s">
        <v>2120</v>
      </c>
      <c r="F1227" t="s">
        <v>244</v>
      </c>
      <c r="G1227" t="s">
        <v>245</v>
      </c>
      <c r="H1227" t="s">
        <v>6</v>
      </c>
      <c r="I1227" t="s">
        <v>2114</v>
      </c>
      <c r="J1227" t="s">
        <v>2110</v>
      </c>
      <c r="K1227">
        <v>40.56</v>
      </c>
      <c r="L1227">
        <f t="shared" si="38"/>
        <v>4056</v>
      </c>
      <c r="M1227">
        <f t="shared" si="39"/>
        <v>811.2</v>
      </c>
    </row>
    <row r="1228" spans="1:13" x14ac:dyDescent="0.3">
      <c r="A1228">
        <v>1227</v>
      </c>
      <c r="B1228" t="s">
        <v>1398</v>
      </c>
      <c r="C1228" s="1">
        <v>43073</v>
      </c>
      <c r="D1228" s="1">
        <v>43074</v>
      </c>
      <c r="E1228" t="s">
        <v>2120</v>
      </c>
      <c r="F1228" t="s">
        <v>244</v>
      </c>
      <c r="G1228" t="s">
        <v>245</v>
      </c>
      <c r="H1228" t="s">
        <v>6</v>
      </c>
      <c r="I1228" t="s">
        <v>2114</v>
      </c>
      <c r="J1228" t="s">
        <v>2110</v>
      </c>
      <c r="K1228">
        <v>182.94</v>
      </c>
      <c r="L1228">
        <f t="shared" si="38"/>
        <v>18294</v>
      </c>
      <c r="M1228">
        <f t="shared" si="39"/>
        <v>3658.8</v>
      </c>
    </row>
    <row r="1229" spans="1:13" x14ac:dyDescent="0.3">
      <c r="A1229">
        <v>1228</v>
      </c>
      <c r="B1229" t="s">
        <v>1398</v>
      </c>
      <c r="C1229" s="1">
        <v>43073</v>
      </c>
      <c r="D1229" s="1">
        <v>43074</v>
      </c>
      <c r="E1229" t="s">
        <v>2120</v>
      </c>
      <c r="F1229" t="s">
        <v>244</v>
      </c>
      <c r="G1229" t="s">
        <v>245</v>
      </c>
      <c r="H1229" t="s">
        <v>6</v>
      </c>
      <c r="I1229" t="s">
        <v>2114</v>
      </c>
      <c r="J1229" t="s">
        <v>2110</v>
      </c>
      <c r="K1229">
        <v>193.86</v>
      </c>
      <c r="L1229">
        <f t="shared" si="38"/>
        <v>19386</v>
      </c>
      <c r="M1229">
        <f t="shared" si="39"/>
        <v>3877.2000000000003</v>
      </c>
    </row>
    <row r="1230" spans="1:13" x14ac:dyDescent="0.3">
      <c r="A1230">
        <v>1229</v>
      </c>
      <c r="B1230" t="s">
        <v>1399</v>
      </c>
      <c r="C1230" s="1">
        <v>43410</v>
      </c>
      <c r="D1230" s="1">
        <v>43415</v>
      </c>
      <c r="E1230" t="s">
        <v>2118</v>
      </c>
      <c r="F1230" t="s">
        <v>748</v>
      </c>
      <c r="G1230" t="s">
        <v>749</v>
      </c>
      <c r="H1230" t="s">
        <v>6</v>
      </c>
      <c r="I1230" t="s">
        <v>2112</v>
      </c>
      <c r="J1230" t="s">
        <v>2110</v>
      </c>
      <c r="K1230">
        <v>15.28</v>
      </c>
      <c r="L1230">
        <f t="shared" si="38"/>
        <v>1528</v>
      </c>
      <c r="M1230">
        <f t="shared" si="39"/>
        <v>305.60000000000002</v>
      </c>
    </row>
    <row r="1231" spans="1:13" x14ac:dyDescent="0.3">
      <c r="A1231">
        <v>1230</v>
      </c>
      <c r="B1231" t="s">
        <v>1399</v>
      </c>
      <c r="C1231" s="1">
        <v>43410</v>
      </c>
      <c r="D1231" s="1">
        <v>43415</v>
      </c>
      <c r="E1231" t="s">
        <v>2118</v>
      </c>
      <c r="F1231" t="s">
        <v>748</v>
      </c>
      <c r="G1231" t="s">
        <v>749</v>
      </c>
      <c r="H1231" t="s">
        <v>6</v>
      </c>
      <c r="I1231" t="s">
        <v>2112</v>
      </c>
      <c r="J1231" t="s">
        <v>2109</v>
      </c>
      <c r="K1231">
        <v>8.73</v>
      </c>
      <c r="L1231">
        <f t="shared" si="38"/>
        <v>873</v>
      </c>
      <c r="M1231">
        <f t="shared" si="39"/>
        <v>174.60000000000002</v>
      </c>
    </row>
    <row r="1232" spans="1:13" x14ac:dyDescent="0.3">
      <c r="A1232">
        <v>1231</v>
      </c>
      <c r="B1232" t="s">
        <v>1399</v>
      </c>
      <c r="C1232" s="1">
        <v>43410</v>
      </c>
      <c r="D1232" s="1">
        <v>43415</v>
      </c>
      <c r="E1232" t="s">
        <v>2118</v>
      </c>
      <c r="F1232" t="s">
        <v>748</v>
      </c>
      <c r="G1232" t="s">
        <v>749</v>
      </c>
      <c r="H1232" t="s">
        <v>6</v>
      </c>
      <c r="I1232" t="s">
        <v>2112</v>
      </c>
      <c r="J1232" t="s">
        <v>2110</v>
      </c>
      <c r="K1232">
        <v>5.68</v>
      </c>
      <c r="L1232">
        <f t="shared" si="38"/>
        <v>568</v>
      </c>
      <c r="M1232">
        <f t="shared" si="39"/>
        <v>113.60000000000001</v>
      </c>
    </row>
    <row r="1233" spans="1:13" x14ac:dyDescent="0.3">
      <c r="A1233">
        <v>1232</v>
      </c>
      <c r="B1233" t="s">
        <v>1400</v>
      </c>
      <c r="C1233" s="1">
        <v>42674</v>
      </c>
      <c r="D1233" s="1">
        <v>42676</v>
      </c>
      <c r="E1233" t="s">
        <v>2119</v>
      </c>
      <c r="F1233" t="s">
        <v>1401</v>
      </c>
      <c r="G1233" t="s">
        <v>1402</v>
      </c>
      <c r="H1233" t="s">
        <v>6</v>
      </c>
      <c r="I1233" t="s">
        <v>2114</v>
      </c>
      <c r="J1233" t="s">
        <v>2110</v>
      </c>
      <c r="K1233">
        <v>2.78</v>
      </c>
      <c r="L1233">
        <f t="shared" si="38"/>
        <v>278</v>
      </c>
      <c r="M1233">
        <f t="shared" si="39"/>
        <v>55.6</v>
      </c>
    </row>
    <row r="1234" spans="1:13" x14ac:dyDescent="0.3">
      <c r="A1234">
        <v>1233</v>
      </c>
      <c r="B1234" t="s">
        <v>1400</v>
      </c>
      <c r="C1234" s="1">
        <v>42674</v>
      </c>
      <c r="D1234" s="1">
        <v>42676</v>
      </c>
      <c r="E1234" t="s">
        <v>2119</v>
      </c>
      <c r="F1234" t="s">
        <v>1401</v>
      </c>
      <c r="G1234" t="s">
        <v>1402</v>
      </c>
      <c r="H1234" t="s">
        <v>6</v>
      </c>
      <c r="I1234" t="s">
        <v>2114</v>
      </c>
      <c r="J1234" t="s">
        <v>2110</v>
      </c>
      <c r="K1234">
        <v>79.959999999999994</v>
      </c>
      <c r="L1234">
        <f t="shared" si="38"/>
        <v>7995.9999999999991</v>
      </c>
      <c r="M1234">
        <f t="shared" si="39"/>
        <v>1599.1999999999998</v>
      </c>
    </row>
    <row r="1235" spans="1:13" x14ac:dyDescent="0.3">
      <c r="A1235">
        <v>1234</v>
      </c>
      <c r="B1235" t="s">
        <v>1403</v>
      </c>
      <c r="C1235" s="1">
        <v>42885</v>
      </c>
      <c r="D1235" s="1">
        <v>42887</v>
      </c>
      <c r="E1235" t="s">
        <v>2120</v>
      </c>
      <c r="F1235" t="s">
        <v>1404</v>
      </c>
      <c r="G1235" t="s">
        <v>1405</v>
      </c>
      <c r="H1235" t="s">
        <v>10</v>
      </c>
      <c r="I1235" t="s">
        <v>2114</v>
      </c>
      <c r="J1235" t="s">
        <v>2111</v>
      </c>
      <c r="K1235">
        <v>839.98800000000006</v>
      </c>
      <c r="L1235">
        <f t="shared" si="38"/>
        <v>83998.8</v>
      </c>
      <c r="M1235">
        <f t="shared" si="39"/>
        <v>16799.760000000002</v>
      </c>
    </row>
    <row r="1236" spans="1:13" x14ac:dyDescent="0.3">
      <c r="A1236">
        <v>1235</v>
      </c>
      <c r="B1236" t="s">
        <v>1406</v>
      </c>
      <c r="C1236" s="1">
        <v>43036</v>
      </c>
      <c r="D1236" s="1">
        <v>43036</v>
      </c>
      <c r="E1236" t="s">
        <v>2120</v>
      </c>
      <c r="F1236" t="s">
        <v>1012</v>
      </c>
      <c r="G1236" t="s">
        <v>1013</v>
      </c>
      <c r="H1236" t="s">
        <v>6</v>
      </c>
      <c r="I1236" t="s">
        <v>2115</v>
      </c>
      <c r="J1236" t="s">
        <v>2109</v>
      </c>
      <c r="K1236">
        <v>47.951999999999998</v>
      </c>
      <c r="L1236">
        <f t="shared" si="38"/>
        <v>4795.2</v>
      </c>
      <c r="M1236">
        <f t="shared" si="39"/>
        <v>959.04</v>
      </c>
    </row>
    <row r="1237" spans="1:13" x14ac:dyDescent="0.3">
      <c r="A1237">
        <v>1236</v>
      </c>
      <c r="B1237" t="s">
        <v>1406</v>
      </c>
      <c r="C1237" s="1">
        <v>43036</v>
      </c>
      <c r="D1237" s="1">
        <v>43036</v>
      </c>
      <c r="E1237" t="s">
        <v>2120</v>
      </c>
      <c r="F1237" t="s">
        <v>1012</v>
      </c>
      <c r="G1237" t="s">
        <v>1013</v>
      </c>
      <c r="H1237" t="s">
        <v>6</v>
      </c>
      <c r="I1237" t="s">
        <v>2115</v>
      </c>
      <c r="J1237" t="s">
        <v>2110</v>
      </c>
      <c r="K1237">
        <v>37.424999999999997</v>
      </c>
      <c r="L1237">
        <f t="shared" si="38"/>
        <v>3742.4999999999995</v>
      </c>
      <c r="M1237">
        <f t="shared" si="39"/>
        <v>748.5</v>
      </c>
    </row>
    <row r="1238" spans="1:13" x14ac:dyDescent="0.3">
      <c r="A1238">
        <v>1237</v>
      </c>
      <c r="B1238" t="s">
        <v>1406</v>
      </c>
      <c r="C1238" s="1">
        <v>43036</v>
      </c>
      <c r="D1238" s="1">
        <v>43036</v>
      </c>
      <c r="E1238" t="s">
        <v>2120</v>
      </c>
      <c r="F1238" t="s">
        <v>1012</v>
      </c>
      <c r="G1238" t="s">
        <v>1013</v>
      </c>
      <c r="H1238" t="s">
        <v>6</v>
      </c>
      <c r="I1238" t="s">
        <v>2115</v>
      </c>
      <c r="J1238" t="s">
        <v>2109</v>
      </c>
      <c r="K1238">
        <v>63.968000000000004</v>
      </c>
      <c r="L1238">
        <f t="shared" si="38"/>
        <v>6396.8</v>
      </c>
      <c r="M1238">
        <f t="shared" si="39"/>
        <v>1279.3600000000001</v>
      </c>
    </row>
    <row r="1239" spans="1:13" x14ac:dyDescent="0.3">
      <c r="A1239">
        <v>1238</v>
      </c>
      <c r="B1239" t="s">
        <v>1406</v>
      </c>
      <c r="C1239" s="1">
        <v>43036</v>
      </c>
      <c r="D1239" s="1">
        <v>43036</v>
      </c>
      <c r="E1239" t="s">
        <v>2120</v>
      </c>
      <c r="F1239" t="s">
        <v>1012</v>
      </c>
      <c r="G1239" t="s">
        <v>1013</v>
      </c>
      <c r="H1239" t="s">
        <v>6</v>
      </c>
      <c r="I1239" t="s">
        <v>2115</v>
      </c>
      <c r="J1239" t="s">
        <v>2109</v>
      </c>
      <c r="K1239">
        <v>165.048</v>
      </c>
      <c r="L1239">
        <f t="shared" si="38"/>
        <v>16504.8</v>
      </c>
      <c r="M1239">
        <f t="shared" si="39"/>
        <v>3300.96</v>
      </c>
    </row>
    <row r="1240" spans="1:13" x14ac:dyDescent="0.3">
      <c r="A1240">
        <v>1239</v>
      </c>
      <c r="B1240" t="s">
        <v>1407</v>
      </c>
      <c r="C1240" s="1">
        <v>42227</v>
      </c>
      <c r="D1240" s="1">
        <v>42231</v>
      </c>
      <c r="E1240" t="s">
        <v>2118</v>
      </c>
      <c r="F1240" t="s">
        <v>1408</v>
      </c>
      <c r="G1240" t="s">
        <v>1409</v>
      </c>
      <c r="H1240" t="s">
        <v>6</v>
      </c>
      <c r="I1240" t="s">
        <v>2112</v>
      </c>
      <c r="J1240" t="s">
        <v>2109</v>
      </c>
      <c r="K1240">
        <v>12.35</v>
      </c>
      <c r="L1240">
        <f t="shared" si="38"/>
        <v>1235</v>
      </c>
      <c r="M1240">
        <f t="shared" si="39"/>
        <v>247</v>
      </c>
    </row>
    <row r="1241" spans="1:13" x14ac:dyDescent="0.3">
      <c r="A1241">
        <v>1240</v>
      </c>
      <c r="B1241" t="s">
        <v>1407</v>
      </c>
      <c r="C1241" s="1">
        <v>42227</v>
      </c>
      <c r="D1241" s="1">
        <v>42231</v>
      </c>
      <c r="E1241" t="s">
        <v>2118</v>
      </c>
      <c r="F1241" t="s">
        <v>1408</v>
      </c>
      <c r="G1241" t="s">
        <v>1409</v>
      </c>
      <c r="H1241" t="s">
        <v>6</v>
      </c>
      <c r="I1241" t="s">
        <v>2112</v>
      </c>
      <c r="J1241" t="s">
        <v>2110</v>
      </c>
      <c r="K1241">
        <v>40.97</v>
      </c>
      <c r="L1241">
        <f t="shared" si="38"/>
        <v>4097</v>
      </c>
      <c r="M1241">
        <f t="shared" si="39"/>
        <v>819.40000000000009</v>
      </c>
    </row>
    <row r="1242" spans="1:13" x14ac:dyDescent="0.3">
      <c r="A1242">
        <v>1241</v>
      </c>
      <c r="B1242" t="s">
        <v>1407</v>
      </c>
      <c r="C1242" s="1">
        <v>42227</v>
      </c>
      <c r="D1242" s="1">
        <v>42231</v>
      </c>
      <c r="E1242" t="s">
        <v>2118</v>
      </c>
      <c r="F1242" t="s">
        <v>1408</v>
      </c>
      <c r="G1242" t="s">
        <v>1409</v>
      </c>
      <c r="H1242" t="s">
        <v>6</v>
      </c>
      <c r="I1242" t="s">
        <v>2112</v>
      </c>
      <c r="J1242" t="s">
        <v>2110</v>
      </c>
      <c r="K1242">
        <v>22.96</v>
      </c>
      <c r="L1242">
        <f t="shared" si="38"/>
        <v>2296</v>
      </c>
      <c r="M1242">
        <f t="shared" si="39"/>
        <v>459.20000000000005</v>
      </c>
    </row>
    <row r="1243" spans="1:13" x14ac:dyDescent="0.3">
      <c r="A1243">
        <v>1242</v>
      </c>
      <c r="B1243" t="s">
        <v>1410</v>
      </c>
      <c r="C1243" s="1">
        <v>42976</v>
      </c>
      <c r="D1243" s="1">
        <v>42982</v>
      </c>
      <c r="E1243" t="s">
        <v>2118</v>
      </c>
      <c r="F1243" t="s">
        <v>787</v>
      </c>
      <c r="G1243" t="s">
        <v>788</v>
      </c>
      <c r="H1243" t="s">
        <v>26</v>
      </c>
      <c r="I1243" t="s">
        <v>2114</v>
      </c>
      <c r="J1243" t="s">
        <v>2111</v>
      </c>
      <c r="K1243">
        <v>22</v>
      </c>
      <c r="L1243">
        <f t="shared" si="38"/>
        <v>2200</v>
      </c>
      <c r="M1243">
        <f t="shared" si="39"/>
        <v>440</v>
      </c>
    </row>
    <row r="1244" spans="1:13" x14ac:dyDescent="0.3">
      <c r="A1244">
        <v>1243</v>
      </c>
      <c r="B1244" t="s">
        <v>1411</v>
      </c>
      <c r="C1244" s="1">
        <v>42781</v>
      </c>
      <c r="D1244" s="1">
        <v>42788</v>
      </c>
      <c r="E1244" t="s">
        <v>2118</v>
      </c>
      <c r="F1244" t="s">
        <v>1012</v>
      </c>
      <c r="G1244" t="s">
        <v>1013</v>
      </c>
      <c r="H1244" t="s">
        <v>6</v>
      </c>
      <c r="I1244" t="s">
        <v>2114</v>
      </c>
      <c r="J1244" t="s">
        <v>2110</v>
      </c>
      <c r="K1244">
        <v>398.35199999999998</v>
      </c>
      <c r="L1244">
        <f t="shared" si="38"/>
        <v>39835.199999999997</v>
      </c>
      <c r="M1244">
        <f t="shared" si="39"/>
        <v>7967.04</v>
      </c>
    </row>
    <row r="1245" spans="1:13" x14ac:dyDescent="0.3">
      <c r="A1245">
        <v>1244</v>
      </c>
      <c r="B1245" t="s">
        <v>1411</v>
      </c>
      <c r="C1245" s="1">
        <v>42781</v>
      </c>
      <c r="D1245" s="1">
        <v>42788</v>
      </c>
      <c r="E1245" t="s">
        <v>2118</v>
      </c>
      <c r="F1245" t="s">
        <v>1012</v>
      </c>
      <c r="G1245" t="s">
        <v>1013</v>
      </c>
      <c r="H1245" t="s">
        <v>6</v>
      </c>
      <c r="I1245" t="s">
        <v>2114</v>
      </c>
      <c r="J1245" t="s">
        <v>2110</v>
      </c>
      <c r="K1245">
        <v>8.7200000000000006</v>
      </c>
      <c r="L1245">
        <f t="shared" si="38"/>
        <v>872.00000000000011</v>
      </c>
      <c r="M1245">
        <f t="shared" si="39"/>
        <v>174.40000000000003</v>
      </c>
    </row>
    <row r="1246" spans="1:13" x14ac:dyDescent="0.3">
      <c r="A1246">
        <v>1245</v>
      </c>
      <c r="B1246" t="s">
        <v>1412</v>
      </c>
      <c r="C1246" s="1">
        <v>43234</v>
      </c>
      <c r="D1246" s="1">
        <v>43241</v>
      </c>
      <c r="E1246" t="s">
        <v>2118</v>
      </c>
      <c r="F1246" t="s">
        <v>1413</v>
      </c>
      <c r="G1246" t="s">
        <v>1414</v>
      </c>
      <c r="H1246" t="s">
        <v>6</v>
      </c>
      <c r="I1246" t="s">
        <v>2115</v>
      </c>
      <c r="J1246" t="s">
        <v>2110</v>
      </c>
      <c r="K1246">
        <v>48.69</v>
      </c>
      <c r="L1246">
        <f t="shared" si="38"/>
        <v>4869</v>
      </c>
      <c r="M1246">
        <f t="shared" si="39"/>
        <v>973.80000000000007</v>
      </c>
    </row>
    <row r="1247" spans="1:13" x14ac:dyDescent="0.3">
      <c r="A1247">
        <v>1246</v>
      </c>
      <c r="B1247" t="s">
        <v>1415</v>
      </c>
      <c r="C1247" s="1">
        <v>42350</v>
      </c>
      <c r="D1247" s="1">
        <v>42352</v>
      </c>
      <c r="E1247" t="s">
        <v>2119</v>
      </c>
      <c r="F1247" t="s">
        <v>1416</v>
      </c>
      <c r="G1247" t="s">
        <v>1417</v>
      </c>
      <c r="H1247" t="s">
        <v>6</v>
      </c>
      <c r="I1247" t="s">
        <v>2112</v>
      </c>
      <c r="J1247" t="s">
        <v>2109</v>
      </c>
      <c r="K1247">
        <v>764.68799999999999</v>
      </c>
      <c r="L1247">
        <f t="shared" si="38"/>
        <v>76468.800000000003</v>
      </c>
      <c r="M1247">
        <f t="shared" si="39"/>
        <v>15293.760000000002</v>
      </c>
    </row>
    <row r="1248" spans="1:13" x14ac:dyDescent="0.3">
      <c r="A1248">
        <v>1247</v>
      </c>
      <c r="B1248" t="s">
        <v>1415</v>
      </c>
      <c r="C1248" s="1">
        <v>42350</v>
      </c>
      <c r="D1248" s="1">
        <v>42352</v>
      </c>
      <c r="E1248" t="s">
        <v>2119</v>
      </c>
      <c r="F1248" t="s">
        <v>1416</v>
      </c>
      <c r="G1248" t="s">
        <v>1417</v>
      </c>
      <c r="H1248" t="s">
        <v>6</v>
      </c>
      <c r="I1248" t="s">
        <v>2112</v>
      </c>
      <c r="J1248" t="s">
        <v>2109</v>
      </c>
      <c r="K1248">
        <v>3610.848</v>
      </c>
      <c r="L1248">
        <f t="shared" si="38"/>
        <v>361084.8</v>
      </c>
      <c r="M1248">
        <f t="shared" si="39"/>
        <v>72216.960000000006</v>
      </c>
    </row>
    <row r="1249" spans="1:13" x14ac:dyDescent="0.3">
      <c r="A1249">
        <v>1248</v>
      </c>
      <c r="B1249" t="s">
        <v>1415</v>
      </c>
      <c r="C1249" s="1">
        <v>42350</v>
      </c>
      <c r="D1249" s="1">
        <v>42352</v>
      </c>
      <c r="E1249" t="s">
        <v>2119</v>
      </c>
      <c r="F1249" t="s">
        <v>1416</v>
      </c>
      <c r="G1249" t="s">
        <v>1417</v>
      </c>
      <c r="H1249" t="s">
        <v>6</v>
      </c>
      <c r="I1249" t="s">
        <v>2112</v>
      </c>
      <c r="J1249" t="s">
        <v>2109</v>
      </c>
      <c r="K1249">
        <v>254.97450000000001</v>
      </c>
      <c r="L1249">
        <f t="shared" si="38"/>
        <v>25497.45</v>
      </c>
      <c r="M1249">
        <f t="shared" si="39"/>
        <v>5099.4900000000007</v>
      </c>
    </row>
    <row r="1250" spans="1:13" x14ac:dyDescent="0.3">
      <c r="A1250">
        <v>1249</v>
      </c>
      <c r="B1250" t="s">
        <v>1418</v>
      </c>
      <c r="C1250" s="1">
        <v>43452</v>
      </c>
      <c r="D1250" s="1">
        <v>43458</v>
      </c>
      <c r="E1250" t="s">
        <v>2118</v>
      </c>
      <c r="F1250" t="s">
        <v>851</v>
      </c>
      <c r="G1250" t="s">
        <v>852</v>
      </c>
      <c r="H1250" t="s">
        <v>6</v>
      </c>
      <c r="I1250" t="s">
        <v>2114</v>
      </c>
      <c r="J1250" t="s">
        <v>2110</v>
      </c>
      <c r="K1250">
        <v>38.82</v>
      </c>
      <c r="L1250">
        <f t="shared" si="38"/>
        <v>3882</v>
      </c>
      <c r="M1250">
        <f t="shared" si="39"/>
        <v>776.40000000000009</v>
      </c>
    </row>
    <row r="1251" spans="1:13" x14ac:dyDescent="0.3">
      <c r="A1251">
        <v>1250</v>
      </c>
      <c r="B1251" t="s">
        <v>1418</v>
      </c>
      <c r="C1251" s="1">
        <v>43452</v>
      </c>
      <c r="D1251" s="1">
        <v>43458</v>
      </c>
      <c r="E1251" t="s">
        <v>2118</v>
      </c>
      <c r="F1251" t="s">
        <v>851</v>
      </c>
      <c r="G1251" t="s">
        <v>852</v>
      </c>
      <c r="H1251" t="s">
        <v>6</v>
      </c>
      <c r="I1251" t="s">
        <v>2114</v>
      </c>
      <c r="J1251" t="s">
        <v>2109</v>
      </c>
      <c r="K1251">
        <v>1141.9380000000001</v>
      </c>
      <c r="L1251">
        <f t="shared" si="38"/>
        <v>114193.80000000002</v>
      </c>
      <c r="M1251">
        <f t="shared" si="39"/>
        <v>22838.760000000006</v>
      </c>
    </row>
    <row r="1252" spans="1:13" x14ac:dyDescent="0.3">
      <c r="A1252">
        <v>1251</v>
      </c>
      <c r="B1252" t="s">
        <v>1418</v>
      </c>
      <c r="C1252" s="1">
        <v>43452</v>
      </c>
      <c r="D1252" s="1">
        <v>43458</v>
      </c>
      <c r="E1252" t="s">
        <v>2118</v>
      </c>
      <c r="F1252" t="s">
        <v>851</v>
      </c>
      <c r="G1252" t="s">
        <v>852</v>
      </c>
      <c r="H1252" t="s">
        <v>6</v>
      </c>
      <c r="I1252" t="s">
        <v>2114</v>
      </c>
      <c r="J1252" t="s">
        <v>2110</v>
      </c>
      <c r="K1252">
        <v>1704.56</v>
      </c>
      <c r="L1252">
        <f t="shared" si="38"/>
        <v>170456</v>
      </c>
      <c r="M1252">
        <f t="shared" si="39"/>
        <v>34091.200000000004</v>
      </c>
    </row>
    <row r="1253" spans="1:13" x14ac:dyDescent="0.3">
      <c r="A1253">
        <v>1252</v>
      </c>
      <c r="B1253" t="s">
        <v>1418</v>
      </c>
      <c r="C1253" s="1">
        <v>43452</v>
      </c>
      <c r="D1253" s="1">
        <v>43458</v>
      </c>
      <c r="E1253" t="s">
        <v>2118</v>
      </c>
      <c r="F1253" t="s">
        <v>851</v>
      </c>
      <c r="G1253" t="s">
        <v>852</v>
      </c>
      <c r="H1253" t="s">
        <v>6</v>
      </c>
      <c r="I1253" t="s">
        <v>2114</v>
      </c>
      <c r="J1253" t="s">
        <v>2110</v>
      </c>
      <c r="K1253">
        <v>3.2</v>
      </c>
      <c r="L1253">
        <f t="shared" si="38"/>
        <v>320</v>
      </c>
      <c r="M1253">
        <f t="shared" si="39"/>
        <v>64</v>
      </c>
    </row>
    <row r="1254" spans="1:13" x14ac:dyDescent="0.3">
      <c r="A1254">
        <v>1253</v>
      </c>
      <c r="B1254" t="s">
        <v>1419</v>
      </c>
      <c r="C1254" s="1">
        <v>42555</v>
      </c>
      <c r="D1254" s="1">
        <v>42560</v>
      </c>
      <c r="E1254" t="s">
        <v>2118</v>
      </c>
      <c r="F1254" t="s">
        <v>21</v>
      </c>
      <c r="G1254" t="s">
        <v>22</v>
      </c>
      <c r="H1254" t="s">
        <v>6</v>
      </c>
      <c r="I1254" t="s">
        <v>2117</v>
      </c>
      <c r="J1254" t="s">
        <v>2111</v>
      </c>
      <c r="K1254">
        <v>1099.96</v>
      </c>
      <c r="L1254">
        <f t="shared" si="38"/>
        <v>109996</v>
      </c>
      <c r="M1254">
        <f t="shared" si="39"/>
        <v>21999.200000000001</v>
      </c>
    </row>
    <row r="1255" spans="1:13" x14ac:dyDescent="0.3">
      <c r="A1255">
        <v>1254</v>
      </c>
      <c r="B1255" t="s">
        <v>1420</v>
      </c>
      <c r="C1255" s="1">
        <v>43169</v>
      </c>
      <c r="D1255" s="1">
        <v>43173</v>
      </c>
      <c r="E1255" t="s">
        <v>2118</v>
      </c>
      <c r="F1255" t="s">
        <v>1421</v>
      </c>
      <c r="G1255" t="s">
        <v>1422</v>
      </c>
      <c r="H1255" t="s">
        <v>26</v>
      </c>
      <c r="I1255" t="s">
        <v>2114</v>
      </c>
      <c r="J1255" t="s">
        <v>2110</v>
      </c>
      <c r="K1255">
        <v>5.2480000000000002</v>
      </c>
      <c r="L1255">
        <f t="shared" si="38"/>
        <v>524.80000000000007</v>
      </c>
      <c r="M1255">
        <f t="shared" si="39"/>
        <v>104.96000000000002</v>
      </c>
    </row>
    <row r="1256" spans="1:13" x14ac:dyDescent="0.3">
      <c r="A1256">
        <v>1255</v>
      </c>
      <c r="B1256" t="s">
        <v>1420</v>
      </c>
      <c r="C1256" s="1">
        <v>43169</v>
      </c>
      <c r="D1256" s="1">
        <v>43173</v>
      </c>
      <c r="E1256" t="s">
        <v>2118</v>
      </c>
      <c r="F1256" t="s">
        <v>1421</v>
      </c>
      <c r="G1256" t="s">
        <v>1422</v>
      </c>
      <c r="H1256" t="s">
        <v>26</v>
      </c>
      <c r="I1256" t="s">
        <v>2114</v>
      </c>
      <c r="J1256" t="s">
        <v>2111</v>
      </c>
      <c r="K1256">
        <v>35.909999999999997</v>
      </c>
      <c r="L1256">
        <f t="shared" si="38"/>
        <v>3590.9999999999995</v>
      </c>
      <c r="M1256">
        <f t="shared" si="39"/>
        <v>718.19999999999993</v>
      </c>
    </row>
    <row r="1257" spans="1:13" x14ac:dyDescent="0.3">
      <c r="A1257">
        <v>1256</v>
      </c>
      <c r="B1257" t="s">
        <v>1420</v>
      </c>
      <c r="C1257" s="1">
        <v>43169</v>
      </c>
      <c r="D1257" s="1">
        <v>43173</v>
      </c>
      <c r="E1257" t="s">
        <v>2118</v>
      </c>
      <c r="F1257" t="s">
        <v>1421</v>
      </c>
      <c r="G1257" t="s">
        <v>1422</v>
      </c>
      <c r="H1257" t="s">
        <v>26</v>
      </c>
      <c r="I1257" t="s">
        <v>2114</v>
      </c>
      <c r="J1257" t="s">
        <v>2109</v>
      </c>
      <c r="K1257">
        <v>6.6959999999999997</v>
      </c>
      <c r="L1257">
        <f t="shared" si="38"/>
        <v>669.6</v>
      </c>
      <c r="M1257">
        <f t="shared" si="39"/>
        <v>133.92000000000002</v>
      </c>
    </row>
    <row r="1258" spans="1:13" x14ac:dyDescent="0.3">
      <c r="A1258">
        <v>1257</v>
      </c>
      <c r="B1258" t="s">
        <v>1420</v>
      </c>
      <c r="C1258" s="1">
        <v>43169</v>
      </c>
      <c r="D1258" s="1">
        <v>43173</v>
      </c>
      <c r="E1258" t="s">
        <v>2118</v>
      </c>
      <c r="F1258" t="s">
        <v>1421</v>
      </c>
      <c r="G1258" t="s">
        <v>1422</v>
      </c>
      <c r="H1258" t="s">
        <v>26</v>
      </c>
      <c r="I1258" t="s">
        <v>2114</v>
      </c>
      <c r="J1258" t="s">
        <v>2109</v>
      </c>
      <c r="K1258">
        <v>43.872</v>
      </c>
      <c r="L1258">
        <f t="shared" si="38"/>
        <v>4387.2</v>
      </c>
      <c r="M1258">
        <f t="shared" si="39"/>
        <v>877.44</v>
      </c>
    </row>
    <row r="1259" spans="1:13" x14ac:dyDescent="0.3">
      <c r="A1259">
        <v>1258</v>
      </c>
      <c r="B1259" t="s">
        <v>1423</v>
      </c>
      <c r="C1259" s="1">
        <v>43093</v>
      </c>
      <c r="D1259" s="1">
        <v>43097</v>
      </c>
      <c r="E1259" t="s">
        <v>2119</v>
      </c>
      <c r="F1259" t="s">
        <v>557</v>
      </c>
      <c r="G1259" t="s">
        <v>558</v>
      </c>
      <c r="H1259" t="s">
        <v>26</v>
      </c>
      <c r="I1259" t="s">
        <v>2115</v>
      </c>
      <c r="J1259" t="s">
        <v>2110</v>
      </c>
      <c r="K1259">
        <v>27.882000000000001</v>
      </c>
      <c r="L1259">
        <f t="shared" si="38"/>
        <v>2788.2000000000003</v>
      </c>
      <c r="M1259">
        <f t="shared" si="39"/>
        <v>557.6400000000001</v>
      </c>
    </row>
    <row r="1260" spans="1:13" x14ac:dyDescent="0.3">
      <c r="A1260">
        <v>1259</v>
      </c>
      <c r="B1260" t="s">
        <v>1423</v>
      </c>
      <c r="C1260" s="1">
        <v>43093</v>
      </c>
      <c r="D1260" s="1">
        <v>43097</v>
      </c>
      <c r="E1260" t="s">
        <v>2119</v>
      </c>
      <c r="F1260" t="s">
        <v>557</v>
      </c>
      <c r="G1260" t="s">
        <v>558</v>
      </c>
      <c r="H1260" t="s">
        <v>26</v>
      </c>
      <c r="I1260" t="s">
        <v>2115</v>
      </c>
      <c r="J1260" t="s">
        <v>2110</v>
      </c>
      <c r="K1260">
        <v>540.048</v>
      </c>
      <c r="L1260">
        <f t="shared" si="38"/>
        <v>54004.800000000003</v>
      </c>
      <c r="M1260">
        <f t="shared" si="39"/>
        <v>10800.960000000001</v>
      </c>
    </row>
    <row r="1261" spans="1:13" x14ac:dyDescent="0.3">
      <c r="A1261">
        <v>1260</v>
      </c>
      <c r="B1261" t="s">
        <v>1423</v>
      </c>
      <c r="C1261" s="1">
        <v>43093</v>
      </c>
      <c r="D1261" s="1">
        <v>43097</v>
      </c>
      <c r="E1261" t="s">
        <v>2119</v>
      </c>
      <c r="F1261" t="s">
        <v>557</v>
      </c>
      <c r="G1261" t="s">
        <v>558</v>
      </c>
      <c r="H1261" t="s">
        <v>26</v>
      </c>
      <c r="I1261" t="s">
        <v>2115</v>
      </c>
      <c r="J1261" t="s">
        <v>2111</v>
      </c>
      <c r="K1261">
        <v>255.68</v>
      </c>
      <c r="L1261">
        <f t="shared" si="38"/>
        <v>25568</v>
      </c>
      <c r="M1261">
        <f t="shared" si="39"/>
        <v>5113.6000000000004</v>
      </c>
    </row>
    <row r="1262" spans="1:13" x14ac:dyDescent="0.3">
      <c r="A1262">
        <v>1261</v>
      </c>
      <c r="B1262" t="s">
        <v>1424</v>
      </c>
      <c r="C1262" s="1">
        <v>43396</v>
      </c>
      <c r="D1262" s="1">
        <v>43400</v>
      </c>
      <c r="E1262" t="s">
        <v>2118</v>
      </c>
      <c r="F1262" t="s">
        <v>1425</v>
      </c>
      <c r="G1262" t="s">
        <v>1426</v>
      </c>
      <c r="H1262" t="s">
        <v>6</v>
      </c>
      <c r="I1262" t="s">
        <v>2115</v>
      </c>
      <c r="J1262" t="s">
        <v>2111</v>
      </c>
      <c r="K1262">
        <v>863.88</v>
      </c>
      <c r="L1262">
        <f t="shared" si="38"/>
        <v>86388</v>
      </c>
      <c r="M1262">
        <f t="shared" si="39"/>
        <v>17277.600000000002</v>
      </c>
    </row>
    <row r="1263" spans="1:13" x14ac:dyDescent="0.3">
      <c r="A1263">
        <v>1262</v>
      </c>
      <c r="B1263" t="s">
        <v>1427</v>
      </c>
      <c r="C1263" s="1">
        <v>43036</v>
      </c>
      <c r="D1263" s="1">
        <v>43043</v>
      </c>
      <c r="E1263" t="s">
        <v>2118</v>
      </c>
      <c r="F1263" t="s">
        <v>1428</v>
      </c>
      <c r="G1263" t="s">
        <v>1429</v>
      </c>
      <c r="H1263" t="s">
        <v>10</v>
      </c>
      <c r="I1263" t="s">
        <v>2115</v>
      </c>
      <c r="J1263" t="s">
        <v>2110</v>
      </c>
      <c r="K1263">
        <v>17.616</v>
      </c>
      <c r="L1263">
        <f t="shared" si="38"/>
        <v>1761.6</v>
      </c>
      <c r="M1263">
        <f t="shared" si="39"/>
        <v>352.32</v>
      </c>
    </row>
    <row r="1264" spans="1:13" x14ac:dyDescent="0.3">
      <c r="A1264">
        <v>1263</v>
      </c>
      <c r="B1264" t="s">
        <v>1430</v>
      </c>
      <c r="C1264" s="1">
        <v>43288</v>
      </c>
      <c r="D1264" s="1">
        <v>43290</v>
      </c>
      <c r="E1264" t="s">
        <v>2119</v>
      </c>
      <c r="F1264" t="s">
        <v>1330</v>
      </c>
      <c r="G1264" t="s">
        <v>1331</v>
      </c>
      <c r="H1264" t="s">
        <v>6</v>
      </c>
      <c r="I1264" t="s">
        <v>2114</v>
      </c>
      <c r="J1264" t="s">
        <v>2110</v>
      </c>
      <c r="K1264">
        <v>17.472000000000001</v>
      </c>
      <c r="L1264">
        <f t="shared" si="38"/>
        <v>1747.2</v>
      </c>
      <c r="M1264">
        <f t="shared" si="39"/>
        <v>349.44000000000005</v>
      </c>
    </row>
    <row r="1265" spans="1:13" x14ac:dyDescent="0.3">
      <c r="A1265">
        <v>1264</v>
      </c>
      <c r="B1265" t="s">
        <v>1431</v>
      </c>
      <c r="C1265" s="1">
        <v>43009</v>
      </c>
      <c r="D1265" s="1">
        <v>43010</v>
      </c>
      <c r="E1265" t="s">
        <v>2120</v>
      </c>
      <c r="F1265" t="s">
        <v>1432</v>
      </c>
      <c r="G1265" t="s">
        <v>1433</v>
      </c>
      <c r="H1265" t="s">
        <v>6</v>
      </c>
      <c r="I1265" t="s">
        <v>2117</v>
      </c>
      <c r="J1265" t="s">
        <v>2111</v>
      </c>
      <c r="K1265">
        <v>69.900000000000006</v>
      </c>
      <c r="L1265">
        <f t="shared" si="38"/>
        <v>6990.0000000000009</v>
      </c>
      <c r="M1265">
        <f t="shared" si="39"/>
        <v>1398.0000000000002</v>
      </c>
    </row>
    <row r="1266" spans="1:13" x14ac:dyDescent="0.3">
      <c r="A1266">
        <v>1265</v>
      </c>
      <c r="B1266" t="s">
        <v>1431</v>
      </c>
      <c r="C1266" s="1">
        <v>43009</v>
      </c>
      <c r="D1266" s="1">
        <v>43010</v>
      </c>
      <c r="E1266" t="s">
        <v>2120</v>
      </c>
      <c r="F1266" t="s">
        <v>1432</v>
      </c>
      <c r="G1266" t="s">
        <v>1433</v>
      </c>
      <c r="H1266" t="s">
        <v>6</v>
      </c>
      <c r="I1266" t="s">
        <v>2117</v>
      </c>
      <c r="J1266" t="s">
        <v>2109</v>
      </c>
      <c r="K1266">
        <v>41.85</v>
      </c>
      <c r="L1266">
        <f t="shared" si="38"/>
        <v>4185</v>
      </c>
      <c r="M1266">
        <f t="shared" si="39"/>
        <v>837</v>
      </c>
    </row>
    <row r="1267" spans="1:13" x14ac:dyDescent="0.3">
      <c r="A1267">
        <v>1266</v>
      </c>
      <c r="B1267" t="s">
        <v>1434</v>
      </c>
      <c r="C1267" s="1">
        <v>43345</v>
      </c>
      <c r="D1267" s="1">
        <v>43350</v>
      </c>
      <c r="E1267" t="s">
        <v>2118</v>
      </c>
      <c r="F1267" t="s">
        <v>1435</v>
      </c>
      <c r="G1267" t="s">
        <v>1436</v>
      </c>
      <c r="H1267" t="s">
        <v>6</v>
      </c>
      <c r="I1267" t="s">
        <v>2112</v>
      </c>
      <c r="J1267" t="s">
        <v>2110</v>
      </c>
      <c r="K1267">
        <v>6.57</v>
      </c>
      <c r="L1267">
        <f t="shared" si="38"/>
        <v>657</v>
      </c>
      <c r="M1267">
        <f t="shared" si="39"/>
        <v>131.4</v>
      </c>
    </row>
    <row r="1268" spans="1:13" x14ac:dyDescent="0.3">
      <c r="A1268">
        <v>1267</v>
      </c>
      <c r="B1268" t="s">
        <v>1437</v>
      </c>
      <c r="C1268" s="1">
        <v>42362</v>
      </c>
      <c r="D1268" s="1">
        <v>42367</v>
      </c>
      <c r="E1268" t="s">
        <v>2118</v>
      </c>
      <c r="F1268" t="s">
        <v>117</v>
      </c>
      <c r="G1268" t="s">
        <v>118</v>
      </c>
      <c r="H1268" t="s">
        <v>10</v>
      </c>
      <c r="I1268" t="s">
        <v>2112</v>
      </c>
      <c r="J1268" t="s">
        <v>2110</v>
      </c>
      <c r="K1268">
        <v>142.86000000000001</v>
      </c>
      <c r="L1268">
        <f t="shared" si="38"/>
        <v>14286.000000000002</v>
      </c>
      <c r="M1268">
        <f t="shared" si="39"/>
        <v>2857.2000000000007</v>
      </c>
    </row>
    <row r="1269" spans="1:13" x14ac:dyDescent="0.3">
      <c r="A1269">
        <v>1268</v>
      </c>
      <c r="B1269" t="s">
        <v>1437</v>
      </c>
      <c r="C1269" s="1">
        <v>42362</v>
      </c>
      <c r="D1269" s="1">
        <v>42367</v>
      </c>
      <c r="E1269" t="s">
        <v>2118</v>
      </c>
      <c r="F1269" t="s">
        <v>117</v>
      </c>
      <c r="G1269" t="s">
        <v>118</v>
      </c>
      <c r="H1269" t="s">
        <v>10</v>
      </c>
      <c r="I1269" t="s">
        <v>2112</v>
      </c>
      <c r="J1269" t="s">
        <v>2109</v>
      </c>
      <c r="K1269">
        <v>292.27199999999999</v>
      </c>
      <c r="L1269">
        <f t="shared" si="38"/>
        <v>29227.200000000001</v>
      </c>
      <c r="M1269">
        <f t="shared" si="39"/>
        <v>5845.4400000000005</v>
      </c>
    </row>
    <row r="1270" spans="1:13" x14ac:dyDescent="0.3">
      <c r="A1270">
        <v>1269</v>
      </c>
      <c r="B1270" t="s">
        <v>1438</v>
      </c>
      <c r="C1270" s="1">
        <v>43366</v>
      </c>
      <c r="D1270" s="1">
        <v>43370</v>
      </c>
      <c r="E1270" t="s">
        <v>2118</v>
      </c>
      <c r="F1270" t="s">
        <v>1404</v>
      </c>
      <c r="G1270" t="s">
        <v>1405</v>
      </c>
      <c r="H1270" t="s">
        <v>10</v>
      </c>
      <c r="I1270" t="s">
        <v>2112</v>
      </c>
      <c r="J1270" t="s">
        <v>2109</v>
      </c>
      <c r="K1270">
        <v>29.327999999999999</v>
      </c>
      <c r="L1270">
        <f t="shared" si="38"/>
        <v>2932.7999999999997</v>
      </c>
      <c r="M1270">
        <f t="shared" si="39"/>
        <v>586.55999999999995</v>
      </c>
    </row>
    <row r="1271" spans="1:13" x14ac:dyDescent="0.3">
      <c r="A1271">
        <v>1270</v>
      </c>
      <c r="B1271" t="s">
        <v>1439</v>
      </c>
      <c r="C1271" s="1">
        <v>43255</v>
      </c>
      <c r="D1271" s="1">
        <v>43259</v>
      </c>
      <c r="E1271" t="s">
        <v>2118</v>
      </c>
      <c r="F1271" t="s">
        <v>1440</v>
      </c>
      <c r="G1271" t="s">
        <v>1441</v>
      </c>
      <c r="H1271" t="s">
        <v>6</v>
      </c>
      <c r="I1271" t="s">
        <v>2115</v>
      </c>
      <c r="J1271" t="s">
        <v>2110</v>
      </c>
      <c r="K1271">
        <v>12.48</v>
      </c>
      <c r="L1271">
        <f t="shared" si="38"/>
        <v>1248</v>
      </c>
      <c r="M1271">
        <f t="shared" si="39"/>
        <v>249.60000000000002</v>
      </c>
    </row>
    <row r="1272" spans="1:13" x14ac:dyDescent="0.3">
      <c r="A1272">
        <v>1271</v>
      </c>
      <c r="B1272" t="s">
        <v>1442</v>
      </c>
      <c r="C1272" s="1">
        <v>42846</v>
      </c>
      <c r="D1272" s="1">
        <v>42851</v>
      </c>
      <c r="E1272" t="s">
        <v>2118</v>
      </c>
      <c r="F1272" t="s">
        <v>833</v>
      </c>
      <c r="G1272" t="s">
        <v>834</v>
      </c>
      <c r="H1272" t="s">
        <v>10</v>
      </c>
      <c r="I1272" t="s">
        <v>2117</v>
      </c>
      <c r="J1272" t="s">
        <v>2110</v>
      </c>
      <c r="K1272">
        <v>102.336</v>
      </c>
      <c r="L1272">
        <f t="shared" si="38"/>
        <v>10233.6</v>
      </c>
      <c r="M1272">
        <f t="shared" si="39"/>
        <v>2046.7200000000003</v>
      </c>
    </row>
    <row r="1273" spans="1:13" x14ac:dyDescent="0.3">
      <c r="A1273">
        <v>1272</v>
      </c>
      <c r="B1273" t="s">
        <v>1442</v>
      </c>
      <c r="C1273" s="1">
        <v>42846</v>
      </c>
      <c r="D1273" s="1">
        <v>42851</v>
      </c>
      <c r="E1273" t="s">
        <v>2118</v>
      </c>
      <c r="F1273" t="s">
        <v>833</v>
      </c>
      <c r="G1273" t="s">
        <v>834</v>
      </c>
      <c r="H1273" t="s">
        <v>10</v>
      </c>
      <c r="I1273" t="s">
        <v>2117</v>
      </c>
      <c r="J1273" t="s">
        <v>2110</v>
      </c>
      <c r="K1273">
        <v>48.792000000000002</v>
      </c>
      <c r="L1273">
        <f t="shared" si="38"/>
        <v>4879.2</v>
      </c>
      <c r="M1273">
        <f t="shared" si="39"/>
        <v>975.84</v>
      </c>
    </row>
    <row r="1274" spans="1:13" x14ac:dyDescent="0.3">
      <c r="A1274">
        <v>1273</v>
      </c>
      <c r="B1274" t="s">
        <v>1442</v>
      </c>
      <c r="C1274" s="1">
        <v>42846</v>
      </c>
      <c r="D1274" s="1">
        <v>42851</v>
      </c>
      <c r="E1274" t="s">
        <v>2118</v>
      </c>
      <c r="F1274" t="s">
        <v>833</v>
      </c>
      <c r="G1274" t="s">
        <v>834</v>
      </c>
      <c r="H1274" t="s">
        <v>10</v>
      </c>
      <c r="I1274" t="s">
        <v>2117</v>
      </c>
      <c r="J1274" t="s">
        <v>2110</v>
      </c>
      <c r="K1274">
        <v>44.847999999999999</v>
      </c>
      <c r="L1274">
        <f t="shared" si="38"/>
        <v>4484.8</v>
      </c>
      <c r="M1274">
        <f t="shared" si="39"/>
        <v>896.96</v>
      </c>
    </row>
    <row r="1275" spans="1:13" x14ac:dyDescent="0.3">
      <c r="A1275">
        <v>1274</v>
      </c>
      <c r="B1275" t="s">
        <v>1443</v>
      </c>
      <c r="C1275" s="1">
        <v>42881</v>
      </c>
      <c r="D1275" s="1">
        <v>42881</v>
      </c>
      <c r="E1275" t="s">
        <v>2120</v>
      </c>
      <c r="F1275" t="s">
        <v>1292</v>
      </c>
      <c r="G1275" t="s">
        <v>1293</v>
      </c>
      <c r="H1275" t="s">
        <v>6</v>
      </c>
      <c r="I1275" t="s">
        <v>2117</v>
      </c>
      <c r="J1275" t="s">
        <v>2110</v>
      </c>
      <c r="K1275">
        <v>10.368</v>
      </c>
      <c r="L1275">
        <f t="shared" si="38"/>
        <v>1036.8</v>
      </c>
      <c r="M1275">
        <f t="shared" si="39"/>
        <v>207.36</v>
      </c>
    </row>
    <row r="1276" spans="1:13" x14ac:dyDescent="0.3">
      <c r="A1276">
        <v>1275</v>
      </c>
      <c r="B1276" t="s">
        <v>1443</v>
      </c>
      <c r="C1276" s="1">
        <v>42881</v>
      </c>
      <c r="D1276" s="1">
        <v>42881</v>
      </c>
      <c r="E1276" t="s">
        <v>2120</v>
      </c>
      <c r="F1276" t="s">
        <v>1292</v>
      </c>
      <c r="G1276" t="s">
        <v>1293</v>
      </c>
      <c r="H1276" t="s">
        <v>6</v>
      </c>
      <c r="I1276" t="s">
        <v>2117</v>
      </c>
      <c r="J1276" t="s">
        <v>2109</v>
      </c>
      <c r="K1276">
        <v>388.43</v>
      </c>
      <c r="L1276">
        <f t="shared" si="38"/>
        <v>38843</v>
      </c>
      <c r="M1276">
        <f t="shared" si="39"/>
        <v>7768.6</v>
      </c>
    </row>
    <row r="1277" spans="1:13" x14ac:dyDescent="0.3">
      <c r="A1277">
        <v>1276</v>
      </c>
      <c r="B1277" t="s">
        <v>1443</v>
      </c>
      <c r="C1277" s="1">
        <v>42881</v>
      </c>
      <c r="D1277" s="1">
        <v>42881</v>
      </c>
      <c r="E1277" t="s">
        <v>2120</v>
      </c>
      <c r="F1277" t="s">
        <v>1292</v>
      </c>
      <c r="G1277" t="s">
        <v>1293</v>
      </c>
      <c r="H1277" t="s">
        <v>6</v>
      </c>
      <c r="I1277" t="s">
        <v>2117</v>
      </c>
      <c r="J1277" t="s">
        <v>2110</v>
      </c>
      <c r="K1277">
        <v>14.352</v>
      </c>
      <c r="L1277">
        <f t="shared" si="38"/>
        <v>1435.2</v>
      </c>
      <c r="M1277">
        <f t="shared" si="39"/>
        <v>287.04000000000002</v>
      </c>
    </row>
    <row r="1278" spans="1:13" x14ac:dyDescent="0.3">
      <c r="A1278">
        <v>1277</v>
      </c>
      <c r="B1278" t="s">
        <v>1443</v>
      </c>
      <c r="C1278" s="1">
        <v>42881</v>
      </c>
      <c r="D1278" s="1">
        <v>42881</v>
      </c>
      <c r="E1278" t="s">
        <v>2120</v>
      </c>
      <c r="F1278" t="s">
        <v>1292</v>
      </c>
      <c r="G1278" t="s">
        <v>1293</v>
      </c>
      <c r="H1278" t="s">
        <v>6</v>
      </c>
      <c r="I1278" t="s">
        <v>2117</v>
      </c>
      <c r="J1278" t="s">
        <v>2111</v>
      </c>
      <c r="K1278">
        <v>63.991999999999997</v>
      </c>
      <c r="L1278">
        <f t="shared" si="38"/>
        <v>6399.2</v>
      </c>
      <c r="M1278">
        <f t="shared" si="39"/>
        <v>1279.8400000000001</v>
      </c>
    </row>
    <row r="1279" spans="1:13" x14ac:dyDescent="0.3">
      <c r="A1279">
        <v>1278</v>
      </c>
      <c r="B1279" t="s">
        <v>1444</v>
      </c>
      <c r="C1279" s="1">
        <v>42857</v>
      </c>
      <c r="D1279" s="1">
        <v>42862</v>
      </c>
      <c r="E1279" t="s">
        <v>2118</v>
      </c>
      <c r="F1279" t="s">
        <v>1445</v>
      </c>
      <c r="G1279" t="s">
        <v>1446</v>
      </c>
      <c r="H1279" t="s">
        <v>6</v>
      </c>
      <c r="I1279" t="s">
        <v>2117</v>
      </c>
      <c r="J1279" t="s">
        <v>2110</v>
      </c>
      <c r="K1279">
        <v>86.352000000000004</v>
      </c>
      <c r="L1279">
        <f t="shared" si="38"/>
        <v>8635.2000000000007</v>
      </c>
      <c r="M1279">
        <f t="shared" si="39"/>
        <v>1727.0400000000002</v>
      </c>
    </row>
    <row r="1280" spans="1:13" x14ac:dyDescent="0.3">
      <c r="A1280">
        <v>1279</v>
      </c>
      <c r="B1280" t="s">
        <v>1447</v>
      </c>
      <c r="C1280" s="1">
        <v>42255</v>
      </c>
      <c r="D1280" s="1">
        <v>42258</v>
      </c>
      <c r="E1280" t="s">
        <v>2120</v>
      </c>
      <c r="F1280" t="s">
        <v>1146</v>
      </c>
      <c r="G1280" t="s">
        <v>1147</v>
      </c>
      <c r="H1280" t="s">
        <v>10</v>
      </c>
      <c r="I1280" t="s">
        <v>2115</v>
      </c>
      <c r="J1280" t="s">
        <v>2111</v>
      </c>
      <c r="K1280">
        <v>32.97</v>
      </c>
      <c r="L1280">
        <f t="shared" si="38"/>
        <v>3297</v>
      </c>
      <c r="M1280">
        <f t="shared" si="39"/>
        <v>659.40000000000009</v>
      </c>
    </row>
    <row r="1281" spans="1:13" x14ac:dyDescent="0.3">
      <c r="A1281">
        <v>1280</v>
      </c>
      <c r="B1281" t="s">
        <v>1447</v>
      </c>
      <c r="C1281" s="1">
        <v>42255</v>
      </c>
      <c r="D1281" s="1">
        <v>42258</v>
      </c>
      <c r="E1281" t="s">
        <v>2120</v>
      </c>
      <c r="F1281" t="s">
        <v>1146</v>
      </c>
      <c r="G1281" t="s">
        <v>1147</v>
      </c>
      <c r="H1281" t="s">
        <v>10</v>
      </c>
      <c r="I1281" t="s">
        <v>2115</v>
      </c>
      <c r="J1281" t="s">
        <v>2111</v>
      </c>
      <c r="K1281">
        <v>83.88</v>
      </c>
      <c r="L1281">
        <f t="shared" si="38"/>
        <v>8388</v>
      </c>
      <c r="M1281">
        <f t="shared" si="39"/>
        <v>1677.6000000000001</v>
      </c>
    </row>
    <row r="1282" spans="1:13" x14ac:dyDescent="0.3">
      <c r="A1282">
        <v>1281</v>
      </c>
      <c r="B1282" t="s">
        <v>1448</v>
      </c>
      <c r="C1282" s="1">
        <v>42983</v>
      </c>
      <c r="D1282" s="1">
        <v>42984</v>
      </c>
      <c r="E1282" t="s">
        <v>2120</v>
      </c>
      <c r="F1282" t="s">
        <v>1009</v>
      </c>
      <c r="G1282" t="s">
        <v>1010</v>
      </c>
      <c r="H1282" t="s">
        <v>6</v>
      </c>
      <c r="I1282" t="s">
        <v>2117</v>
      </c>
      <c r="J1282" t="s">
        <v>2111</v>
      </c>
      <c r="K1282">
        <v>278.39999999999998</v>
      </c>
      <c r="L1282">
        <f t="shared" ref="L1282:L1345" si="40">K1282*100</f>
        <v>27839.999999999996</v>
      </c>
      <c r="M1282">
        <f t="shared" si="39"/>
        <v>5568</v>
      </c>
    </row>
    <row r="1283" spans="1:13" x14ac:dyDescent="0.3">
      <c r="A1283">
        <v>1282</v>
      </c>
      <c r="B1283" t="s">
        <v>1449</v>
      </c>
      <c r="C1283" s="1">
        <v>43199</v>
      </c>
      <c r="D1283" s="1">
        <v>43201</v>
      </c>
      <c r="E1283" t="s">
        <v>2120</v>
      </c>
      <c r="F1283" t="s">
        <v>617</v>
      </c>
      <c r="G1283" t="s">
        <v>618</v>
      </c>
      <c r="H1283" t="s">
        <v>6</v>
      </c>
      <c r="I1283" t="s">
        <v>2115</v>
      </c>
      <c r="J1283" t="s">
        <v>2110</v>
      </c>
      <c r="K1283">
        <v>15.12</v>
      </c>
      <c r="L1283">
        <f t="shared" si="40"/>
        <v>1512</v>
      </c>
      <c r="M1283">
        <f t="shared" ref="M1283:M1346" si="41">L1283*0.2</f>
        <v>302.40000000000003</v>
      </c>
    </row>
    <row r="1284" spans="1:13" x14ac:dyDescent="0.3">
      <c r="A1284">
        <v>1283</v>
      </c>
      <c r="B1284" t="s">
        <v>1449</v>
      </c>
      <c r="C1284" s="1">
        <v>43199</v>
      </c>
      <c r="D1284" s="1">
        <v>43201</v>
      </c>
      <c r="E1284" t="s">
        <v>2120</v>
      </c>
      <c r="F1284" t="s">
        <v>617</v>
      </c>
      <c r="G1284" t="s">
        <v>618</v>
      </c>
      <c r="H1284" t="s">
        <v>6</v>
      </c>
      <c r="I1284" t="s">
        <v>2115</v>
      </c>
      <c r="J1284" t="s">
        <v>2110</v>
      </c>
      <c r="K1284">
        <v>17.43</v>
      </c>
      <c r="L1284">
        <f t="shared" si="40"/>
        <v>1743</v>
      </c>
      <c r="M1284">
        <f t="shared" si="41"/>
        <v>348.6</v>
      </c>
    </row>
    <row r="1285" spans="1:13" x14ac:dyDescent="0.3">
      <c r="A1285">
        <v>1284</v>
      </c>
      <c r="B1285" t="s">
        <v>1449</v>
      </c>
      <c r="C1285" s="1">
        <v>43199</v>
      </c>
      <c r="D1285" s="1">
        <v>43201</v>
      </c>
      <c r="E1285" t="s">
        <v>2120</v>
      </c>
      <c r="F1285" t="s">
        <v>617</v>
      </c>
      <c r="G1285" t="s">
        <v>618</v>
      </c>
      <c r="H1285" t="s">
        <v>6</v>
      </c>
      <c r="I1285" t="s">
        <v>2115</v>
      </c>
      <c r="J1285" t="s">
        <v>2110</v>
      </c>
      <c r="K1285">
        <v>251.64</v>
      </c>
      <c r="L1285">
        <f t="shared" si="40"/>
        <v>25164</v>
      </c>
      <c r="M1285">
        <f t="shared" si="41"/>
        <v>5032.8</v>
      </c>
    </row>
    <row r="1286" spans="1:13" x14ac:dyDescent="0.3">
      <c r="A1286">
        <v>1285</v>
      </c>
      <c r="B1286" t="s">
        <v>1450</v>
      </c>
      <c r="C1286" s="1">
        <v>42710</v>
      </c>
      <c r="D1286" s="1">
        <v>42716</v>
      </c>
      <c r="E1286" t="s">
        <v>2118</v>
      </c>
      <c r="F1286" t="s">
        <v>464</v>
      </c>
      <c r="G1286" t="s">
        <v>465</v>
      </c>
      <c r="H1286" t="s">
        <v>6</v>
      </c>
      <c r="I1286" t="s">
        <v>2117</v>
      </c>
      <c r="J1286" t="s">
        <v>2110</v>
      </c>
      <c r="K1286">
        <v>2.7719999999999998</v>
      </c>
      <c r="L1286">
        <f t="shared" si="40"/>
        <v>277.2</v>
      </c>
      <c r="M1286">
        <f t="shared" si="41"/>
        <v>55.44</v>
      </c>
    </row>
    <row r="1287" spans="1:13" x14ac:dyDescent="0.3">
      <c r="A1287">
        <v>1286</v>
      </c>
      <c r="B1287" t="s">
        <v>1451</v>
      </c>
      <c r="C1287" s="1">
        <v>42912</v>
      </c>
      <c r="D1287" s="1">
        <v>42919</v>
      </c>
      <c r="E1287" t="s">
        <v>2118</v>
      </c>
      <c r="F1287" t="s">
        <v>1452</v>
      </c>
      <c r="G1287" t="s">
        <v>1453</v>
      </c>
      <c r="H1287" t="s">
        <v>6</v>
      </c>
      <c r="I1287" t="s">
        <v>2114</v>
      </c>
      <c r="J1287" t="s">
        <v>2110</v>
      </c>
      <c r="K1287">
        <v>14.9</v>
      </c>
      <c r="L1287">
        <f t="shared" si="40"/>
        <v>1490</v>
      </c>
      <c r="M1287">
        <f t="shared" si="41"/>
        <v>298</v>
      </c>
    </row>
    <row r="1288" spans="1:13" x14ac:dyDescent="0.3">
      <c r="A1288">
        <v>1287</v>
      </c>
      <c r="B1288" t="s">
        <v>1454</v>
      </c>
      <c r="C1288" s="1">
        <v>42555</v>
      </c>
      <c r="D1288" s="1">
        <v>42559</v>
      </c>
      <c r="E1288" t="s">
        <v>2118</v>
      </c>
      <c r="F1288" t="s">
        <v>181</v>
      </c>
      <c r="G1288" t="s">
        <v>182</v>
      </c>
      <c r="H1288" t="s">
        <v>26</v>
      </c>
      <c r="I1288" t="s">
        <v>2114</v>
      </c>
      <c r="J1288" t="s">
        <v>2110</v>
      </c>
      <c r="K1288">
        <v>15.48</v>
      </c>
      <c r="L1288">
        <f t="shared" si="40"/>
        <v>1548</v>
      </c>
      <c r="M1288">
        <f t="shared" si="41"/>
        <v>309.60000000000002</v>
      </c>
    </row>
    <row r="1289" spans="1:13" x14ac:dyDescent="0.3">
      <c r="A1289">
        <v>1288</v>
      </c>
      <c r="B1289" t="s">
        <v>1455</v>
      </c>
      <c r="C1289" s="1">
        <v>43061</v>
      </c>
      <c r="D1289" s="1">
        <v>43065</v>
      </c>
      <c r="E1289" t="s">
        <v>2118</v>
      </c>
      <c r="F1289" t="s">
        <v>1456</v>
      </c>
      <c r="G1289" t="s">
        <v>1457</v>
      </c>
      <c r="H1289" t="s">
        <v>10</v>
      </c>
      <c r="I1289" t="s">
        <v>2114</v>
      </c>
      <c r="J1289" t="s">
        <v>2109</v>
      </c>
      <c r="K1289">
        <v>39.880000000000003</v>
      </c>
      <c r="L1289">
        <f t="shared" si="40"/>
        <v>3988.0000000000005</v>
      </c>
      <c r="M1289">
        <f t="shared" si="41"/>
        <v>797.60000000000014</v>
      </c>
    </row>
    <row r="1290" spans="1:13" x14ac:dyDescent="0.3">
      <c r="A1290">
        <v>1289</v>
      </c>
      <c r="B1290" t="s">
        <v>1455</v>
      </c>
      <c r="C1290" s="1">
        <v>43061</v>
      </c>
      <c r="D1290" s="1">
        <v>43065</v>
      </c>
      <c r="E1290" t="s">
        <v>2118</v>
      </c>
      <c r="F1290" t="s">
        <v>1456</v>
      </c>
      <c r="G1290" t="s">
        <v>1457</v>
      </c>
      <c r="H1290" t="s">
        <v>10</v>
      </c>
      <c r="I1290" t="s">
        <v>2114</v>
      </c>
      <c r="J1290" t="s">
        <v>2110</v>
      </c>
      <c r="K1290">
        <v>12.192</v>
      </c>
      <c r="L1290">
        <f t="shared" si="40"/>
        <v>1219.2</v>
      </c>
      <c r="M1290">
        <f t="shared" si="41"/>
        <v>243.84000000000003</v>
      </c>
    </row>
    <row r="1291" spans="1:13" x14ac:dyDescent="0.3">
      <c r="A1291">
        <v>1290</v>
      </c>
      <c r="B1291" t="s">
        <v>1455</v>
      </c>
      <c r="C1291" s="1">
        <v>43061</v>
      </c>
      <c r="D1291" s="1">
        <v>43065</v>
      </c>
      <c r="E1291" t="s">
        <v>2118</v>
      </c>
      <c r="F1291" t="s">
        <v>1456</v>
      </c>
      <c r="G1291" t="s">
        <v>1457</v>
      </c>
      <c r="H1291" t="s">
        <v>10</v>
      </c>
      <c r="I1291" t="s">
        <v>2114</v>
      </c>
      <c r="J1291" t="s">
        <v>2110</v>
      </c>
      <c r="K1291">
        <v>20.82</v>
      </c>
      <c r="L1291">
        <f t="shared" si="40"/>
        <v>2082</v>
      </c>
      <c r="M1291">
        <f t="shared" si="41"/>
        <v>416.40000000000003</v>
      </c>
    </row>
    <row r="1292" spans="1:13" x14ac:dyDescent="0.3">
      <c r="A1292">
        <v>1291</v>
      </c>
      <c r="B1292" t="s">
        <v>1458</v>
      </c>
      <c r="C1292" s="1">
        <v>43049</v>
      </c>
      <c r="D1292" s="1">
        <v>43051</v>
      </c>
      <c r="E1292" t="s">
        <v>2120</v>
      </c>
      <c r="F1292" t="s">
        <v>815</v>
      </c>
      <c r="G1292" t="s">
        <v>816</v>
      </c>
      <c r="H1292" t="s">
        <v>26</v>
      </c>
      <c r="I1292" t="s">
        <v>2112</v>
      </c>
      <c r="J1292" t="s">
        <v>2110</v>
      </c>
      <c r="K1292">
        <v>13.215999999999999</v>
      </c>
      <c r="L1292">
        <f t="shared" si="40"/>
        <v>1321.6</v>
      </c>
      <c r="M1292">
        <f t="shared" si="41"/>
        <v>264.32</v>
      </c>
    </row>
    <row r="1293" spans="1:13" x14ac:dyDescent="0.3">
      <c r="A1293">
        <v>1292</v>
      </c>
      <c r="B1293" t="s">
        <v>1458</v>
      </c>
      <c r="C1293" s="1">
        <v>43049</v>
      </c>
      <c r="D1293" s="1">
        <v>43051</v>
      </c>
      <c r="E1293" t="s">
        <v>2120</v>
      </c>
      <c r="F1293" t="s">
        <v>815</v>
      </c>
      <c r="G1293" t="s">
        <v>816</v>
      </c>
      <c r="H1293" t="s">
        <v>26</v>
      </c>
      <c r="I1293" t="s">
        <v>2112</v>
      </c>
      <c r="J1293" t="s">
        <v>2110</v>
      </c>
      <c r="K1293">
        <v>32.4</v>
      </c>
      <c r="L1293">
        <f t="shared" si="40"/>
        <v>3240</v>
      </c>
      <c r="M1293">
        <f t="shared" si="41"/>
        <v>648</v>
      </c>
    </row>
    <row r="1294" spans="1:13" x14ac:dyDescent="0.3">
      <c r="A1294">
        <v>1293</v>
      </c>
      <c r="B1294" t="s">
        <v>1459</v>
      </c>
      <c r="C1294" s="1">
        <v>42609</v>
      </c>
      <c r="D1294" s="1">
        <v>42614</v>
      </c>
      <c r="E1294" t="s">
        <v>2118</v>
      </c>
      <c r="F1294" t="s">
        <v>184</v>
      </c>
      <c r="G1294" t="s">
        <v>185</v>
      </c>
      <c r="H1294" t="s">
        <v>6</v>
      </c>
      <c r="I1294" t="s">
        <v>2112</v>
      </c>
      <c r="J1294" t="s">
        <v>2110</v>
      </c>
      <c r="K1294">
        <v>32.94</v>
      </c>
      <c r="L1294">
        <f t="shared" si="40"/>
        <v>3294</v>
      </c>
      <c r="M1294">
        <f t="shared" si="41"/>
        <v>658.80000000000007</v>
      </c>
    </row>
    <row r="1295" spans="1:13" x14ac:dyDescent="0.3">
      <c r="A1295">
        <v>1294</v>
      </c>
      <c r="B1295" t="s">
        <v>1459</v>
      </c>
      <c r="C1295" s="1">
        <v>42609</v>
      </c>
      <c r="D1295" s="1">
        <v>42614</v>
      </c>
      <c r="E1295" t="s">
        <v>2118</v>
      </c>
      <c r="F1295" t="s">
        <v>184</v>
      </c>
      <c r="G1295" t="s">
        <v>185</v>
      </c>
      <c r="H1295" t="s">
        <v>6</v>
      </c>
      <c r="I1295" t="s">
        <v>2112</v>
      </c>
      <c r="J1295" t="s">
        <v>2110</v>
      </c>
      <c r="K1295">
        <v>114.2</v>
      </c>
      <c r="L1295">
        <f t="shared" si="40"/>
        <v>11420</v>
      </c>
      <c r="M1295">
        <f t="shared" si="41"/>
        <v>2284</v>
      </c>
    </row>
    <row r="1296" spans="1:13" x14ac:dyDescent="0.3">
      <c r="A1296">
        <v>1295</v>
      </c>
      <c r="B1296" t="s">
        <v>1459</v>
      </c>
      <c r="C1296" s="1">
        <v>42609</v>
      </c>
      <c r="D1296" s="1">
        <v>42614</v>
      </c>
      <c r="E1296" t="s">
        <v>2118</v>
      </c>
      <c r="F1296" t="s">
        <v>184</v>
      </c>
      <c r="G1296" t="s">
        <v>185</v>
      </c>
      <c r="H1296" t="s">
        <v>6</v>
      </c>
      <c r="I1296" t="s">
        <v>2112</v>
      </c>
      <c r="J1296" t="s">
        <v>2110</v>
      </c>
      <c r="K1296">
        <v>3.08</v>
      </c>
      <c r="L1296">
        <f t="shared" si="40"/>
        <v>308</v>
      </c>
      <c r="M1296">
        <f t="shared" si="41"/>
        <v>61.6</v>
      </c>
    </row>
    <row r="1297" spans="1:13" x14ac:dyDescent="0.3">
      <c r="A1297">
        <v>1296</v>
      </c>
      <c r="B1297" t="s">
        <v>1460</v>
      </c>
      <c r="C1297" s="1">
        <v>42515</v>
      </c>
      <c r="D1297" s="1">
        <v>42519</v>
      </c>
      <c r="E1297" t="s">
        <v>2118</v>
      </c>
      <c r="F1297" t="s">
        <v>1461</v>
      </c>
      <c r="G1297" t="s">
        <v>1462</v>
      </c>
      <c r="H1297" t="s">
        <v>6</v>
      </c>
      <c r="I1297" t="s">
        <v>2112</v>
      </c>
      <c r="J1297" t="s">
        <v>2110</v>
      </c>
      <c r="K1297">
        <v>845.72799999999995</v>
      </c>
      <c r="L1297">
        <f t="shared" si="40"/>
        <v>84572.799999999988</v>
      </c>
      <c r="M1297">
        <f t="shared" si="41"/>
        <v>16914.559999999998</v>
      </c>
    </row>
    <row r="1298" spans="1:13" x14ac:dyDescent="0.3">
      <c r="A1298">
        <v>1297</v>
      </c>
      <c r="B1298" t="s">
        <v>1463</v>
      </c>
      <c r="C1298" s="1">
        <v>43464</v>
      </c>
      <c r="D1298" s="1">
        <v>43468</v>
      </c>
      <c r="E1298" t="s">
        <v>2118</v>
      </c>
      <c r="F1298" t="s">
        <v>1464</v>
      </c>
      <c r="G1298" t="s">
        <v>1465</v>
      </c>
      <c r="H1298" t="s">
        <v>10</v>
      </c>
      <c r="I1298" t="s">
        <v>2112</v>
      </c>
      <c r="J1298" t="s">
        <v>2110</v>
      </c>
      <c r="K1298">
        <v>13.904</v>
      </c>
      <c r="L1298">
        <f t="shared" si="40"/>
        <v>1390.4</v>
      </c>
      <c r="M1298">
        <f t="shared" si="41"/>
        <v>278.08000000000004</v>
      </c>
    </row>
    <row r="1299" spans="1:13" x14ac:dyDescent="0.3">
      <c r="A1299">
        <v>1298</v>
      </c>
      <c r="B1299" t="s">
        <v>1463</v>
      </c>
      <c r="C1299" s="1">
        <v>43464</v>
      </c>
      <c r="D1299" s="1">
        <v>43468</v>
      </c>
      <c r="E1299" t="s">
        <v>2118</v>
      </c>
      <c r="F1299" t="s">
        <v>1464</v>
      </c>
      <c r="G1299" t="s">
        <v>1465</v>
      </c>
      <c r="H1299" t="s">
        <v>10</v>
      </c>
      <c r="I1299" t="s">
        <v>2112</v>
      </c>
      <c r="J1299" t="s">
        <v>2110</v>
      </c>
      <c r="K1299">
        <v>20.72</v>
      </c>
      <c r="L1299">
        <f t="shared" si="40"/>
        <v>2072</v>
      </c>
      <c r="M1299">
        <f t="shared" si="41"/>
        <v>414.40000000000003</v>
      </c>
    </row>
    <row r="1300" spans="1:13" x14ac:dyDescent="0.3">
      <c r="A1300">
        <v>1299</v>
      </c>
      <c r="B1300" t="s">
        <v>1466</v>
      </c>
      <c r="C1300" s="1">
        <v>43077</v>
      </c>
      <c r="D1300" s="1">
        <v>43081</v>
      </c>
      <c r="E1300" t="s">
        <v>2119</v>
      </c>
      <c r="F1300" t="s">
        <v>1467</v>
      </c>
      <c r="G1300" t="s">
        <v>1468</v>
      </c>
      <c r="H1300" t="s">
        <v>10</v>
      </c>
      <c r="I1300" t="s">
        <v>2117</v>
      </c>
      <c r="J1300" t="s">
        <v>2111</v>
      </c>
      <c r="K1300">
        <v>114.95</v>
      </c>
      <c r="L1300">
        <f t="shared" si="40"/>
        <v>11495</v>
      </c>
      <c r="M1300">
        <f t="shared" si="41"/>
        <v>2299</v>
      </c>
    </row>
    <row r="1301" spans="1:13" x14ac:dyDescent="0.3">
      <c r="A1301">
        <v>1300</v>
      </c>
      <c r="B1301" t="s">
        <v>1469</v>
      </c>
      <c r="C1301" s="1">
        <v>42647</v>
      </c>
      <c r="D1301" s="1">
        <v>42650</v>
      </c>
      <c r="E1301" t="s">
        <v>2120</v>
      </c>
      <c r="F1301" t="s">
        <v>1350</v>
      </c>
      <c r="G1301" t="s">
        <v>1351</v>
      </c>
      <c r="H1301" t="s">
        <v>6</v>
      </c>
      <c r="I1301" t="s">
        <v>2112</v>
      </c>
      <c r="J1301" t="s">
        <v>2110</v>
      </c>
      <c r="K1301">
        <v>26.96</v>
      </c>
      <c r="L1301">
        <f t="shared" si="40"/>
        <v>2696</v>
      </c>
      <c r="M1301">
        <f t="shared" si="41"/>
        <v>539.20000000000005</v>
      </c>
    </row>
    <row r="1302" spans="1:13" x14ac:dyDescent="0.3">
      <c r="A1302">
        <v>1301</v>
      </c>
      <c r="B1302" t="s">
        <v>1470</v>
      </c>
      <c r="C1302" s="1">
        <v>43092</v>
      </c>
      <c r="D1302" s="1">
        <v>43094</v>
      </c>
      <c r="E1302" t="s">
        <v>2119</v>
      </c>
      <c r="F1302" t="s">
        <v>296</v>
      </c>
      <c r="G1302" t="s">
        <v>297</v>
      </c>
      <c r="H1302" t="s">
        <v>6</v>
      </c>
      <c r="I1302" t="s">
        <v>2115</v>
      </c>
      <c r="J1302" t="s">
        <v>2109</v>
      </c>
      <c r="K1302">
        <v>572.76</v>
      </c>
      <c r="L1302">
        <f t="shared" si="40"/>
        <v>57276</v>
      </c>
      <c r="M1302">
        <f t="shared" si="41"/>
        <v>11455.2</v>
      </c>
    </row>
    <row r="1303" spans="1:13" x14ac:dyDescent="0.3">
      <c r="A1303">
        <v>1302</v>
      </c>
      <c r="B1303" t="s">
        <v>1470</v>
      </c>
      <c r="C1303" s="1">
        <v>43092</v>
      </c>
      <c r="D1303" s="1">
        <v>43094</v>
      </c>
      <c r="E1303" t="s">
        <v>2119</v>
      </c>
      <c r="F1303" t="s">
        <v>296</v>
      </c>
      <c r="G1303" t="s">
        <v>297</v>
      </c>
      <c r="H1303" t="s">
        <v>6</v>
      </c>
      <c r="I1303" t="s">
        <v>2115</v>
      </c>
      <c r="J1303" t="s">
        <v>2109</v>
      </c>
      <c r="K1303">
        <v>286.38</v>
      </c>
      <c r="L1303">
        <f t="shared" si="40"/>
        <v>28638</v>
      </c>
      <c r="M1303">
        <f t="shared" si="41"/>
        <v>5727.6</v>
      </c>
    </row>
    <row r="1304" spans="1:13" x14ac:dyDescent="0.3">
      <c r="A1304">
        <v>1303</v>
      </c>
      <c r="B1304" t="s">
        <v>1471</v>
      </c>
      <c r="C1304" s="1">
        <v>42632</v>
      </c>
      <c r="D1304" s="1">
        <v>42637</v>
      </c>
      <c r="E1304" t="s">
        <v>2119</v>
      </c>
      <c r="F1304" t="s">
        <v>1472</v>
      </c>
      <c r="G1304" t="s">
        <v>1473</v>
      </c>
      <c r="H1304" t="s">
        <v>26</v>
      </c>
      <c r="I1304" t="s">
        <v>2115</v>
      </c>
      <c r="J1304" t="s">
        <v>2109</v>
      </c>
      <c r="K1304">
        <v>61.96</v>
      </c>
      <c r="L1304">
        <f t="shared" si="40"/>
        <v>6196</v>
      </c>
      <c r="M1304">
        <f t="shared" si="41"/>
        <v>1239.2</v>
      </c>
    </row>
    <row r="1305" spans="1:13" x14ac:dyDescent="0.3">
      <c r="A1305">
        <v>1304</v>
      </c>
      <c r="B1305" t="s">
        <v>1474</v>
      </c>
      <c r="C1305" s="1">
        <v>43284</v>
      </c>
      <c r="D1305" s="1">
        <v>43288</v>
      </c>
      <c r="E1305" t="s">
        <v>2118</v>
      </c>
      <c r="F1305" t="s">
        <v>1475</v>
      </c>
      <c r="G1305" t="s">
        <v>1476</v>
      </c>
      <c r="H1305" t="s">
        <v>6</v>
      </c>
      <c r="I1305" t="s">
        <v>2115</v>
      </c>
      <c r="J1305" t="s">
        <v>2109</v>
      </c>
      <c r="K1305">
        <v>23.99</v>
      </c>
      <c r="L1305">
        <f t="shared" si="40"/>
        <v>2399</v>
      </c>
      <c r="M1305">
        <f t="shared" si="41"/>
        <v>479.8</v>
      </c>
    </row>
    <row r="1306" spans="1:13" x14ac:dyDescent="0.3">
      <c r="A1306">
        <v>1305</v>
      </c>
      <c r="B1306" t="s">
        <v>1474</v>
      </c>
      <c r="C1306" s="1">
        <v>43284</v>
      </c>
      <c r="D1306" s="1">
        <v>43288</v>
      </c>
      <c r="E1306" t="s">
        <v>2118</v>
      </c>
      <c r="F1306" t="s">
        <v>1475</v>
      </c>
      <c r="G1306" t="s">
        <v>1476</v>
      </c>
      <c r="H1306" t="s">
        <v>6</v>
      </c>
      <c r="I1306" t="s">
        <v>2115</v>
      </c>
      <c r="J1306" t="s">
        <v>2111</v>
      </c>
      <c r="K1306">
        <v>287.97000000000003</v>
      </c>
      <c r="L1306">
        <f t="shared" si="40"/>
        <v>28797.000000000004</v>
      </c>
      <c r="M1306">
        <f t="shared" si="41"/>
        <v>5759.4000000000015</v>
      </c>
    </row>
    <row r="1307" spans="1:13" x14ac:dyDescent="0.3">
      <c r="A1307">
        <v>1306</v>
      </c>
      <c r="B1307" t="s">
        <v>1477</v>
      </c>
      <c r="C1307" s="1">
        <v>42930</v>
      </c>
      <c r="D1307" s="1">
        <v>42932</v>
      </c>
      <c r="E1307" t="s">
        <v>2119</v>
      </c>
      <c r="F1307" t="s">
        <v>966</v>
      </c>
      <c r="G1307" t="s">
        <v>967</v>
      </c>
      <c r="H1307" t="s">
        <v>6</v>
      </c>
      <c r="I1307" t="s">
        <v>2117</v>
      </c>
      <c r="J1307" t="s">
        <v>2111</v>
      </c>
      <c r="K1307">
        <v>419.94400000000002</v>
      </c>
      <c r="L1307">
        <f t="shared" si="40"/>
        <v>41994.400000000001</v>
      </c>
      <c r="M1307">
        <f t="shared" si="41"/>
        <v>8398.880000000001</v>
      </c>
    </row>
    <row r="1308" spans="1:13" x14ac:dyDescent="0.3">
      <c r="A1308">
        <v>1307</v>
      </c>
      <c r="B1308" t="s">
        <v>1478</v>
      </c>
      <c r="C1308" s="1">
        <v>42906</v>
      </c>
      <c r="D1308" s="1">
        <v>42907</v>
      </c>
      <c r="E1308" t="s">
        <v>2120</v>
      </c>
      <c r="F1308" t="s">
        <v>360</v>
      </c>
      <c r="G1308" t="s">
        <v>361</v>
      </c>
      <c r="H1308" t="s">
        <v>6</v>
      </c>
      <c r="I1308" t="s">
        <v>2112</v>
      </c>
      <c r="J1308" t="s">
        <v>2110</v>
      </c>
      <c r="K1308">
        <v>46.76</v>
      </c>
      <c r="L1308">
        <f t="shared" si="40"/>
        <v>4676</v>
      </c>
      <c r="M1308">
        <f t="shared" si="41"/>
        <v>935.2</v>
      </c>
    </row>
    <row r="1309" spans="1:13" x14ac:dyDescent="0.3">
      <c r="A1309">
        <v>1308</v>
      </c>
      <c r="B1309" t="s">
        <v>1478</v>
      </c>
      <c r="C1309" s="1">
        <v>42906</v>
      </c>
      <c r="D1309" s="1">
        <v>42907</v>
      </c>
      <c r="E1309" t="s">
        <v>2120</v>
      </c>
      <c r="F1309" t="s">
        <v>360</v>
      </c>
      <c r="G1309" t="s">
        <v>361</v>
      </c>
      <c r="H1309" t="s">
        <v>6</v>
      </c>
      <c r="I1309" t="s">
        <v>2112</v>
      </c>
      <c r="J1309" t="s">
        <v>2110</v>
      </c>
      <c r="K1309">
        <v>17.712</v>
      </c>
      <c r="L1309">
        <f t="shared" si="40"/>
        <v>1771.2</v>
      </c>
      <c r="M1309">
        <f t="shared" si="41"/>
        <v>354.24</v>
      </c>
    </row>
    <row r="1310" spans="1:13" x14ac:dyDescent="0.3">
      <c r="A1310">
        <v>1309</v>
      </c>
      <c r="B1310" t="s">
        <v>1478</v>
      </c>
      <c r="C1310" s="1">
        <v>42906</v>
      </c>
      <c r="D1310" s="1">
        <v>42907</v>
      </c>
      <c r="E1310" t="s">
        <v>2120</v>
      </c>
      <c r="F1310" t="s">
        <v>360</v>
      </c>
      <c r="G1310" t="s">
        <v>361</v>
      </c>
      <c r="H1310" t="s">
        <v>6</v>
      </c>
      <c r="I1310" t="s">
        <v>2112</v>
      </c>
      <c r="J1310" t="s">
        <v>2110</v>
      </c>
      <c r="K1310">
        <v>21.78</v>
      </c>
      <c r="L1310">
        <f t="shared" si="40"/>
        <v>2178</v>
      </c>
      <c r="M1310">
        <f t="shared" si="41"/>
        <v>435.6</v>
      </c>
    </row>
    <row r="1311" spans="1:13" x14ac:dyDescent="0.3">
      <c r="A1311">
        <v>1310</v>
      </c>
      <c r="B1311" t="s">
        <v>1478</v>
      </c>
      <c r="C1311" s="1">
        <v>42906</v>
      </c>
      <c r="D1311" s="1">
        <v>42907</v>
      </c>
      <c r="E1311" t="s">
        <v>2120</v>
      </c>
      <c r="F1311" t="s">
        <v>360</v>
      </c>
      <c r="G1311" t="s">
        <v>361</v>
      </c>
      <c r="H1311" t="s">
        <v>6</v>
      </c>
      <c r="I1311" t="s">
        <v>2112</v>
      </c>
      <c r="J1311" t="s">
        <v>2110</v>
      </c>
      <c r="K1311">
        <v>161.94</v>
      </c>
      <c r="L1311">
        <f t="shared" si="40"/>
        <v>16194</v>
      </c>
      <c r="M1311">
        <f t="shared" si="41"/>
        <v>3238.8</v>
      </c>
    </row>
    <row r="1312" spans="1:13" x14ac:dyDescent="0.3">
      <c r="A1312">
        <v>1311</v>
      </c>
      <c r="B1312" t="s">
        <v>1478</v>
      </c>
      <c r="C1312" s="1">
        <v>42906</v>
      </c>
      <c r="D1312" s="1">
        <v>42907</v>
      </c>
      <c r="E1312" t="s">
        <v>2120</v>
      </c>
      <c r="F1312" t="s">
        <v>360</v>
      </c>
      <c r="G1312" t="s">
        <v>361</v>
      </c>
      <c r="H1312" t="s">
        <v>6</v>
      </c>
      <c r="I1312" t="s">
        <v>2112</v>
      </c>
      <c r="J1312" t="s">
        <v>2109</v>
      </c>
      <c r="K1312">
        <v>161.56800000000001</v>
      </c>
      <c r="L1312">
        <f t="shared" si="40"/>
        <v>16156.800000000001</v>
      </c>
      <c r="M1312">
        <f t="shared" si="41"/>
        <v>3231.3600000000006</v>
      </c>
    </row>
    <row r="1313" spans="1:13" x14ac:dyDescent="0.3">
      <c r="A1313">
        <v>1312</v>
      </c>
      <c r="B1313" t="s">
        <v>1479</v>
      </c>
      <c r="C1313" s="1">
        <v>43078</v>
      </c>
      <c r="D1313" s="1">
        <v>43082</v>
      </c>
      <c r="E1313" t="s">
        <v>2118</v>
      </c>
      <c r="F1313" t="s">
        <v>794</v>
      </c>
      <c r="G1313" t="s">
        <v>795</v>
      </c>
      <c r="H1313" t="s">
        <v>6</v>
      </c>
      <c r="I1313" t="s">
        <v>2114</v>
      </c>
      <c r="J1313" t="s">
        <v>2110</v>
      </c>
      <c r="K1313">
        <v>3.69</v>
      </c>
      <c r="L1313">
        <f t="shared" si="40"/>
        <v>369</v>
      </c>
      <c r="M1313">
        <f t="shared" si="41"/>
        <v>73.8</v>
      </c>
    </row>
    <row r="1314" spans="1:13" x14ac:dyDescent="0.3">
      <c r="A1314">
        <v>1313</v>
      </c>
      <c r="B1314" t="s">
        <v>1479</v>
      </c>
      <c r="C1314" s="1">
        <v>43078</v>
      </c>
      <c r="D1314" s="1">
        <v>43082</v>
      </c>
      <c r="E1314" t="s">
        <v>2118</v>
      </c>
      <c r="F1314" t="s">
        <v>794</v>
      </c>
      <c r="G1314" t="s">
        <v>795</v>
      </c>
      <c r="H1314" t="s">
        <v>6</v>
      </c>
      <c r="I1314" t="s">
        <v>2114</v>
      </c>
      <c r="J1314" t="s">
        <v>2110</v>
      </c>
      <c r="K1314">
        <v>122.12</v>
      </c>
      <c r="L1314">
        <f t="shared" si="40"/>
        <v>12212</v>
      </c>
      <c r="M1314">
        <f t="shared" si="41"/>
        <v>2442.4</v>
      </c>
    </row>
    <row r="1315" spans="1:13" x14ac:dyDescent="0.3">
      <c r="A1315">
        <v>1314</v>
      </c>
      <c r="B1315" t="s">
        <v>1480</v>
      </c>
      <c r="C1315" s="1">
        <v>43002</v>
      </c>
      <c r="D1315" s="1">
        <v>43009</v>
      </c>
      <c r="E1315" t="s">
        <v>2118</v>
      </c>
      <c r="F1315" t="s">
        <v>28</v>
      </c>
      <c r="G1315" t="s">
        <v>29</v>
      </c>
      <c r="H1315" t="s">
        <v>6</v>
      </c>
      <c r="I1315" t="s">
        <v>2114</v>
      </c>
      <c r="J1315" t="s">
        <v>2109</v>
      </c>
      <c r="K1315">
        <v>155.37200000000001</v>
      </c>
      <c r="L1315">
        <f t="shared" si="40"/>
        <v>15537.2</v>
      </c>
      <c r="M1315">
        <f t="shared" si="41"/>
        <v>3107.4400000000005</v>
      </c>
    </row>
    <row r="1316" spans="1:13" x14ac:dyDescent="0.3">
      <c r="A1316">
        <v>1315</v>
      </c>
      <c r="B1316" t="s">
        <v>1481</v>
      </c>
      <c r="C1316" s="1">
        <v>43087</v>
      </c>
      <c r="D1316" s="1">
        <v>43092</v>
      </c>
      <c r="E1316" t="s">
        <v>2118</v>
      </c>
      <c r="F1316" t="s">
        <v>1482</v>
      </c>
      <c r="G1316" t="s">
        <v>1483</v>
      </c>
      <c r="H1316" t="s">
        <v>10</v>
      </c>
      <c r="I1316" t="s">
        <v>2112</v>
      </c>
      <c r="J1316" t="s">
        <v>2110</v>
      </c>
      <c r="K1316">
        <v>38.880000000000003</v>
      </c>
      <c r="L1316">
        <f t="shared" si="40"/>
        <v>3888.0000000000005</v>
      </c>
      <c r="M1316">
        <f t="shared" si="41"/>
        <v>777.60000000000014</v>
      </c>
    </row>
    <row r="1317" spans="1:13" x14ac:dyDescent="0.3">
      <c r="A1317">
        <v>1316</v>
      </c>
      <c r="B1317" t="s">
        <v>1481</v>
      </c>
      <c r="C1317" s="1">
        <v>43087</v>
      </c>
      <c r="D1317" s="1">
        <v>43092</v>
      </c>
      <c r="E1317" t="s">
        <v>2118</v>
      </c>
      <c r="F1317" t="s">
        <v>1482</v>
      </c>
      <c r="G1317" t="s">
        <v>1483</v>
      </c>
      <c r="H1317" t="s">
        <v>10</v>
      </c>
      <c r="I1317" t="s">
        <v>2112</v>
      </c>
      <c r="J1317" t="s">
        <v>2109</v>
      </c>
      <c r="K1317">
        <v>183.84</v>
      </c>
      <c r="L1317">
        <f t="shared" si="40"/>
        <v>18384</v>
      </c>
      <c r="M1317">
        <f t="shared" si="41"/>
        <v>3676.8</v>
      </c>
    </row>
    <row r="1318" spans="1:13" x14ac:dyDescent="0.3">
      <c r="A1318">
        <v>1317</v>
      </c>
      <c r="B1318" t="s">
        <v>1481</v>
      </c>
      <c r="C1318" s="1">
        <v>43087</v>
      </c>
      <c r="D1318" s="1">
        <v>43092</v>
      </c>
      <c r="E1318" t="s">
        <v>2118</v>
      </c>
      <c r="F1318" t="s">
        <v>1482</v>
      </c>
      <c r="G1318" t="s">
        <v>1483</v>
      </c>
      <c r="H1318" t="s">
        <v>10</v>
      </c>
      <c r="I1318" t="s">
        <v>2112</v>
      </c>
      <c r="J1318" t="s">
        <v>2110</v>
      </c>
      <c r="K1318">
        <v>579.29999999999995</v>
      </c>
      <c r="L1318">
        <f t="shared" si="40"/>
        <v>57929.999999999993</v>
      </c>
      <c r="M1318">
        <f t="shared" si="41"/>
        <v>11586</v>
      </c>
    </row>
    <row r="1319" spans="1:13" x14ac:dyDescent="0.3">
      <c r="A1319">
        <v>1318</v>
      </c>
      <c r="B1319" t="s">
        <v>1484</v>
      </c>
      <c r="C1319" s="1">
        <v>43444</v>
      </c>
      <c r="D1319" s="1">
        <v>43448</v>
      </c>
      <c r="E1319" t="s">
        <v>2118</v>
      </c>
      <c r="F1319" t="s">
        <v>208</v>
      </c>
      <c r="G1319" t="s">
        <v>209</v>
      </c>
      <c r="H1319" t="s">
        <v>6</v>
      </c>
      <c r="I1319" t="s">
        <v>2114</v>
      </c>
      <c r="J1319" t="s">
        <v>2111</v>
      </c>
      <c r="K1319">
        <v>14.2</v>
      </c>
      <c r="L1319">
        <f t="shared" si="40"/>
        <v>1420</v>
      </c>
      <c r="M1319">
        <f t="shared" si="41"/>
        <v>284</v>
      </c>
    </row>
    <row r="1320" spans="1:13" x14ac:dyDescent="0.3">
      <c r="A1320">
        <v>1319</v>
      </c>
      <c r="B1320" t="s">
        <v>1485</v>
      </c>
      <c r="C1320" s="1">
        <v>42186</v>
      </c>
      <c r="D1320" s="1">
        <v>42190</v>
      </c>
      <c r="E1320" t="s">
        <v>2118</v>
      </c>
      <c r="F1320" t="s">
        <v>1486</v>
      </c>
      <c r="G1320" t="s">
        <v>1487</v>
      </c>
      <c r="H1320" t="s">
        <v>10</v>
      </c>
      <c r="I1320" t="s">
        <v>2115</v>
      </c>
      <c r="J1320" t="s">
        <v>2111</v>
      </c>
      <c r="K1320">
        <v>575.91999999999996</v>
      </c>
      <c r="L1320">
        <f t="shared" si="40"/>
        <v>57591.999999999993</v>
      </c>
      <c r="M1320">
        <f t="shared" si="41"/>
        <v>11518.4</v>
      </c>
    </row>
    <row r="1321" spans="1:13" x14ac:dyDescent="0.3">
      <c r="A1321">
        <v>1320</v>
      </c>
      <c r="B1321" t="s">
        <v>1485</v>
      </c>
      <c r="C1321" s="1">
        <v>42186</v>
      </c>
      <c r="D1321" s="1">
        <v>42190</v>
      </c>
      <c r="E1321" t="s">
        <v>2118</v>
      </c>
      <c r="F1321" t="s">
        <v>1486</v>
      </c>
      <c r="G1321" t="s">
        <v>1487</v>
      </c>
      <c r="H1321" t="s">
        <v>10</v>
      </c>
      <c r="I1321" t="s">
        <v>2115</v>
      </c>
      <c r="J1321" t="s">
        <v>2110</v>
      </c>
      <c r="K1321">
        <v>5.1840000000000002</v>
      </c>
      <c r="L1321">
        <f t="shared" si="40"/>
        <v>518.4</v>
      </c>
      <c r="M1321">
        <f t="shared" si="41"/>
        <v>103.68</v>
      </c>
    </row>
    <row r="1322" spans="1:13" x14ac:dyDescent="0.3">
      <c r="A1322">
        <v>1321</v>
      </c>
      <c r="B1322" t="s">
        <v>1488</v>
      </c>
      <c r="C1322" s="1">
        <v>43134</v>
      </c>
      <c r="D1322" s="1">
        <v>43139</v>
      </c>
      <c r="E1322" t="s">
        <v>2118</v>
      </c>
      <c r="F1322" t="s">
        <v>1489</v>
      </c>
      <c r="G1322" t="s">
        <v>1490</v>
      </c>
      <c r="H1322" t="s">
        <v>6</v>
      </c>
      <c r="I1322" t="s">
        <v>2114</v>
      </c>
      <c r="J1322" t="s">
        <v>2110</v>
      </c>
      <c r="K1322">
        <v>5.2290000000000001</v>
      </c>
      <c r="L1322">
        <f t="shared" si="40"/>
        <v>522.9</v>
      </c>
      <c r="M1322">
        <f t="shared" si="41"/>
        <v>104.58</v>
      </c>
    </row>
    <row r="1323" spans="1:13" x14ac:dyDescent="0.3">
      <c r="A1323">
        <v>1322</v>
      </c>
      <c r="B1323" t="s">
        <v>1488</v>
      </c>
      <c r="C1323" s="1">
        <v>43134</v>
      </c>
      <c r="D1323" s="1">
        <v>43139</v>
      </c>
      <c r="E1323" t="s">
        <v>2118</v>
      </c>
      <c r="F1323" t="s">
        <v>1489</v>
      </c>
      <c r="G1323" t="s">
        <v>1490</v>
      </c>
      <c r="H1323" t="s">
        <v>6</v>
      </c>
      <c r="I1323" t="s">
        <v>2114</v>
      </c>
      <c r="J1323" t="s">
        <v>2110</v>
      </c>
      <c r="K1323">
        <v>285.55200000000002</v>
      </c>
      <c r="L1323">
        <f t="shared" si="40"/>
        <v>28555.200000000001</v>
      </c>
      <c r="M1323">
        <f t="shared" si="41"/>
        <v>5711.0400000000009</v>
      </c>
    </row>
    <row r="1324" spans="1:13" x14ac:dyDescent="0.3">
      <c r="A1324">
        <v>1323</v>
      </c>
      <c r="B1324" t="s">
        <v>1491</v>
      </c>
      <c r="C1324" s="1">
        <v>43162</v>
      </c>
      <c r="D1324" s="1">
        <v>43167</v>
      </c>
      <c r="E1324" t="s">
        <v>2118</v>
      </c>
      <c r="F1324" t="s">
        <v>1492</v>
      </c>
      <c r="G1324" t="s">
        <v>1493</v>
      </c>
      <c r="H1324" t="s">
        <v>6</v>
      </c>
      <c r="I1324" t="s">
        <v>2115</v>
      </c>
      <c r="J1324" t="s">
        <v>2110</v>
      </c>
      <c r="K1324">
        <v>72.8</v>
      </c>
      <c r="L1324">
        <f t="shared" si="40"/>
        <v>7280</v>
      </c>
      <c r="M1324">
        <f t="shared" si="41"/>
        <v>1456</v>
      </c>
    </row>
    <row r="1325" spans="1:13" x14ac:dyDescent="0.3">
      <c r="A1325">
        <v>1324</v>
      </c>
      <c r="B1325" t="s">
        <v>1494</v>
      </c>
      <c r="C1325" s="1">
        <v>43382</v>
      </c>
      <c r="D1325" s="1">
        <v>43383</v>
      </c>
      <c r="E1325" t="s">
        <v>2120</v>
      </c>
      <c r="F1325" t="s">
        <v>1495</v>
      </c>
      <c r="G1325" t="s">
        <v>1496</v>
      </c>
      <c r="H1325" t="s">
        <v>6</v>
      </c>
      <c r="I1325" t="s">
        <v>2115</v>
      </c>
      <c r="J1325" t="s">
        <v>2110</v>
      </c>
      <c r="K1325">
        <v>10.816000000000001</v>
      </c>
      <c r="L1325">
        <f t="shared" si="40"/>
        <v>1081.6000000000001</v>
      </c>
      <c r="M1325">
        <f t="shared" si="41"/>
        <v>216.32000000000005</v>
      </c>
    </row>
    <row r="1326" spans="1:13" x14ac:dyDescent="0.3">
      <c r="A1326">
        <v>1325</v>
      </c>
      <c r="B1326" t="s">
        <v>1497</v>
      </c>
      <c r="C1326" s="1">
        <v>42275</v>
      </c>
      <c r="D1326" s="1">
        <v>42280</v>
      </c>
      <c r="E1326" t="s">
        <v>2118</v>
      </c>
      <c r="F1326" t="s">
        <v>1498</v>
      </c>
      <c r="G1326" t="s">
        <v>1499</v>
      </c>
      <c r="H1326" t="s">
        <v>10</v>
      </c>
      <c r="I1326" t="s">
        <v>2114</v>
      </c>
      <c r="J1326" t="s">
        <v>2110</v>
      </c>
      <c r="K1326">
        <v>46.26</v>
      </c>
      <c r="L1326">
        <f t="shared" si="40"/>
        <v>4626</v>
      </c>
      <c r="M1326">
        <f t="shared" si="41"/>
        <v>925.2</v>
      </c>
    </row>
    <row r="1327" spans="1:13" x14ac:dyDescent="0.3">
      <c r="A1327">
        <v>1326</v>
      </c>
      <c r="B1327" t="s">
        <v>1500</v>
      </c>
      <c r="C1327" s="1">
        <v>42151</v>
      </c>
      <c r="D1327" s="1">
        <v>42154</v>
      </c>
      <c r="E1327" t="s">
        <v>2120</v>
      </c>
      <c r="F1327" t="s">
        <v>302</v>
      </c>
      <c r="G1327" t="s">
        <v>303</v>
      </c>
      <c r="H1327" t="s">
        <v>6</v>
      </c>
      <c r="I1327" t="s">
        <v>2117</v>
      </c>
      <c r="J1327" t="s">
        <v>2110</v>
      </c>
      <c r="K1327">
        <v>17.46</v>
      </c>
      <c r="L1327">
        <f t="shared" si="40"/>
        <v>1746</v>
      </c>
      <c r="M1327">
        <f t="shared" si="41"/>
        <v>349.20000000000005</v>
      </c>
    </row>
    <row r="1328" spans="1:13" x14ac:dyDescent="0.3">
      <c r="A1328">
        <v>1327</v>
      </c>
      <c r="B1328" t="s">
        <v>1501</v>
      </c>
      <c r="C1328" s="1">
        <v>42535</v>
      </c>
      <c r="D1328" s="1">
        <v>42539</v>
      </c>
      <c r="E1328" t="s">
        <v>2118</v>
      </c>
      <c r="F1328" t="s">
        <v>181</v>
      </c>
      <c r="G1328" t="s">
        <v>182</v>
      </c>
      <c r="H1328" t="s">
        <v>26</v>
      </c>
      <c r="I1328" t="s">
        <v>2114</v>
      </c>
      <c r="J1328" t="s">
        <v>2109</v>
      </c>
      <c r="K1328">
        <v>51.072000000000003</v>
      </c>
      <c r="L1328">
        <f t="shared" si="40"/>
        <v>5107.2000000000007</v>
      </c>
      <c r="M1328">
        <f t="shared" si="41"/>
        <v>1021.4400000000002</v>
      </c>
    </row>
    <row r="1329" spans="1:13" x14ac:dyDescent="0.3">
      <c r="A1329">
        <v>1328</v>
      </c>
      <c r="B1329" t="s">
        <v>1502</v>
      </c>
      <c r="C1329" s="1">
        <v>42824</v>
      </c>
      <c r="D1329" s="1">
        <v>42826</v>
      </c>
      <c r="E1329" t="s">
        <v>2120</v>
      </c>
      <c r="F1329" t="s">
        <v>1503</v>
      </c>
      <c r="G1329" t="s">
        <v>1504</v>
      </c>
      <c r="H1329" t="s">
        <v>10</v>
      </c>
      <c r="I1329" t="s">
        <v>2114</v>
      </c>
      <c r="J1329" t="s">
        <v>2110</v>
      </c>
      <c r="K1329">
        <v>11.34</v>
      </c>
      <c r="L1329">
        <f t="shared" si="40"/>
        <v>1134</v>
      </c>
      <c r="M1329">
        <f t="shared" si="41"/>
        <v>226.8</v>
      </c>
    </row>
    <row r="1330" spans="1:13" x14ac:dyDescent="0.3">
      <c r="A1330">
        <v>1329</v>
      </c>
      <c r="B1330" t="s">
        <v>1505</v>
      </c>
      <c r="C1330" s="1">
        <v>43388</v>
      </c>
      <c r="D1330" s="1">
        <v>43391</v>
      </c>
      <c r="E1330" t="s">
        <v>2119</v>
      </c>
      <c r="F1330" t="s">
        <v>1506</v>
      </c>
      <c r="G1330" t="s">
        <v>1507</v>
      </c>
      <c r="H1330" t="s">
        <v>26</v>
      </c>
      <c r="I1330" t="s">
        <v>2112</v>
      </c>
      <c r="J1330" t="s">
        <v>2110</v>
      </c>
      <c r="K1330">
        <v>87.92</v>
      </c>
      <c r="L1330">
        <f t="shared" si="40"/>
        <v>8792</v>
      </c>
      <c r="M1330">
        <f t="shared" si="41"/>
        <v>1758.4</v>
      </c>
    </row>
    <row r="1331" spans="1:13" x14ac:dyDescent="0.3">
      <c r="A1331">
        <v>1330</v>
      </c>
      <c r="B1331" t="s">
        <v>1508</v>
      </c>
      <c r="C1331" s="1">
        <v>42878</v>
      </c>
      <c r="D1331" s="1">
        <v>42882</v>
      </c>
      <c r="E1331" t="s">
        <v>2118</v>
      </c>
      <c r="F1331" t="s">
        <v>1509</v>
      </c>
      <c r="G1331" t="s">
        <v>1510</v>
      </c>
      <c r="H1331" t="s">
        <v>6</v>
      </c>
      <c r="I1331" t="s">
        <v>2112</v>
      </c>
      <c r="J1331" t="s">
        <v>2109</v>
      </c>
      <c r="K1331">
        <v>37.049999999999997</v>
      </c>
      <c r="L1331">
        <f t="shared" si="40"/>
        <v>3704.9999999999995</v>
      </c>
      <c r="M1331">
        <f t="shared" si="41"/>
        <v>741</v>
      </c>
    </row>
    <row r="1332" spans="1:13" x14ac:dyDescent="0.3">
      <c r="A1332">
        <v>1331</v>
      </c>
      <c r="B1332" t="s">
        <v>1511</v>
      </c>
      <c r="C1332" s="1">
        <v>43253</v>
      </c>
      <c r="D1332" s="1">
        <v>43257</v>
      </c>
      <c r="E1332" t="s">
        <v>2118</v>
      </c>
      <c r="F1332" t="s">
        <v>1512</v>
      </c>
      <c r="G1332" t="s">
        <v>1513</v>
      </c>
      <c r="H1332" t="s">
        <v>26</v>
      </c>
      <c r="I1332" t="s">
        <v>2114</v>
      </c>
      <c r="J1332" t="s">
        <v>2111</v>
      </c>
      <c r="K1332">
        <v>2.97</v>
      </c>
      <c r="L1332">
        <f t="shared" si="40"/>
        <v>297</v>
      </c>
      <c r="M1332">
        <f t="shared" si="41"/>
        <v>59.400000000000006</v>
      </c>
    </row>
    <row r="1333" spans="1:13" x14ac:dyDescent="0.3">
      <c r="A1333">
        <v>1332</v>
      </c>
      <c r="B1333" t="s">
        <v>1511</v>
      </c>
      <c r="C1333" s="1">
        <v>43253</v>
      </c>
      <c r="D1333" s="1">
        <v>43257</v>
      </c>
      <c r="E1333" t="s">
        <v>2118</v>
      </c>
      <c r="F1333" t="s">
        <v>1512</v>
      </c>
      <c r="G1333" t="s">
        <v>1513</v>
      </c>
      <c r="H1333" t="s">
        <v>26</v>
      </c>
      <c r="I1333" t="s">
        <v>2114</v>
      </c>
      <c r="J1333" t="s">
        <v>2110</v>
      </c>
      <c r="K1333">
        <v>27.44</v>
      </c>
      <c r="L1333">
        <f t="shared" si="40"/>
        <v>2744</v>
      </c>
      <c r="M1333">
        <f t="shared" si="41"/>
        <v>548.80000000000007</v>
      </c>
    </row>
    <row r="1334" spans="1:13" x14ac:dyDescent="0.3">
      <c r="A1334">
        <v>1333</v>
      </c>
      <c r="B1334" t="s">
        <v>1514</v>
      </c>
      <c r="C1334" s="1">
        <v>42051</v>
      </c>
      <c r="D1334" s="1">
        <v>42056</v>
      </c>
      <c r="E1334" t="s">
        <v>2118</v>
      </c>
      <c r="F1334" t="s">
        <v>1515</v>
      </c>
      <c r="G1334" t="s">
        <v>1516</v>
      </c>
      <c r="H1334" t="s">
        <v>6</v>
      </c>
      <c r="I1334" t="s">
        <v>2117</v>
      </c>
      <c r="J1334" t="s">
        <v>2110</v>
      </c>
      <c r="K1334">
        <v>1.08</v>
      </c>
      <c r="L1334">
        <f t="shared" si="40"/>
        <v>108</v>
      </c>
      <c r="M1334">
        <f t="shared" si="41"/>
        <v>21.6</v>
      </c>
    </row>
    <row r="1335" spans="1:13" x14ac:dyDescent="0.3">
      <c r="A1335">
        <v>1334</v>
      </c>
      <c r="B1335" t="s">
        <v>1514</v>
      </c>
      <c r="C1335" s="1">
        <v>42051</v>
      </c>
      <c r="D1335" s="1">
        <v>42056</v>
      </c>
      <c r="E1335" t="s">
        <v>2118</v>
      </c>
      <c r="F1335" t="s">
        <v>1515</v>
      </c>
      <c r="G1335" t="s">
        <v>1516</v>
      </c>
      <c r="H1335" t="s">
        <v>6</v>
      </c>
      <c r="I1335" t="s">
        <v>2117</v>
      </c>
      <c r="J1335" t="s">
        <v>2110</v>
      </c>
      <c r="K1335">
        <v>7.96</v>
      </c>
      <c r="L1335">
        <f t="shared" si="40"/>
        <v>796</v>
      </c>
      <c r="M1335">
        <f t="shared" si="41"/>
        <v>159.20000000000002</v>
      </c>
    </row>
    <row r="1336" spans="1:13" x14ac:dyDescent="0.3">
      <c r="A1336">
        <v>1335</v>
      </c>
      <c r="B1336" t="s">
        <v>1517</v>
      </c>
      <c r="C1336" s="1">
        <v>42130</v>
      </c>
      <c r="D1336" s="1">
        <v>42134</v>
      </c>
      <c r="E1336" t="s">
        <v>2118</v>
      </c>
      <c r="F1336" t="s">
        <v>24</v>
      </c>
      <c r="G1336" t="s">
        <v>25</v>
      </c>
      <c r="H1336" t="s">
        <v>26</v>
      </c>
      <c r="I1336" t="s">
        <v>2112</v>
      </c>
      <c r="J1336" t="s">
        <v>2110</v>
      </c>
      <c r="K1336">
        <v>140.73599999999999</v>
      </c>
      <c r="L1336">
        <f t="shared" si="40"/>
        <v>14073.599999999999</v>
      </c>
      <c r="M1336">
        <f t="shared" si="41"/>
        <v>2814.72</v>
      </c>
    </row>
    <row r="1337" spans="1:13" x14ac:dyDescent="0.3">
      <c r="A1337">
        <v>1336</v>
      </c>
      <c r="B1337" t="s">
        <v>1518</v>
      </c>
      <c r="C1337" s="1">
        <v>42871</v>
      </c>
      <c r="D1337" s="1">
        <v>42878</v>
      </c>
      <c r="E1337" t="s">
        <v>2118</v>
      </c>
      <c r="F1337" t="s">
        <v>1519</v>
      </c>
      <c r="G1337" t="s">
        <v>1520</v>
      </c>
      <c r="H1337" t="s">
        <v>6</v>
      </c>
      <c r="I1337" t="s">
        <v>2114</v>
      </c>
      <c r="J1337" t="s">
        <v>2110</v>
      </c>
      <c r="K1337">
        <v>552.55999999999995</v>
      </c>
      <c r="L1337">
        <f t="shared" si="40"/>
        <v>55255.999999999993</v>
      </c>
      <c r="M1337">
        <f t="shared" si="41"/>
        <v>11051.199999999999</v>
      </c>
    </row>
    <row r="1338" spans="1:13" x14ac:dyDescent="0.3">
      <c r="A1338">
        <v>1337</v>
      </c>
      <c r="B1338" t="s">
        <v>1521</v>
      </c>
      <c r="C1338" s="1">
        <v>43192</v>
      </c>
      <c r="D1338" s="1">
        <v>43197</v>
      </c>
      <c r="E1338" t="s">
        <v>2118</v>
      </c>
      <c r="F1338" t="s">
        <v>1522</v>
      </c>
      <c r="G1338" t="s">
        <v>1523</v>
      </c>
      <c r="H1338" t="s">
        <v>6</v>
      </c>
      <c r="I1338" t="s">
        <v>2112</v>
      </c>
      <c r="J1338" t="s">
        <v>2109</v>
      </c>
      <c r="K1338">
        <v>25.11</v>
      </c>
      <c r="L1338">
        <f t="shared" si="40"/>
        <v>2511</v>
      </c>
      <c r="M1338">
        <f t="shared" si="41"/>
        <v>502.20000000000005</v>
      </c>
    </row>
    <row r="1339" spans="1:13" x14ac:dyDescent="0.3">
      <c r="A1339">
        <v>1338</v>
      </c>
      <c r="B1339" t="s">
        <v>1524</v>
      </c>
      <c r="C1339" s="1">
        <v>43190</v>
      </c>
      <c r="D1339" s="1">
        <v>43192</v>
      </c>
      <c r="E1339" t="s">
        <v>2119</v>
      </c>
      <c r="F1339" t="s">
        <v>1525</v>
      </c>
      <c r="G1339" t="s">
        <v>1526</v>
      </c>
      <c r="H1339" t="s">
        <v>6</v>
      </c>
      <c r="I1339" t="s">
        <v>2114</v>
      </c>
      <c r="J1339" t="s">
        <v>2109</v>
      </c>
      <c r="K1339">
        <v>29.78</v>
      </c>
      <c r="L1339">
        <f t="shared" si="40"/>
        <v>2978</v>
      </c>
      <c r="M1339">
        <f t="shared" si="41"/>
        <v>595.6</v>
      </c>
    </row>
    <row r="1340" spans="1:13" x14ac:dyDescent="0.3">
      <c r="A1340">
        <v>1339</v>
      </c>
      <c r="B1340" t="s">
        <v>1524</v>
      </c>
      <c r="C1340" s="1">
        <v>43190</v>
      </c>
      <c r="D1340" s="1">
        <v>43192</v>
      </c>
      <c r="E1340" t="s">
        <v>2119</v>
      </c>
      <c r="F1340" t="s">
        <v>1525</v>
      </c>
      <c r="G1340" t="s">
        <v>1526</v>
      </c>
      <c r="H1340" t="s">
        <v>6</v>
      </c>
      <c r="I1340" t="s">
        <v>2114</v>
      </c>
      <c r="J1340" t="s">
        <v>2111</v>
      </c>
      <c r="K1340">
        <v>677.58</v>
      </c>
      <c r="L1340">
        <f t="shared" si="40"/>
        <v>67758</v>
      </c>
      <c r="M1340">
        <f t="shared" si="41"/>
        <v>13551.6</v>
      </c>
    </row>
    <row r="1341" spans="1:13" x14ac:dyDescent="0.3">
      <c r="A1341">
        <v>1340</v>
      </c>
      <c r="B1341" t="s">
        <v>1524</v>
      </c>
      <c r="C1341" s="1">
        <v>43190</v>
      </c>
      <c r="D1341" s="1">
        <v>43192</v>
      </c>
      <c r="E1341" t="s">
        <v>2119</v>
      </c>
      <c r="F1341" t="s">
        <v>1525</v>
      </c>
      <c r="G1341" t="s">
        <v>1526</v>
      </c>
      <c r="H1341" t="s">
        <v>6</v>
      </c>
      <c r="I1341" t="s">
        <v>2114</v>
      </c>
      <c r="J1341" t="s">
        <v>2110</v>
      </c>
      <c r="K1341">
        <v>75.040000000000006</v>
      </c>
      <c r="L1341">
        <f t="shared" si="40"/>
        <v>7504.0000000000009</v>
      </c>
      <c r="M1341">
        <f t="shared" si="41"/>
        <v>1500.8000000000002</v>
      </c>
    </row>
    <row r="1342" spans="1:13" x14ac:dyDescent="0.3">
      <c r="A1342">
        <v>1341</v>
      </c>
      <c r="B1342" t="s">
        <v>1527</v>
      </c>
      <c r="C1342" s="1">
        <v>43102</v>
      </c>
      <c r="D1342" s="1">
        <v>43104</v>
      </c>
      <c r="E1342" t="s">
        <v>2120</v>
      </c>
      <c r="F1342" t="s">
        <v>1528</v>
      </c>
      <c r="G1342" t="s">
        <v>1529</v>
      </c>
      <c r="H1342" t="s">
        <v>10</v>
      </c>
      <c r="I1342" t="s">
        <v>2115</v>
      </c>
      <c r="J1342" t="s">
        <v>2111</v>
      </c>
      <c r="K1342">
        <v>695.7</v>
      </c>
      <c r="L1342">
        <f t="shared" si="40"/>
        <v>69570</v>
      </c>
      <c r="M1342">
        <f t="shared" si="41"/>
        <v>13914</v>
      </c>
    </row>
    <row r="1343" spans="1:13" x14ac:dyDescent="0.3">
      <c r="A1343">
        <v>1342</v>
      </c>
      <c r="B1343" t="s">
        <v>1527</v>
      </c>
      <c r="C1343" s="1">
        <v>43102</v>
      </c>
      <c r="D1343" s="1">
        <v>43104</v>
      </c>
      <c r="E1343" t="s">
        <v>2120</v>
      </c>
      <c r="F1343" t="s">
        <v>1528</v>
      </c>
      <c r="G1343" t="s">
        <v>1529</v>
      </c>
      <c r="H1343" t="s">
        <v>10</v>
      </c>
      <c r="I1343" t="s">
        <v>2115</v>
      </c>
      <c r="J1343" t="s">
        <v>2110</v>
      </c>
      <c r="K1343">
        <v>15.66</v>
      </c>
      <c r="L1343">
        <f t="shared" si="40"/>
        <v>1566</v>
      </c>
      <c r="M1343">
        <f t="shared" si="41"/>
        <v>313.20000000000005</v>
      </c>
    </row>
    <row r="1344" spans="1:13" x14ac:dyDescent="0.3">
      <c r="A1344">
        <v>1343</v>
      </c>
      <c r="B1344" t="s">
        <v>1527</v>
      </c>
      <c r="C1344" s="1">
        <v>43102</v>
      </c>
      <c r="D1344" s="1">
        <v>43104</v>
      </c>
      <c r="E1344" t="s">
        <v>2120</v>
      </c>
      <c r="F1344" t="s">
        <v>1528</v>
      </c>
      <c r="G1344" t="s">
        <v>1529</v>
      </c>
      <c r="H1344" t="s">
        <v>10</v>
      </c>
      <c r="I1344" t="s">
        <v>2115</v>
      </c>
      <c r="J1344" t="s">
        <v>2110</v>
      </c>
      <c r="K1344">
        <v>28.853999999999999</v>
      </c>
      <c r="L1344">
        <f t="shared" si="40"/>
        <v>2885.4</v>
      </c>
      <c r="M1344">
        <f t="shared" si="41"/>
        <v>577.08000000000004</v>
      </c>
    </row>
    <row r="1345" spans="1:13" x14ac:dyDescent="0.3">
      <c r="A1345">
        <v>1344</v>
      </c>
      <c r="B1345" t="s">
        <v>1530</v>
      </c>
      <c r="C1345" s="1">
        <v>42518</v>
      </c>
      <c r="D1345" s="1">
        <v>42522</v>
      </c>
      <c r="E1345" t="s">
        <v>2118</v>
      </c>
      <c r="F1345" t="s">
        <v>133</v>
      </c>
      <c r="G1345" t="s">
        <v>134</v>
      </c>
      <c r="H1345" t="s">
        <v>6</v>
      </c>
      <c r="I1345" t="s">
        <v>2114</v>
      </c>
      <c r="J1345" t="s">
        <v>2110</v>
      </c>
      <c r="K1345">
        <v>47.82</v>
      </c>
      <c r="L1345">
        <f t="shared" si="40"/>
        <v>4782</v>
      </c>
      <c r="M1345">
        <f t="shared" si="41"/>
        <v>956.40000000000009</v>
      </c>
    </row>
    <row r="1346" spans="1:13" x14ac:dyDescent="0.3">
      <c r="A1346">
        <v>1345</v>
      </c>
      <c r="B1346" t="s">
        <v>1530</v>
      </c>
      <c r="C1346" s="1">
        <v>42518</v>
      </c>
      <c r="D1346" s="1">
        <v>42522</v>
      </c>
      <c r="E1346" t="s">
        <v>2118</v>
      </c>
      <c r="F1346" t="s">
        <v>133</v>
      </c>
      <c r="G1346" t="s">
        <v>134</v>
      </c>
      <c r="H1346" t="s">
        <v>6</v>
      </c>
      <c r="I1346" t="s">
        <v>2114</v>
      </c>
      <c r="J1346" t="s">
        <v>2110</v>
      </c>
      <c r="K1346">
        <v>13.05</v>
      </c>
      <c r="L1346">
        <f t="shared" ref="L1346:L1409" si="42">K1346*100</f>
        <v>1305</v>
      </c>
      <c r="M1346">
        <f t="shared" si="41"/>
        <v>261</v>
      </c>
    </row>
    <row r="1347" spans="1:13" x14ac:dyDescent="0.3">
      <c r="A1347">
        <v>1346</v>
      </c>
      <c r="B1347" t="s">
        <v>1531</v>
      </c>
      <c r="C1347" s="1">
        <v>42080</v>
      </c>
      <c r="D1347" s="1">
        <v>42087</v>
      </c>
      <c r="E1347" t="s">
        <v>2118</v>
      </c>
      <c r="F1347" t="s">
        <v>647</v>
      </c>
      <c r="G1347" t="s">
        <v>648</v>
      </c>
      <c r="H1347" t="s">
        <v>6</v>
      </c>
      <c r="I1347" t="s">
        <v>2117</v>
      </c>
      <c r="J1347" t="s">
        <v>2110</v>
      </c>
      <c r="K1347">
        <v>93.78</v>
      </c>
      <c r="L1347">
        <f t="shared" si="42"/>
        <v>9378</v>
      </c>
      <c r="M1347">
        <f t="shared" ref="M1347:M1410" si="43">L1347*0.2</f>
        <v>1875.6000000000001</v>
      </c>
    </row>
    <row r="1348" spans="1:13" x14ac:dyDescent="0.3">
      <c r="A1348">
        <v>1347</v>
      </c>
      <c r="B1348" t="s">
        <v>1531</v>
      </c>
      <c r="C1348" s="1">
        <v>42080</v>
      </c>
      <c r="D1348" s="1">
        <v>42087</v>
      </c>
      <c r="E1348" t="s">
        <v>2118</v>
      </c>
      <c r="F1348" t="s">
        <v>647</v>
      </c>
      <c r="G1348" t="s">
        <v>648</v>
      </c>
      <c r="H1348" t="s">
        <v>6</v>
      </c>
      <c r="I1348" t="s">
        <v>2117</v>
      </c>
      <c r="J1348" t="s">
        <v>2110</v>
      </c>
      <c r="K1348">
        <v>47.18</v>
      </c>
      <c r="L1348">
        <f t="shared" si="42"/>
        <v>4718</v>
      </c>
      <c r="M1348">
        <f t="shared" si="43"/>
        <v>943.6</v>
      </c>
    </row>
    <row r="1349" spans="1:13" x14ac:dyDescent="0.3">
      <c r="A1349">
        <v>1348</v>
      </c>
      <c r="B1349" t="s">
        <v>1531</v>
      </c>
      <c r="C1349" s="1">
        <v>42080</v>
      </c>
      <c r="D1349" s="1">
        <v>42087</v>
      </c>
      <c r="E1349" t="s">
        <v>2118</v>
      </c>
      <c r="F1349" t="s">
        <v>647</v>
      </c>
      <c r="G1349" t="s">
        <v>648</v>
      </c>
      <c r="H1349" t="s">
        <v>6</v>
      </c>
      <c r="I1349" t="s">
        <v>2117</v>
      </c>
      <c r="J1349" t="s">
        <v>2110</v>
      </c>
      <c r="K1349">
        <v>19.68</v>
      </c>
      <c r="L1349">
        <f t="shared" si="42"/>
        <v>1968</v>
      </c>
      <c r="M1349">
        <f t="shared" si="43"/>
        <v>393.6</v>
      </c>
    </row>
    <row r="1350" spans="1:13" x14ac:dyDescent="0.3">
      <c r="A1350">
        <v>1349</v>
      </c>
      <c r="B1350" t="s">
        <v>1531</v>
      </c>
      <c r="C1350" s="1">
        <v>42080</v>
      </c>
      <c r="D1350" s="1">
        <v>42087</v>
      </c>
      <c r="E1350" t="s">
        <v>2118</v>
      </c>
      <c r="F1350" t="s">
        <v>647</v>
      </c>
      <c r="G1350" t="s">
        <v>648</v>
      </c>
      <c r="H1350" t="s">
        <v>6</v>
      </c>
      <c r="I1350" t="s">
        <v>2117</v>
      </c>
      <c r="J1350" t="s">
        <v>2110</v>
      </c>
      <c r="K1350">
        <v>53.4</v>
      </c>
      <c r="L1350">
        <f t="shared" si="42"/>
        <v>5340</v>
      </c>
      <c r="M1350">
        <f t="shared" si="43"/>
        <v>1068</v>
      </c>
    </row>
    <row r="1351" spans="1:13" x14ac:dyDescent="0.3">
      <c r="A1351">
        <v>1350</v>
      </c>
      <c r="B1351" t="s">
        <v>1531</v>
      </c>
      <c r="C1351" s="1">
        <v>42080</v>
      </c>
      <c r="D1351" s="1">
        <v>42087</v>
      </c>
      <c r="E1351" t="s">
        <v>2118</v>
      </c>
      <c r="F1351" t="s">
        <v>647</v>
      </c>
      <c r="G1351" t="s">
        <v>648</v>
      </c>
      <c r="H1351" t="s">
        <v>6</v>
      </c>
      <c r="I1351" t="s">
        <v>2117</v>
      </c>
      <c r="J1351" t="s">
        <v>2110</v>
      </c>
      <c r="K1351">
        <v>35.880000000000003</v>
      </c>
      <c r="L1351">
        <f t="shared" si="42"/>
        <v>3588.0000000000005</v>
      </c>
      <c r="M1351">
        <f t="shared" si="43"/>
        <v>717.60000000000014</v>
      </c>
    </row>
    <row r="1352" spans="1:13" x14ac:dyDescent="0.3">
      <c r="A1352">
        <v>1351</v>
      </c>
      <c r="B1352" t="s">
        <v>1532</v>
      </c>
      <c r="C1352" s="1">
        <v>42280</v>
      </c>
      <c r="D1352" s="1">
        <v>42285</v>
      </c>
      <c r="E1352" t="s">
        <v>2119</v>
      </c>
      <c r="F1352" t="s">
        <v>1533</v>
      </c>
      <c r="G1352" t="s">
        <v>1534</v>
      </c>
      <c r="H1352" t="s">
        <v>6</v>
      </c>
      <c r="I1352" t="s">
        <v>2117</v>
      </c>
      <c r="J1352" t="s">
        <v>2109</v>
      </c>
      <c r="K1352">
        <v>258.279</v>
      </c>
      <c r="L1352">
        <f t="shared" si="42"/>
        <v>25827.9</v>
      </c>
      <c r="M1352">
        <f t="shared" si="43"/>
        <v>5165.5800000000008</v>
      </c>
    </row>
    <row r="1353" spans="1:13" x14ac:dyDescent="0.3">
      <c r="A1353">
        <v>1352</v>
      </c>
      <c r="B1353" t="s">
        <v>1535</v>
      </c>
      <c r="C1353" s="1">
        <v>42822</v>
      </c>
      <c r="D1353" s="1">
        <v>42825</v>
      </c>
      <c r="E1353" t="s">
        <v>2120</v>
      </c>
      <c r="F1353" t="s">
        <v>1528</v>
      </c>
      <c r="G1353" t="s">
        <v>1529</v>
      </c>
      <c r="H1353" t="s">
        <v>10</v>
      </c>
      <c r="I1353" t="s">
        <v>2115</v>
      </c>
      <c r="J1353" t="s">
        <v>2110</v>
      </c>
      <c r="K1353">
        <v>31.4</v>
      </c>
      <c r="L1353">
        <f t="shared" si="42"/>
        <v>3140</v>
      </c>
      <c r="M1353">
        <f t="shared" si="43"/>
        <v>628</v>
      </c>
    </row>
    <row r="1354" spans="1:13" x14ac:dyDescent="0.3">
      <c r="A1354">
        <v>1353</v>
      </c>
      <c r="B1354" t="s">
        <v>1536</v>
      </c>
      <c r="C1354" s="1">
        <v>43224</v>
      </c>
      <c r="D1354" s="1">
        <v>43229</v>
      </c>
      <c r="E1354" t="s">
        <v>2118</v>
      </c>
      <c r="F1354" t="s">
        <v>1168</v>
      </c>
      <c r="G1354" t="s">
        <v>1169</v>
      </c>
      <c r="H1354" t="s">
        <v>10</v>
      </c>
      <c r="I1354" t="s">
        <v>2112</v>
      </c>
      <c r="J1354" t="s">
        <v>2111</v>
      </c>
      <c r="K1354">
        <v>183.96</v>
      </c>
      <c r="L1354">
        <f t="shared" si="42"/>
        <v>18396</v>
      </c>
      <c r="M1354">
        <f t="shared" si="43"/>
        <v>3679.2000000000003</v>
      </c>
    </row>
    <row r="1355" spans="1:13" x14ac:dyDescent="0.3">
      <c r="A1355">
        <v>1354</v>
      </c>
      <c r="B1355" t="s">
        <v>1536</v>
      </c>
      <c r="C1355" s="1">
        <v>43224</v>
      </c>
      <c r="D1355" s="1">
        <v>43229</v>
      </c>
      <c r="E1355" t="s">
        <v>2118</v>
      </c>
      <c r="F1355" t="s">
        <v>1168</v>
      </c>
      <c r="G1355" t="s">
        <v>1169</v>
      </c>
      <c r="H1355" t="s">
        <v>10</v>
      </c>
      <c r="I1355" t="s">
        <v>2112</v>
      </c>
      <c r="J1355" t="s">
        <v>2110</v>
      </c>
      <c r="K1355">
        <v>17.61</v>
      </c>
      <c r="L1355">
        <f t="shared" si="42"/>
        <v>1761</v>
      </c>
      <c r="M1355">
        <f t="shared" si="43"/>
        <v>352.20000000000005</v>
      </c>
    </row>
    <row r="1356" spans="1:13" x14ac:dyDescent="0.3">
      <c r="A1356">
        <v>1355</v>
      </c>
      <c r="B1356" t="s">
        <v>1536</v>
      </c>
      <c r="C1356" s="1">
        <v>43224</v>
      </c>
      <c r="D1356" s="1">
        <v>43229</v>
      </c>
      <c r="E1356" t="s">
        <v>2118</v>
      </c>
      <c r="F1356" t="s">
        <v>1168</v>
      </c>
      <c r="G1356" t="s">
        <v>1169</v>
      </c>
      <c r="H1356" t="s">
        <v>10</v>
      </c>
      <c r="I1356" t="s">
        <v>2112</v>
      </c>
      <c r="J1356" t="s">
        <v>2109</v>
      </c>
      <c r="K1356">
        <v>300.904</v>
      </c>
      <c r="L1356">
        <f t="shared" si="42"/>
        <v>30090.400000000001</v>
      </c>
      <c r="M1356">
        <f t="shared" si="43"/>
        <v>6018.0800000000008</v>
      </c>
    </row>
    <row r="1357" spans="1:13" x14ac:dyDescent="0.3">
      <c r="A1357">
        <v>1356</v>
      </c>
      <c r="B1357" t="s">
        <v>1537</v>
      </c>
      <c r="C1357" s="1">
        <v>42190</v>
      </c>
      <c r="D1357" s="1">
        <v>42190</v>
      </c>
      <c r="E1357" t="s">
        <v>2120</v>
      </c>
      <c r="F1357" t="s">
        <v>1440</v>
      </c>
      <c r="G1357" t="s">
        <v>1441</v>
      </c>
      <c r="H1357" t="s">
        <v>6</v>
      </c>
      <c r="I1357" t="s">
        <v>2117</v>
      </c>
      <c r="J1357" t="s">
        <v>2110</v>
      </c>
      <c r="K1357">
        <v>220.77600000000001</v>
      </c>
      <c r="L1357">
        <f t="shared" si="42"/>
        <v>22077.600000000002</v>
      </c>
      <c r="M1357">
        <f t="shared" si="43"/>
        <v>4415.5200000000004</v>
      </c>
    </row>
    <row r="1358" spans="1:13" x14ac:dyDescent="0.3">
      <c r="A1358">
        <v>1357</v>
      </c>
      <c r="B1358" t="s">
        <v>1537</v>
      </c>
      <c r="C1358" s="1">
        <v>42190</v>
      </c>
      <c r="D1358" s="1">
        <v>42190</v>
      </c>
      <c r="E1358" t="s">
        <v>2120</v>
      </c>
      <c r="F1358" t="s">
        <v>1440</v>
      </c>
      <c r="G1358" t="s">
        <v>1441</v>
      </c>
      <c r="H1358" t="s">
        <v>6</v>
      </c>
      <c r="I1358" t="s">
        <v>2117</v>
      </c>
      <c r="J1358" t="s">
        <v>2110</v>
      </c>
      <c r="K1358">
        <v>281.42399999999998</v>
      </c>
      <c r="L1358">
        <f t="shared" si="42"/>
        <v>28142.399999999998</v>
      </c>
      <c r="M1358">
        <f t="shared" si="43"/>
        <v>5628.48</v>
      </c>
    </row>
    <row r="1359" spans="1:13" x14ac:dyDescent="0.3">
      <c r="A1359">
        <v>1358</v>
      </c>
      <c r="B1359" t="s">
        <v>1538</v>
      </c>
      <c r="C1359" s="1">
        <v>42860</v>
      </c>
      <c r="D1359" s="1">
        <v>42862</v>
      </c>
      <c r="E1359" t="s">
        <v>2120</v>
      </c>
      <c r="F1359" t="s">
        <v>1539</v>
      </c>
      <c r="G1359" t="s">
        <v>1540</v>
      </c>
      <c r="H1359" t="s">
        <v>6</v>
      </c>
      <c r="I1359" t="s">
        <v>2115</v>
      </c>
      <c r="J1359" t="s">
        <v>2110</v>
      </c>
      <c r="K1359">
        <v>79.14</v>
      </c>
      <c r="L1359">
        <f t="shared" si="42"/>
        <v>7914</v>
      </c>
      <c r="M1359">
        <f t="shared" si="43"/>
        <v>1582.8000000000002</v>
      </c>
    </row>
    <row r="1360" spans="1:13" x14ac:dyDescent="0.3">
      <c r="A1360">
        <v>1359</v>
      </c>
      <c r="B1360" t="s">
        <v>1541</v>
      </c>
      <c r="C1360" s="1">
        <v>43216</v>
      </c>
      <c r="D1360" s="1">
        <v>43217</v>
      </c>
      <c r="E1360" t="s">
        <v>2120</v>
      </c>
      <c r="F1360" t="s">
        <v>1542</v>
      </c>
      <c r="G1360" t="s">
        <v>1543</v>
      </c>
      <c r="H1360" t="s">
        <v>6</v>
      </c>
      <c r="I1360" t="s">
        <v>2117</v>
      </c>
      <c r="J1360" t="s">
        <v>2109</v>
      </c>
      <c r="K1360">
        <v>1.988</v>
      </c>
      <c r="L1360">
        <f t="shared" si="42"/>
        <v>198.8</v>
      </c>
      <c r="M1360">
        <f t="shared" si="43"/>
        <v>39.760000000000005</v>
      </c>
    </row>
    <row r="1361" spans="1:13" x14ac:dyDescent="0.3">
      <c r="A1361">
        <v>1360</v>
      </c>
      <c r="B1361" t="s">
        <v>1544</v>
      </c>
      <c r="C1361" s="1">
        <v>42273</v>
      </c>
      <c r="D1361" s="1">
        <v>42278</v>
      </c>
      <c r="E1361" t="s">
        <v>2119</v>
      </c>
      <c r="F1361" t="s">
        <v>1545</v>
      </c>
      <c r="G1361" t="s">
        <v>1546</v>
      </c>
      <c r="H1361" t="s">
        <v>6</v>
      </c>
      <c r="I1361" t="s">
        <v>2112</v>
      </c>
      <c r="J1361" t="s">
        <v>2109</v>
      </c>
      <c r="K1361">
        <v>145.56800000000001</v>
      </c>
      <c r="L1361">
        <f t="shared" si="42"/>
        <v>14556.800000000001</v>
      </c>
      <c r="M1361">
        <f t="shared" si="43"/>
        <v>2911.3600000000006</v>
      </c>
    </row>
    <row r="1362" spans="1:13" x14ac:dyDescent="0.3">
      <c r="A1362">
        <v>1361</v>
      </c>
      <c r="B1362" t="s">
        <v>1547</v>
      </c>
      <c r="C1362" s="1">
        <v>43392</v>
      </c>
      <c r="D1362" s="1">
        <v>43398</v>
      </c>
      <c r="E1362" t="s">
        <v>2118</v>
      </c>
      <c r="F1362" t="s">
        <v>1548</v>
      </c>
      <c r="G1362" t="s">
        <v>1549</v>
      </c>
      <c r="H1362" t="s">
        <v>10</v>
      </c>
      <c r="I1362" t="s">
        <v>2114</v>
      </c>
      <c r="J1362" t="s">
        <v>2110</v>
      </c>
      <c r="K1362">
        <v>123.256</v>
      </c>
      <c r="L1362">
        <f t="shared" si="42"/>
        <v>12325.6</v>
      </c>
      <c r="M1362">
        <f t="shared" si="43"/>
        <v>2465.1200000000003</v>
      </c>
    </row>
    <row r="1363" spans="1:13" x14ac:dyDescent="0.3">
      <c r="A1363">
        <v>1362</v>
      </c>
      <c r="B1363" t="s">
        <v>1547</v>
      </c>
      <c r="C1363" s="1">
        <v>43392</v>
      </c>
      <c r="D1363" s="1">
        <v>43398</v>
      </c>
      <c r="E1363" t="s">
        <v>2118</v>
      </c>
      <c r="F1363" t="s">
        <v>1548</v>
      </c>
      <c r="G1363" t="s">
        <v>1549</v>
      </c>
      <c r="H1363" t="s">
        <v>10</v>
      </c>
      <c r="I1363" t="s">
        <v>2114</v>
      </c>
      <c r="J1363" t="s">
        <v>2110</v>
      </c>
      <c r="K1363">
        <v>23.68</v>
      </c>
      <c r="L1363">
        <f t="shared" si="42"/>
        <v>2368</v>
      </c>
      <c r="M1363">
        <f t="shared" si="43"/>
        <v>473.6</v>
      </c>
    </row>
    <row r="1364" spans="1:13" x14ac:dyDescent="0.3">
      <c r="A1364">
        <v>1363</v>
      </c>
      <c r="B1364" t="s">
        <v>1547</v>
      </c>
      <c r="C1364" s="1">
        <v>43392</v>
      </c>
      <c r="D1364" s="1">
        <v>43398</v>
      </c>
      <c r="E1364" t="s">
        <v>2118</v>
      </c>
      <c r="F1364" t="s">
        <v>1548</v>
      </c>
      <c r="G1364" t="s">
        <v>1549</v>
      </c>
      <c r="H1364" t="s">
        <v>10</v>
      </c>
      <c r="I1364" t="s">
        <v>2114</v>
      </c>
      <c r="J1364" t="s">
        <v>2111</v>
      </c>
      <c r="K1364">
        <v>309.57600000000002</v>
      </c>
      <c r="L1364">
        <f t="shared" si="42"/>
        <v>30957.600000000002</v>
      </c>
      <c r="M1364">
        <f t="shared" si="43"/>
        <v>6191.52</v>
      </c>
    </row>
    <row r="1365" spans="1:13" x14ac:dyDescent="0.3">
      <c r="A1365">
        <v>1364</v>
      </c>
      <c r="B1365" t="s">
        <v>1550</v>
      </c>
      <c r="C1365" s="1">
        <v>43414</v>
      </c>
      <c r="D1365" s="1">
        <v>43415</v>
      </c>
      <c r="E1365" t="s">
        <v>2120</v>
      </c>
      <c r="F1365" t="s">
        <v>1551</v>
      </c>
      <c r="G1365" t="s">
        <v>1552</v>
      </c>
      <c r="H1365" t="s">
        <v>10</v>
      </c>
      <c r="I1365" t="s">
        <v>2112</v>
      </c>
      <c r="J1365" t="s">
        <v>2110</v>
      </c>
      <c r="K1365">
        <v>38.387999999999998</v>
      </c>
      <c r="L1365">
        <f t="shared" si="42"/>
        <v>3838.7999999999997</v>
      </c>
      <c r="M1365">
        <f t="shared" si="43"/>
        <v>767.76</v>
      </c>
    </row>
    <row r="1366" spans="1:13" x14ac:dyDescent="0.3">
      <c r="A1366">
        <v>1365</v>
      </c>
      <c r="B1366" t="s">
        <v>1550</v>
      </c>
      <c r="C1366" s="1">
        <v>43414</v>
      </c>
      <c r="D1366" s="1">
        <v>43415</v>
      </c>
      <c r="E1366" t="s">
        <v>2120</v>
      </c>
      <c r="F1366" t="s">
        <v>1551</v>
      </c>
      <c r="G1366" t="s">
        <v>1552</v>
      </c>
      <c r="H1366" t="s">
        <v>10</v>
      </c>
      <c r="I1366" t="s">
        <v>2112</v>
      </c>
      <c r="J1366" t="s">
        <v>2111</v>
      </c>
      <c r="K1366">
        <v>95.994</v>
      </c>
      <c r="L1366">
        <f t="shared" si="42"/>
        <v>9599.4</v>
      </c>
      <c r="M1366">
        <f t="shared" si="43"/>
        <v>1919.88</v>
      </c>
    </row>
    <row r="1367" spans="1:13" x14ac:dyDescent="0.3">
      <c r="A1367">
        <v>1366</v>
      </c>
      <c r="B1367" t="s">
        <v>1550</v>
      </c>
      <c r="C1367" s="1">
        <v>43414</v>
      </c>
      <c r="D1367" s="1">
        <v>43415</v>
      </c>
      <c r="E1367" t="s">
        <v>2120</v>
      </c>
      <c r="F1367" t="s">
        <v>1551</v>
      </c>
      <c r="G1367" t="s">
        <v>1552</v>
      </c>
      <c r="H1367" t="s">
        <v>10</v>
      </c>
      <c r="I1367" t="s">
        <v>2112</v>
      </c>
      <c r="J1367" t="s">
        <v>2111</v>
      </c>
      <c r="K1367">
        <v>239.952</v>
      </c>
      <c r="L1367">
        <f t="shared" si="42"/>
        <v>23995.200000000001</v>
      </c>
      <c r="M1367">
        <f t="shared" si="43"/>
        <v>4799.04</v>
      </c>
    </row>
    <row r="1368" spans="1:13" x14ac:dyDescent="0.3">
      <c r="A1368">
        <v>1367</v>
      </c>
      <c r="B1368" t="s">
        <v>1550</v>
      </c>
      <c r="C1368" s="1">
        <v>43414</v>
      </c>
      <c r="D1368" s="1">
        <v>43415</v>
      </c>
      <c r="E1368" t="s">
        <v>2120</v>
      </c>
      <c r="F1368" t="s">
        <v>1551</v>
      </c>
      <c r="G1368" t="s">
        <v>1552</v>
      </c>
      <c r="H1368" t="s">
        <v>10</v>
      </c>
      <c r="I1368" t="s">
        <v>2112</v>
      </c>
      <c r="J1368" t="s">
        <v>2111</v>
      </c>
      <c r="K1368">
        <v>201.584</v>
      </c>
      <c r="L1368">
        <f t="shared" si="42"/>
        <v>20158.400000000001</v>
      </c>
      <c r="M1368">
        <f t="shared" si="43"/>
        <v>4031.6800000000003</v>
      </c>
    </row>
    <row r="1369" spans="1:13" x14ac:dyDescent="0.3">
      <c r="A1369">
        <v>1368</v>
      </c>
      <c r="B1369" t="s">
        <v>1550</v>
      </c>
      <c r="C1369" s="1">
        <v>43414</v>
      </c>
      <c r="D1369" s="1">
        <v>43415</v>
      </c>
      <c r="E1369" t="s">
        <v>2120</v>
      </c>
      <c r="F1369" t="s">
        <v>1551</v>
      </c>
      <c r="G1369" t="s">
        <v>1552</v>
      </c>
      <c r="H1369" t="s">
        <v>10</v>
      </c>
      <c r="I1369" t="s">
        <v>2112</v>
      </c>
      <c r="J1369" t="s">
        <v>2109</v>
      </c>
      <c r="K1369">
        <v>899.13599999999997</v>
      </c>
      <c r="L1369">
        <f t="shared" si="42"/>
        <v>89913.599999999991</v>
      </c>
      <c r="M1369">
        <f t="shared" si="43"/>
        <v>17982.719999999998</v>
      </c>
    </row>
    <row r="1370" spans="1:13" x14ac:dyDescent="0.3">
      <c r="A1370">
        <v>1369</v>
      </c>
      <c r="B1370" t="s">
        <v>1553</v>
      </c>
      <c r="C1370" s="1">
        <v>43289</v>
      </c>
      <c r="D1370" s="1">
        <v>43292</v>
      </c>
      <c r="E1370" t="s">
        <v>2120</v>
      </c>
      <c r="F1370" t="s">
        <v>1554</v>
      </c>
      <c r="G1370" t="s">
        <v>1555</v>
      </c>
      <c r="H1370" t="s">
        <v>26</v>
      </c>
      <c r="I1370" t="s">
        <v>2112</v>
      </c>
      <c r="J1370" t="s">
        <v>2109</v>
      </c>
      <c r="K1370">
        <v>145.9</v>
      </c>
      <c r="L1370">
        <f t="shared" si="42"/>
        <v>14590</v>
      </c>
      <c r="M1370">
        <f t="shared" si="43"/>
        <v>2918</v>
      </c>
    </row>
    <row r="1371" spans="1:13" x14ac:dyDescent="0.3">
      <c r="A1371">
        <v>1370</v>
      </c>
      <c r="B1371" t="s">
        <v>1556</v>
      </c>
      <c r="C1371" s="1">
        <v>42728</v>
      </c>
      <c r="D1371" s="1">
        <v>42732</v>
      </c>
      <c r="E1371" t="s">
        <v>2118</v>
      </c>
      <c r="F1371" t="s">
        <v>1519</v>
      </c>
      <c r="G1371" t="s">
        <v>1520</v>
      </c>
      <c r="H1371" t="s">
        <v>6</v>
      </c>
      <c r="I1371" t="s">
        <v>2112</v>
      </c>
      <c r="J1371" t="s">
        <v>2109</v>
      </c>
      <c r="K1371">
        <v>590.05799999999999</v>
      </c>
      <c r="L1371">
        <f t="shared" si="42"/>
        <v>59005.8</v>
      </c>
      <c r="M1371">
        <f t="shared" si="43"/>
        <v>11801.160000000002</v>
      </c>
    </row>
    <row r="1372" spans="1:13" x14ac:dyDescent="0.3">
      <c r="A1372">
        <v>1371</v>
      </c>
      <c r="B1372" t="s">
        <v>1556</v>
      </c>
      <c r="C1372" s="1">
        <v>42728</v>
      </c>
      <c r="D1372" s="1">
        <v>42732</v>
      </c>
      <c r="E1372" t="s">
        <v>2118</v>
      </c>
      <c r="F1372" t="s">
        <v>1519</v>
      </c>
      <c r="G1372" t="s">
        <v>1520</v>
      </c>
      <c r="H1372" t="s">
        <v>6</v>
      </c>
      <c r="I1372" t="s">
        <v>2112</v>
      </c>
      <c r="J1372" t="s">
        <v>2110</v>
      </c>
      <c r="K1372">
        <v>14.04</v>
      </c>
      <c r="L1372">
        <f t="shared" si="42"/>
        <v>1404</v>
      </c>
      <c r="M1372">
        <f t="shared" si="43"/>
        <v>280.8</v>
      </c>
    </row>
    <row r="1373" spans="1:13" x14ac:dyDescent="0.3">
      <c r="A1373">
        <v>1372</v>
      </c>
      <c r="B1373" t="s">
        <v>1557</v>
      </c>
      <c r="C1373" s="1">
        <v>43166</v>
      </c>
      <c r="D1373" s="1">
        <v>43171</v>
      </c>
      <c r="E1373" t="s">
        <v>2118</v>
      </c>
      <c r="F1373" t="s">
        <v>1558</v>
      </c>
      <c r="G1373" t="s">
        <v>1559</v>
      </c>
      <c r="H1373" t="s">
        <v>26</v>
      </c>
      <c r="I1373" t="s">
        <v>2114</v>
      </c>
      <c r="J1373" t="s">
        <v>2111</v>
      </c>
      <c r="K1373">
        <v>49.08</v>
      </c>
      <c r="L1373">
        <f t="shared" si="42"/>
        <v>4908</v>
      </c>
      <c r="M1373">
        <f t="shared" si="43"/>
        <v>981.6</v>
      </c>
    </row>
    <row r="1374" spans="1:13" x14ac:dyDescent="0.3">
      <c r="A1374">
        <v>1373</v>
      </c>
      <c r="B1374" t="s">
        <v>1560</v>
      </c>
      <c r="C1374" s="1">
        <v>42095</v>
      </c>
      <c r="D1374" s="1">
        <v>42100</v>
      </c>
      <c r="E1374" t="s">
        <v>2119</v>
      </c>
      <c r="F1374" t="s">
        <v>88</v>
      </c>
      <c r="G1374" t="s">
        <v>89</v>
      </c>
      <c r="H1374" t="s">
        <v>6</v>
      </c>
      <c r="I1374" t="s">
        <v>2112</v>
      </c>
      <c r="J1374" t="s">
        <v>2110</v>
      </c>
      <c r="K1374">
        <v>29.6</v>
      </c>
      <c r="L1374">
        <f t="shared" si="42"/>
        <v>2960</v>
      </c>
      <c r="M1374">
        <f t="shared" si="43"/>
        <v>592</v>
      </c>
    </row>
    <row r="1375" spans="1:13" x14ac:dyDescent="0.3">
      <c r="A1375">
        <v>1374</v>
      </c>
      <c r="B1375" t="s">
        <v>1560</v>
      </c>
      <c r="C1375" s="1">
        <v>42095</v>
      </c>
      <c r="D1375" s="1">
        <v>42100</v>
      </c>
      <c r="E1375" t="s">
        <v>2119</v>
      </c>
      <c r="F1375" t="s">
        <v>88</v>
      </c>
      <c r="G1375" t="s">
        <v>89</v>
      </c>
      <c r="H1375" t="s">
        <v>6</v>
      </c>
      <c r="I1375" t="s">
        <v>2112</v>
      </c>
      <c r="J1375" t="s">
        <v>2110</v>
      </c>
      <c r="K1375">
        <v>17.088000000000001</v>
      </c>
      <c r="L1375">
        <f t="shared" si="42"/>
        <v>1708.8000000000002</v>
      </c>
      <c r="M1375">
        <f t="shared" si="43"/>
        <v>341.76000000000005</v>
      </c>
    </row>
    <row r="1376" spans="1:13" x14ac:dyDescent="0.3">
      <c r="A1376">
        <v>1375</v>
      </c>
      <c r="B1376" t="s">
        <v>1561</v>
      </c>
      <c r="C1376" s="1">
        <v>42627</v>
      </c>
      <c r="D1376" s="1">
        <v>42632</v>
      </c>
      <c r="E1376" t="s">
        <v>2118</v>
      </c>
      <c r="F1376" t="s">
        <v>781</v>
      </c>
      <c r="G1376" t="s">
        <v>782</v>
      </c>
      <c r="H1376" t="s">
        <v>6</v>
      </c>
      <c r="I1376" t="s">
        <v>2112</v>
      </c>
      <c r="J1376" t="s">
        <v>2109</v>
      </c>
      <c r="K1376">
        <v>912.75</v>
      </c>
      <c r="L1376">
        <f t="shared" si="42"/>
        <v>91275</v>
      </c>
      <c r="M1376">
        <f t="shared" si="43"/>
        <v>18255</v>
      </c>
    </row>
    <row r="1377" spans="1:13" x14ac:dyDescent="0.3">
      <c r="A1377">
        <v>1376</v>
      </c>
      <c r="B1377" t="s">
        <v>1562</v>
      </c>
      <c r="C1377" s="1">
        <v>42220</v>
      </c>
      <c r="D1377" s="1">
        <v>42225</v>
      </c>
      <c r="E1377" t="s">
        <v>2119</v>
      </c>
      <c r="F1377" t="s">
        <v>323</v>
      </c>
      <c r="G1377" t="s">
        <v>324</v>
      </c>
      <c r="H1377" t="s">
        <v>6</v>
      </c>
      <c r="I1377" t="s">
        <v>2112</v>
      </c>
      <c r="J1377" t="s">
        <v>2110</v>
      </c>
      <c r="K1377">
        <v>1089.75</v>
      </c>
      <c r="L1377">
        <f t="shared" si="42"/>
        <v>108975</v>
      </c>
      <c r="M1377">
        <f t="shared" si="43"/>
        <v>21795</v>
      </c>
    </row>
    <row r="1378" spans="1:13" x14ac:dyDescent="0.3">
      <c r="A1378">
        <v>1377</v>
      </c>
      <c r="B1378" t="s">
        <v>1562</v>
      </c>
      <c r="C1378" s="1">
        <v>42220</v>
      </c>
      <c r="D1378" s="1">
        <v>42225</v>
      </c>
      <c r="E1378" t="s">
        <v>2119</v>
      </c>
      <c r="F1378" t="s">
        <v>323</v>
      </c>
      <c r="G1378" t="s">
        <v>324</v>
      </c>
      <c r="H1378" t="s">
        <v>6</v>
      </c>
      <c r="I1378" t="s">
        <v>2112</v>
      </c>
      <c r="J1378" t="s">
        <v>2110</v>
      </c>
      <c r="K1378">
        <v>447.84</v>
      </c>
      <c r="L1378">
        <f t="shared" si="42"/>
        <v>44784</v>
      </c>
      <c r="M1378">
        <f t="shared" si="43"/>
        <v>8956.8000000000011</v>
      </c>
    </row>
    <row r="1379" spans="1:13" x14ac:dyDescent="0.3">
      <c r="A1379">
        <v>1378</v>
      </c>
      <c r="B1379" t="s">
        <v>1562</v>
      </c>
      <c r="C1379" s="1">
        <v>42220</v>
      </c>
      <c r="D1379" s="1">
        <v>42225</v>
      </c>
      <c r="E1379" t="s">
        <v>2119</v>
      </c>
      <c r="F1379" t="s">
        <v>323</v>
      </c>
      <c r="G1379" t="s">
        <v>324</v>
      </c>
      <c r="H1379" t="s">
        <v>6</v>
      </c>
      <c r="I1379" t="s">
        <v>2112</v>
      </c>
      <c r="J1379" t="s">
        <v>2110</v>
      </c>
      <c r="K1379">
        <v>16.399999999999999</v>
      </c>
      <c r="L1379">
        <f t="shared" si="42"/>
        <v>1639.9999999999998</v>
      </c>
      <c r="M1379">
        <f t="shared" si="43"/>
        <v>328</v>
      </c>
    </row>
    <row r="1380" spans="1:13" x14ac:dyDescent="0.3">
      <c r="A1380">
        <v>1379</v>
      </c>
      <c r="B1380" t="s">
        <v>1562</v>
      </c>
      <c r="C1380" s="1">
        <v>42220</v>
      </c>
      <c r="D1380" s="1">
        <v>42225</v>
      </c>
      <c r="E1380" t="s">
        <v>2119</v>
      </c>
      <c r="F1380" t="s">
        <v>323</v>
      </c>
      <c r="G1380" t="s">
        <v>324</v>
      </c>
      <c r="H1380" t="s">
        <v>6</v>
      </c>
      <c r="I1380" t="s">
        <v>2112</v>
      </c>
      <c r="J1380" t="s">
        <v>2111</v>
      </c>
      <c r="K1380">
        <v>399.96</v>
      </c>
      <c r="L1380">
        <f t="shared" si="42"/>
        <v>39996</v>
      </c>
      <c r="M1380">
        <f t="shared" si="43"/>
        <v>7999.2000000000007</v>
      </c>
    </row>
    <row r="1381" spans="1:13" x14ac:dyDescent="0.3">
      <c r="A1381">
        <v>1380</v>
      </c>
      <c r="B1381" t="s">
        <v>1562</v>
      </c>
      <c r="C1381" s="1">
        <v>42220</v>
      </c>
      <c r="D1381" s="1">
        <v>42225</v>
      </c>
      <c r="E1381" t="s">
        <v>2119</v>
      </c>
      <c r="F1381" t="s">
        <v>323</v>
      </c>
      <c r="G1381" t="s">
        <v>324</v>
      </c>
      <c r="H1381" t="s">
        <v>6</v>
      </c>
      <c r="I1381" t="s">
        <v>2112</v>
      </c>
      <c r="J1381" t="s">
        <v>2110</v>
      </c>
      <c r="K1381">
        <v>158.9</v>
      </c>
      <c r="L1381">
        <f t="shared" si="42"/>
        <v>15890</v>
      </c>
      <c r="M1381">
        <f t="shared" si="43"/>
        <v>3178</v>
      </c>
    </row>
    <row r="1382" spans="1:13" x14ac:dyDescent="0.3">
      <c r="A1382">
        <v>1381</v>
      </c>
      <c r="B1382" t="s">
        <v>1562</v>
      </c>
      <c r="C1382" s="1">
        <v>42220</v>
      </c>
      <c r="D1382" s="1">
        <v>42225</v>
      </c>
      <c r="E1382" t="s">
        <v>2119</v>
      </c>
      <c r="F1382" t="s">
        <v>323</v>
      </c>
      <c r="G1382" t="s">
        <v>324</v>
      </c>
      <c r="H1382" t="s">
        <v>6</v>
      </c>
      <c r="I1382" t="s">
        <v>2112</v>
      </c>
      <c r="J1382" t="s">
        <v>2110</v>
      </c>
      <c r="K1382">
        <v>13.183999999999999</v>
      </c>
      <c r="L1382">
        <f t="shared" si="42"/>
        <v>1318.3999999999999</v>
      </c>
      <c r="M1382">
        <f t="shared" si="43"/>
        <v>263.68</v>
      </c>
    </row>
    <row r="1383" spans="1:13" x14ac:dyDescent="0.3">
      <c r="A1383">
        <v>1382</v>
      </c>
      <c r="B1383" t="s">
        <v>1563</v>
      </c>
      <c r="C1383" s="1">
        <v>42981</v>
      </c>
      <c r="D1383" s="1">
        <v>42987</v>
      </c>
      <c r="E1383" t="s">
        <v>2118</v>
      </c>
      <c r="F1383" t="s">
        <v>1564</v>
      </c>
      <c r="G1383" t="s">
        <v>1565</v>
      </c>
      <c r="H1383" t="s">
        <v>26</v>
      </c>
      <c r="I1383" t="s">
        <v>2117</v>
      </c>
      <c r="J1383" t="s">
        <v>2109</v>
      </c>
      <c r="K1383">
        <v>83.951999999999998</v>
      </c>
      <c r="L1383">
        <f t="shared" si="42"/>
        <v>8395.2000000000007</v>
      </c>
      <c r="M1383">
        <f t="shared" si="43"/>
        <v>1679.0400000000002</v>
      </c>
    </row>
    <row r="1384" spans="1:13" x14ac:dyDescent="0.3">
      <c r="A1384">
        <v>1383</v>
      </c>
      <c r="B1384" t="s">
        <v>1566</v>
      </c>
      <c r="C1384" s="1">
        <v>42771</v>
      </c>
      <c r="D1384" s="1">
        <v>42771</v>
      </c>
      <c r="E1384" t="s">
        <v>2120</v>
      </c>
      <c r="F1384" t="s">
        <v>1567</v>
      </c>
      <c r="G1384" t="s">
        <v>1568</v>
      </c>
      <c r="H1384" t="s">
        <v>26</v>
      </c>
      <c r="I1384" t="s">
        <v>2115</v>
      </c>
      <c r="J1384" t="s">
        <v>2110</v>
      </c>
      <c r="K1384">
        <v>80.98</v>
      </c>
      <c r="L1384">
        <f t="shared" si="42"/>
        <v>8098</v>
      </c>
      <c r="M1384">
        <f t="shared" si="43"/>
        <v>1619.6000000000001</v>
      </c>
    </row>
    <row r="1385" spans="1:13" x14ac:dyDescent="0.3">
      <c r="A1385">
        <v>1384</v>
      </c>
      <c r="B1385" t="s">
        <v>1566</v>
      </c>
      <c r="C1385" s="1">
        <v>42771</v>
      </c>
      <c r="D1385" s="1">
        <v>42771</v>
      </c>
      <c r="E1385" t="s">
        <v>2120</v>
      </c>
      <c r="F1385" t="s">
        <v>1567</v>
      </c>
      <c r="G1385" t="s">
        <v>1568</v>
      </c>
      <c r="H1385" t="s">
        <v>26</v>
      </c>
      <c r="I1385" t="s">
        <v>2115</v>
      </c>
      <c r="J1385" t="s">
        <v>2110</v>
      </c>
      <c r="K1385">
        <v>348.84</v>
      </c>
      <c r="L1385">
        <f t="shared" si="42"/>
        <v>34884</v>
      </c>
      <c r="M1385">
        <f t="shared" si="43"/>
        <v>6976.8</v>
      </c>
    </row>
    <row r="1386" spans="1:13" x14ac:dyDescent="0.3">
      <c r="A1386">
        <v>1385</v>
      </c>
      <c r="B1386" t="s">
        <v>1566</v>
      </c>
      <c r="C1386" s="1">
        <v>42771</v>
      </c>
      <c r="D1386" s="1">
        <v>42771</v>
      </c>
      <c r="E1386" t="s">
        <v>2120</v>
      </c>
      <c r="F1386" t="s">
        <v>1567</v>
      </c>
      <c r="G1386" t="s">
        <v>1568</v>
      </c>
      <c r="H1386" t="s">
        <v>26</v>
      </c>
      <c r="I1386" t="s">
        <v>2115</v>
      </c>
      <c r="J1386" t="s">
        <v>2110</v>
      </c>
      <c r="K1386">
        <v>9.4499999999999993</v>
      </c>
      <c r="L1386">
        <f t="shared" si="42"/>
        <v>944.99999999999989</v>
      </c>
      <c r="M1386">
        <f t="shared" si="43"/>
        <v>189</v>
      </c>
    </row>
    <row r="1387" spans="1:13" x14ac:dyDescent="0.3">
      <c r="A1387">
        <v>1386</v>
      </c>
      <c r="B1387" t="s">
        <v>1566</v>
      </c>
      <c r="C1387" s="1">
        <v>42771</v>
      </c>
      <c r="D1387" s="1">
        <v>42771</v>
      </c>
      <c r="E1387" t="s">
        <v>2120</v>
      </c>
      <c r="F1387" t="s">
        <v>1567</v>
      </c>
      <c r="G1387" t="s">
        <v>1568</v>
      </c>
      <c r="H1387" t="s">
        <v>26</v>
      </c>
      <c r="I1387" t="s">
        <v>2115</v>
      </c>
      <c r="J1387" t="s">
        <v>2109</v>
      </c>
      <c r="K1387">
        <v>18.84</v>
      </c>
      <c r="L1387">
        <f t="shared" si="42"/>
        <v>1884</v>
      </c>
      <c r="M1387">
        <f t="shared" si="43"/>
        <v>376.8</v>
      </c>
    </row>
    <row r="1388" spans="1:13" x14ac:dyDescent="0.3">
      <c r="A1388">
        <v>1387</v>
      </c>
      <c r="B1388" t="s">
        <v>1566</v>
      </c>
      <c r="C1388" s="1">
        <v>42771</v>
      </c>
      <c r="D1388" s="1">
        <v>42771</v>
      </c>
      <c r="E1388" t="s">
        <v>2120</v>
      </c>
      <c r="F1388" t="s">
        <v>1567</v>
      </c>
      <c r="G1388" t="s">
        <v>1568</v>
      </c>
      <c r="H1388" t="s">
        <v>26</v>
      </c>
      <c r="I1388" t="s">
        <v>2115</v>
      </c>
      <c r="J1388" t="s">
        <v>2109</v>
      </c>
      <c r="K1388">
        <v>239.98</v>
      </c>
      <c r="L1388">
        <f t="shared" si="42"/>
        <v>23998</v>
      </c>
      <c r="M1388">
        <f t="shared" si="43"/>
        <v>4799.6000000000004</v>
      </c>
    </row>
    <row r="1389" spans="1:13" x14ac:dyDescent="0.3">
      <c r="A1389">
        <v>1388</v>
      </c>
      <c r="B1389" t="s">
        <v>1566</v>
      </c>
      <c r="C1389" s="1">
        <v>42771</v>
      </c>
      <c r="D1389" s="1">
        <v>42771</v>
      </c>
      <c r="E1389" t="s">
        <v>2120</v>
      </c>
      <c r="F1389" t="s">
        <v>1567</v>
      </c>
      <c r="G1389" t="s">
        <v>1568</v>
      </c>
      <c r="H1389" t="s">
        <v>26</v>
      </c>
      <c r="I1389" t="s">
        <v>2115</v>
      </c>
      <c r="J1389" t="s">
        <v>2110</v>
      </c>
      <c r="K1389">
        <v>167.96</v>
      </c>
      <c r="L1389">
        <f t="shared" si="42"/>
        <v>16796</v>
      </c>
      <c r="M1389">
        <f t="shared" si="43"/>
        <v>3359.2000000000003</v>
      </c>
    </row>
    <row r="1390" spans="1:13" x14ac:dyDescent="0.3">
      <c r="A1390">
        <v>1389</v>
      </c>
      <c r="B1390" t="s">
        <v>1566</v>
      </c>
      <c r="C1390" s="1">
        <v>42771</v>
      </c>
      <c r="D1390" s="1">
        <v>42771</v>
      </c>
      <c r="E1390" t="s">
        <v>2120</v>
      </c>
      <c r="F1390" t="s">
        <v>1567</v>
      </c>
      <c r="G1390" t="s">
        <v>1568</v>
      </c>
      <c r="H1390" t="s">
        <v>26</v>
      </c>
      <c r="I1390" t="s">
        <v>2115</v>
      </c>
      <c r="J1390" t="s">
        <v>2111</v>
      </c>
      <c r="K1390">
        <v>104.85</v>
      </c>
      <c r="L1390">
        <f t="shared" si="42"/>
        <v>10485</v>
      </c>
      <c r="M1390">
        <f t="shared" si="43"/>
        <v>2097</v>
      </c>
    </row>
    <row r="1391" spans="1:13" x14ac:dyDescent="0.3">
      <c r="A1391">
        <v>1390</v>
      </c>
      <c r="B1391" t="s">
        <v>1566</v>
      </c>
      <c r="C1391" s="1">
        <v>42771</v>
      </c>
      <c r="D1391" s="1">
        <v>42771</v>
      </c>
      <c r="E1391" t="s">
        <v>2120</v>
      </c>
      <c r="F1391" t="s">
        <v>1567</v>
      </c>
      <c r="G1391" t="s">
        <v>1568</v>
      </c>
      <c r="H1391" t="s">
        <v>26</v>
      </c>
      <c r="I1391" t="s">
        <v>2115</v>
      </c>
      <c r="J1391" t="s">
        <v>2111</v>
      </c>
      <c r="K1391">
        <v>484.83</v>
      </c>
      <c r="L1391">
        <f t="shared" si="42"/>
        <v>48483</v>
      </c>
      <c r="M1391">
        <f t="shared" si="43"/>
        <v>9696.6</v>
      </c>
    </row>
    <row r="1392" spans="1:13" x14ac:dyDescent="0.3">
      <c r="A1392">
        <v>1391</v>
      </c>
      <c r="B1392" t="s">
        <v>1566</v>
      </c>
      <c r="C1392" s="1">
        <v>42771</v>
      </c>
      <c r="D1392" s="1">
        <v>42771</v>
      </c>
      <c r="E1392" t="s">
        <v>2120</v>
      </c>
      <c r="F1392" t="s">
        <v>1567</v>
      </c>
      <c r="G1392" t="s">
        <v>1568</v>
      </c>
      <c r="H1392" t="s">
        <v>26</v>
      </c>
      <c r="I1392" t="s">
        <v>2115</v>
      </c>
      <c r="J1392" t="s">
        <v>2110</v>
      </c>
      <c r="K1392">
        <v>122.97</v>
      </c>
      <c r="L1392">
        <f t="shared" si="42"/>
        <v>12297</v>
      </c>
      <c r="M1392">
        <f t="shared" si="43"/>
        <v>2459.4</v>
      </c>
    </row>
    <row r="1393" spans="1:13" x14ac:dyDescent="0.3">
      <c r="A1393">
        <v>1392</v>
      </c>
      <c r="B1393" t="s">
        <v>1566</v>
      </c>
      <c r="C1393" s="1">
        <v>42771</v>
      </c>
      <c r="D1393" s="1">
        <v>42771</v>
      </c>
      <c r="E1393" t="s">
        <v>2120</v>
      </c>
      <c r="F1393" t="s">
        <v>1567</v>
      </c>
      <c r="G1393" t="s">
        <v>1568</v>
      </c>
      <c r="H1393" t="s">
        <v>26</v>
      </c>
      <c r="I1393" t="s">
        <v>2115</v>
      </c>
      <c r="J1393" t="s">
        <v>2110</v>
      </c>
      <c r="K1393">
        <v>154.44</v>
      </c>
      <c r="L1393">
        <f t="shared" si="42"/>
        <v>15444</v>
      </c>
      <c r="M1393">
        <f t="shared" si="43"/>
        <v>3088.8</v>
      </c>
    </row>
    <row r="1394" spans="1:13" x14ac:dyDescent="0.3">
      <c r="A1394">
        <v>1393</v>
      </c>
      <c r="B1394" t="s">
        <v>1566</v>
      </c>
      <c r="C1394" s="1">
        <v>42771</v>
      </c>
      <c r="D1394" s="1">
        <v>42771</v>
      </c>
      <c r="E1394" t="s">
        <v>2120</v>
      </c>
      <c r="F1394" t="s">
        <v>1567</v>
      </c>
      <c r="G1394" t="s">
        <v>1568</v>
      </c>
      <c r="H1394" t="s">
        <v>26</v>
      </c>
      <c r="I1394" t="s">
        <v>2115</v>
      </c>
      <c r="J1394" t="s">
        <v>2110</v>
      </c>
      <c r="K1394">
        <v>342.37</v>
      </c>
      <c r="L1394">
        <f t="shared" si="42"/>
        <v>34237</v>
      </c>
      <c r="M1394">
        <f t="shared" si="43"/>
        <v>6847.4000000000005</v>
      </c>
    </row>
    <row r="1395" spans="1:13" x14ac:dyDescent="0.3">
      <c r="A1395">
        <v>1394</v>
      </c>
      <c r="B1395" t="s">
        <v>1569</v>
      </c>
      <c r="C1395" s="1">
        <v>43284</v>
      </c>
      <c r="D1395" s="1">
        <v>43285</v>
      </c>
      <c r="E1395" t="s">
        <v>2120</v>
      </c>
      <c r="F1395" t="s">
        <v>1570</v>
      </c>
      <c r="G1395" t="s">
        <v>1571</v>
      </c>
      <c r="H1395" t="s">
        <v>10</v>
      </c>
      <c r="I1395" t="s">
        <v>2115</v>
      </c>
      <c r="J1395" t="s">
        <v>2110</v>
      </c>
      <c r="K1395">
        <v>9.5519999999999996</v>
      </c>
      <c r="L1395">
        <f t="shared" si="42"/>
        <v>955.19999999999993</v>
      </c>
      <c r="M1395">
        <f t="shared" si="43"/>
        <v>191.04</v>
      </c>
    </row>
    <row r="1396" spans="1:13" x14ac:dyDescent="0.3">
      <c r="A1396">
        <v>1395</v>
      </c>
      <c r="B1396" t="s">
        <v>1572</v>
      </c>
      <c r="C1396" s="1">
        <v>43382</v>
      </c>
      <c r="D1396" s="1">
        <v>43387</v>
      </c>
      <c r="E1396" t="s">
        <v>2118</v>
      </c>
      <c r="F1396" t="s">
        <v>1035</v>
      </c>
      <c r="G1396" t="s">
        <v>1036</v>
      </c>
      <c r="H1396" t="s">
        <v>10</v>
      </c>
      <c r="I1396" t="s">
        <v>2117</v>
      </c>
      <c r="J1396" t="s">
        <v>2109</v>
      </c>
      <c r="K1396">
        <v>652.45000000000005</v>
      </c>
      <c r="L1396">
        <f t="shared" si="42"/>
        <v>65245.000000000007</v>
      </c>
      <c r="M1396">
        <f t="shared" si="43"/>
        <v>13049.000000000002</v>
      </c>
    </row>
    <row r="1397" spans="1:13" x14ac:dyDescent="0.3">
      <c r="A1397">
        <v>1396</v>
      </c>
      <c r="B1397" t="s">
        <v>1572</v>
      </c>
      <c r="C1397" s="1">
        <v>43382</v>
      </c>
      <c r="D1397" s="1">
        <v>43387</v>
      </c>
      <c r="E1397" t="s">
        <v>2118</v>
      </c>
      <c r="F1397" t="s">
        <v>1035</v>
      </c>
      <c r="G1397" t="s">
        <v>1036</v>
      </c>
      <c r="H1397" t="s">
        <v>10</v>
      </c>
      <c r="I1397" t="s">
        <v>2117</v>
      </c>
      <c r="J1397" t="s">
        <v>2109</v>
      </c>
      <c r="K1397">
        <v>66.644999999999996</v>
      </c>
      <c r="L1397">
        <f t="shared" si="42"/>
        <v>6664.5</v>
      </c>
      <c r="M1397">
        <f t="shared" si="43"/>
        <v>1332.9</v>
      </c>
    </row>
    <row r="1398" spans="1:13" x14ac:dyDescent="0.3">
      <c r="A1398">
        <v>1397</v>
      </c>
      <c r="B1398" t="s">
        <v>1573</v>
      </c>
      <c r="C1398" s="1">
        <v>43063</v>
      </c>
      <c r="D1398" s="1">
        <v>43065</v>
      </c>
      <c r="E1398" t="s">
        <v>2120</v>
      </c>
      <c r="F1398" t="s">
        <v>1343</v>
      </c>
      <c r="G1398" t="s">
        <v>1344</v>
      </c>
      <c r="H1398" t="s">
        <v>6</v>
      </c>
      <c r="I1398" t="s">
        <v>2114</v>
      </c>
      <c r="J1398" t="s">
        <v>2110</v>
      </c>
      <c r="K1398">
        <v>17.216000000000001</v>
      </c>
      <c r="L1398">
        <f t="shared" si="42"/>
        <v>1721.6000000000001</v>
      </c>
      <c r="M1398">
        <f t="shared" si="43"/>
        <v>344.32000000000005</v>
      </c>
    </row>
    <row r="1399" spans="1:13" x14ac:dyDescent="0.3">
      <c r="A1399">
        <v>1398</v>
      </c>
      <c r="B1399" t="s">
        <v>1573</v>
      </c>
      <c r="C1399" s="1">
        <v>43063</v>
      </c>
      <c r="D1399" s="1">
        <v>43065</v>
      </c>
      <c r="E1399" t="s">
        <v>2120</v>
      </c>
      <c r="F1399" t="s">
        <v>1343</v>
      </c>
      <c r="G1399" t="s">
        <v>1344</v>
      </c>
      <c r="H1399" t="s">
        <v>6</v>
      </c>
      <c r="I1399" t="s">
        <v>2114</v>
      </c>
      <c r="J1399" t="s">
        <v>2110</v>
      </c>
      <c r="K1399">
        <v>11.56</v>
      </c>
      <c r="L1399">
        <f t="shared" si="42"/>
        <v>1156</v>
      </c>
      <c r="M1399">
        <f t="shared" si="43"/>
        <v>231.20000000000002</v>
      </c>
    </row>
    <row r="1400" spans="1:13" x14ac:dyDescent="0.3">
      <c r="A1400">
        <v>1399</v>
      </c>
      <c r="B1400" t="s">
        <v>1573</v>
      </c>
      <c r="C1400" s="1">
        <v>43063</v>
      </c>
      <c r="D1400" s="1">
        <v>43065</v>
      </c>
      <c r="E1400" t="s">
        <v>2120</v>
      </c>
      <c r="F1400" t="s">
        <v>1343</v>
      </c>
      <c r="G1400" t="s">
        <v>1344</v>
      </c>
      <c r="H1400" t="s">
        <v>6</v>
      </c>
      <c r="I1400" t="s">
        <v>2114</v>
      </c>
      <c r="J1400" t="s">
        <v>2111</v>
      </c>
      <c r="K1400">
        <v>88.4</v>
      </c>
      <c r="L1400">
        <f t="shared" si="42"/>
        <v>8840</v>
      </c>
      <c r="M1400">
        <f t="shared" si="43"/>
        <v>1768</v>
      </c>
    </row>
    <row r="1401" spans="1:13" x14ac:dyDescent="0.3">
      <c r="A1401">
        <v>1400</v>
      </c>
      <c r="B1401" t="s">
        <v>1573</v>
      </c>
      <c r="C1401" s="1">
        <v>43063</v>
      </c>
      <c r="D1401" s="1">
        <v>43065</v>
      </c>
      <c r="E1401" t="s">
        <v>2120</v>
      </c>
      <c r="F1401" t="s">
        <v>1343</v>
      </c>
      <c r="G1401" t="s">
        <v>1344</v>
      </c>
      <c r="H1401" t="s">
        <v>6</v>
      </c>
      <c r="I1401" t="s">
        <v>2114</v>
      </c>
      <c r="J1401" t="s">
        <v>2110</v>
      </c>
      <c r="K1401">
        <v>6.48</v>
      </c>
      <c r="L1401">
        <f t="shared" si="42"/>
        <v>648</v>
      </c>
      <c r="M1401">
        <f t="shared" si="43"/>
        <v>129.6</v>
      </c>
    </row>
    <row r="1402" spans="1:13" x14ac:dyDescent="0.3">
      <c r="A1402">
        <v>1401</v>
      </c>
      <c r="B1402" t="s">
        <v>1574</v>
      </c>
      <c r="C1402" s="1">
        <v>43040</v>
      </c>
      <c r="D1402" s="1">
        <v>43044</v>
      </c>
      <c r="E1402" t="s">
        <v>2118</v>
      </c>
      <c r="F1402" t="s">
        <v>1575</v>
      </c>
      <c r="G1402" t="s">
        <v>1576</v>
      </c>
      <c r="H1402" t="s">
        <v>26</v>
      </c>
      <c r="I1402" t="s">
        <v>2115</v>
      </c>
      <c r="J1402" t="s">
        <v>2111</v>
      </c>
      <c r="K1402">
        <v>21.8</v>
      </c>
      <c r="L1402">
        <f t="shared" si="42"/>
        <v>2180</v>
      </c>
      <c r="M1402">
        <f t="shared" si="43"/>
        <v>436</v>
      </c>
    </row>
    <row r="1403" spans="1:13" x14ac:dyDescent="0.3">
      <c r="A1403">
        <v>1402</v>
      </c>
      <c r="B1403" t="s">
        <v>1574</v>
      </c>
      <c r="C1403" s="1">
        <v>43040</v>
      </c>
      <c r="D1403" s="1">
        <v>43044</v>
      </c>
      <c r="E1403" t="s">
        <v>2118</v>
      </c>
      <c r="F1403" t="s">
        <v>1575</v>
      </c>
      <c r="G1403" t="s">
        <v>1576</v>
      </c>
      <c r="H1403" t="s">
        <v>26</v>
      </c>
      <c r="I1403" t="s">
        <v>2115</v>
      </c>
      <c r="J1403" t="s">
        <v>2110</v>
      </c>
      <c r="K1403">
        <v>251.79</v>
      </c>
      <c r="L1403">
        <f t="shared" si="42"/>
        <v>25179</v>
      </c>
      <c r="M1403">
        <f t="shared" si="43"/>
        <v>5035.8</v>
      </c>
    </row>
    <row r="1404" spans="1:13" x14ac:dyDescent="0.3">
      <c r="A1404">
        <v>1403</v>
      </c>
      <c r="B1404" t="s">
        <v>1577</v>
      </c>
      <c r="C1404" s="1">
        <v>42844</v>
      </c>
      <c r="D1404" s="1">
        <v>42850</v>
      </c>
      <c r="E1404" t="s">
        <v>2118</v>
      </c>
      <c r="F1404" t="s">
        <v>127</v>
      </c>
      <c r="G1404" t="s">
        <v>128</v>
      </c>
      <c r="H1404" t="s">
        <v>26</v>
      </c>
      <c r="I1404" t="s">
        <v>2114</v>
      </c>
      <c r="J1404" t="s">
        <v>2109</v>
      </c>
      <c r="K1404">
        <v>205.17599999999999</v>
      </c>
      <c r="L1404">
        <f t="shared" si="42"/>
        <v>20517.599999999999</v>
      </c>
      <c r="M1404">
        <f t="shared" si="43"/>
        <v>4103.5199999999995</v>
      </c>
    </row>
    <row r="1405" spans="1:13" x14ac:dyDescent="0.3">
      <c r="A1405">
        <v>1404</v>
      </c>
      <c r="B1405" t="s">
        <v>1577</v>
      </c>
      <c r="C1405" s="1">
        <v>42844</v>
      </c>
      <c r="D1405" s="1">
        <v>42850</v>
      </c>
      <c r="E1405" t="s">
        <v>2118</v>
      </c>
      <c r="F1405" t="s">
        <v>127</v>
      </c>
      <c r="G1405" t="s">
        <v>128</v>
      </c>
      <c r="H1405" t="s">
        <v>26</v>
      </c>
      <c r="I1405" t="s">
        <v>2114</v>
      </c>
      <c r="J1405" t="s">
        <v>2110</v>
      </c>
      <c r="K1405">
        <v>419.4</v>
      </c>
      <c r="L1405">
        <f t="shared" si="42"/>
        <v>41940</v>
      </c>
      <c r="M1405">
        <f t="shared" si="43"/>
        <v>8388</v>
      </c>
    </row>
    <row r="1406" spans="1:13" x14ac:dyDescent="0.3">
      <c r="A1406">
        <v>1405</v>
      </c>
      <c r="B1406" t="s">
        <v>1578</v>
      </c>
      <c r="C1406" s="1">
        <v>42100</v>
      </c>
      <c r="D1406" s="1">
        <v>42102</v>
      </c>
      <c r="E1406" t="s">
        <v>2120</v>
      </c>
      <c r="F1406" t="s">
        <v>551</v>
      </c>
      <c r="G1406" t="s">
        <v>552</v>
      </c>
      <c r="H1406" t="s">
        <v>26</v>
      </c>
      <c r="I1406" t="s">
        <v>2114</v>
      </c>
      <c r="J1406" t="s">
        <v>2110</v>
      </c>
      <c r="K1406">
        <v>10.304</v>
      </c>
      <c r="L1406">
        <f t="shared" si="42"/>
        <v>1030.4000000000001</v>
      </c>
      <c r="M1406">
        <f t="shared" si="43"/>
        <v>206.08000000000004</v>
      </c>
    </row>
    <row r="1407" spans="1:13" x14ac:dyDescent="0.3">
      <c r="A1407">
        <v>1406</v>
      </c>
      <c r="B1407" t="s">
        <v>1578</v>
      </c>
      <c r="C1407" s="1">
        <v>42100</v>
      </c>
      <c r="D1407" s="1">
        <v>42102</v>
      </c>
      <c r="E1407" t="s">
        <v>2120</v>
      </c>
      <c r="F1407" t="s">
        <v>551</v>
      </c>
      <c r="G1407" t="s">
        <v>552</v>
      </c>
      <c r="H1407" t="s">
        <v>26</v>
      </c>
      <c r="I1407" t="s">
        <v>2114</v>
      </c>
      <c r="J1407" t="s">
        <v>2109</v>
      </c>
      <c r="K1407">
        <v>154.76400000000001</v>
      </c>
      <c r="L1407">
        <f t="shared" si="42"/>
        <v>15476.400000000001</v>
      </c>
      <c r="M1407">
        <f t="shared" si="43"/>
        <v>3095.2800000000007</v>
      </c>
    </row>
    <row r="1408" spans="1:13" x14ac:dyDescent="0.3">
      <c r="A1408">
        <v>1407</v>
      </c>
      <c r="B1408" t="s">
        <v>1578</v>
      </c>
      <c r="C1408" s="1">
        <v>42100</v>
      </c>
      <c r="D1408" s="1">
        <v>42102</v>
      </c>
      <c r="E1408" t="s">
        <v>2120</v>
      </c>
      <c r="F1408" t="s">
        <v>551</v>
      </c>
      <c r="G1408" t="s">
        <v>552</v>
      </c>
      <c r="H1408" t="s">
        <v>26</v>
      </c>
      <c r="I1408" t="s">
        <v>2114</v>
      </c>
      <c r="J1408" t="s">
        <v>2111</v>
      </c>
      <c r="K1408">
        <v>116.78400000000001</v>
      </c>
      <c r="L1408">
        <f t="shared" si="42"/>
        <v>11678.400000000001</v>
      </c>
      <c r="M1408">
        <f t="shared" si="43"/>
        <v>2335.6800000000003</v>
      </c>
    </row>
    <row r="1409" spans="1:13" x14ac:dyDescent="0.3">
      <c r="A1409">
        <v>1408</v>
      </c>
      <c r="B1409" t="s">
        <v>1579</v>
      </c>
      <c r="C1409" s="1">
        <v>42980</v>
      </c>
      <c r="D1409" s="1">
        <v>42984</v>
      </c>
      <c r="E1409" t="s">
        <v>2118</v>
      </c>
      <c r="F1409" t="s">
        <v>97</v>
      </c>
      <c r="G1409" t="s">
        <v>98</v>
      </c>
      <c r="H1409" t="s">
        <v>6</v>
      </c>
      <c r="I1409" t="s">
        <v>2114</v>
      </c>
      <c r="J1409" t="s">
        <v>2110</v>
      </c>
      <c r="K1409">
        <v>75.48</v>
      </c>
      <c r="L1409">
        <f t="shared" si="42"/>
        <v>7548</v>
      </c>
      <c r="M1409">
        <f t="shared" si="43"/>
        <v>1509.6000000000001</v>
      </c>
    </row>
    <row r="1410" spans="1:13" x14ac:dyDescent="0.3">
      <c r="A1410">
        <v>1409</v>
      </c>
      <c r="B1410" t="s">
        <v>1579</v>
      </c>
      <c r="C1410" s="1">
        <v>42980</v>
      </c>
      <c r="D1410" s="1">
        <v>42984</v>
      </c>
      <c r="E1410" t="s">
        <v>2118</v>
      </c>
      <c r="F1410" t="s">
        <v>97</v>
      </c>
      <c r="G1410" t="s">
        <v>98</v>
      </c>
      <c r="H1410" t="s">
        <v>6</v>
      </c>
      <c r="I1410" t="s">
        <v>2114</v>
      </c>
      <c r="J1410" t="s">
        <v>2109</v>
      </c>
      <c r="K1410">
        <v>39.979999999999997</v>
      </c>
      <c r="L1410">
        <f t="shared" ref="L1410:L1473" si="44">K1410*100</f>
        <v>3997.9999999999995</v>
      </c>
      <c r="M1410">
        <f t="shared" si="43"/>
        <v>799.59999999999991</v>
      </c>
    </row>
    <row r="1411" spans="1:13" x14ac:dyDescent="0.3">
      <c r="A1411">
        <v>1410</v>
      </c>
      <c r="B1411" t="s">
        <v>1580</v>
      </c>
      <c r="C1411" s="1">
        <v>43003</v>
      </c>
      <c r="D1411" s="1">
        <v>43008</v>
      </c>
      <c r="E1411" t="s">
        <v>2118</v>
      </c>
      <c r="F1411" t="s">
        <v>1581</v>
      </c>
      <c r="G1411" t="s">
        <v>1582</v>
      </c>
      <c r="H1411" t="s">
        <v>6</v>
      </c>
      <c r="I1411" t="s">
        <v>2112</v>
      </c>
      <c r="J1411" t="s">
        <v>2109</v>
      </c>
      <c r="K1411">
        <v>393.16500000000002</v>
      </c>
      <c r="L1411">
        <f t="shared" si="44"/>
        <v>39316.5</v>
      </c>
      <c r="M1411">
        <f t="shared" ref="M1411:M1474" si="45">L1411*0.2</f>
        <v>7863.3</v>
      </c>
    </row>
    <row r="1412" spans="1:13" x14ac:dyDescent="0.3">
      <c r="A1412">
        <v>1411</v>
      </c>
      <c r="B1412" t="s">
        <v>1583</v>
      </c>
      <c r="C1412" s="1">
        <v>43408</v>
      </c>
      <c r="D1412" s="1">
        <v>43415</v>
      </c>
      <c r="E1412" t="s">
        <v>2118</v>
      </c>
      <c r="F1412" t="s">
        <v>1554</v>
      </c>
      <c r="G1412" t="s">
        <v>1555</v>
      </c>
      <c r="H1412" t="s">
        <v>26</v>
      </c>
      <c r="I1412" t="s">
        <v>2117</v>
      </c>
      <c r="J1412" t="s">
        <v>2110</v>
      </c>
      <c r="K1412">
        <v>23.68</v>
      </c>
      <c r="L1412">
        <f t="shared" si="44"/>
        <v>2368</v>
      </c>
      <c r="M1412">
        <f t="shared" si="45"/>
        <v>473.6</v>
      </c>
    </row>
    <row r="1413" spans="1:13" x14ac:dyDescent="0.3">
      <c r="A1413">
        <v>1412</v>
      </c>
      <c r="B1413" t="s">
        <v>1584</v>
      </c>
      <c r="C1413" s="1">
        <v>42925</v>
      </c>
      <c r="D1413" s="1">
        <v>42929</v>
      </c>
      <c r="E1413" t="s">
        <v>2118</v>
      </c>
      <c r="F1413" t="s">
        <v>199</v>
      </c>
      <c r="G1413" t="s">
        <v>200</v>
      </c>
      <c r="H1413" t="s">
        <v>10</v>
      </c>
      <c r="I1413" t="s">
        <v>2114</v>
      </c>
      <c r="J1413" t="s">
        <v>2109</v>
      </c>
      <c r="K1413">
        <v>408.00599999999997</v>
      </c>
      <c r="L1413">
        <f t="shared" si="44"/>
        <v>40800.6</v>
      </c>
      <c r="M1413">
        <f t="shared" si="45"/>
        <v>8160.12</v>
      </c>
    </row>
    <row r="1414" spans="1:13" x14ac:dyDescent="0.3">
      <c r="A1414">
        <v>1413</v>
      </c>
      <c r="B1414" t="s">
        <v>1584</v>
      </c>
      <c r="C1414" s="1">
        <v>42925</v>
      </c>
      <c r="D1414" s="1">
        <v>42929</v>
      </c>
      <c r="E1414" t="s">
        <v>2118</v>
      </c>
      <c r="F1414" t="s">
        <v>199</v>
      </c>
      <c r="G1414" t="s">
        <v>200</v>
      </c>
      <c r="H1414" t="s">
        <v>10</v>
      </c>
      <c r="I1414" t="s">
        <v>2114</v>
      </c>
      <c r="J1414" t="s">
        <v>2109</v>
      </c>
      <c r="K1414">
        <v>165.28</v>
      </c>
      <c r="L1414">
        <f t="shared" si="44"/>
        <v>16528</v>
      </c>
      <c r="M1414">
        <f t="shared" si="45"/>
        <v>3305.6000000000004</v>
      </c>
    </row>
    <row r="1415" spans="1:13" x14ac:dyDescent="0.3">
      <c r="A1415">
        <v>1414</v>
      </c>
      <c r="B1415" t="s">
        <v>1585</v>
      </c>
      <c r="C1415" s="1">
        <v>42185</v>
      </c>
      <c r="D1415" s="1">
        <v>42190</v>
      </c>
      <c r="E1415" t="s">
        <v>2118</v>
      </c>
      <c r="F1415" t="s">
        <v>1586</v>
      </c>
      <c r="G1415" t="s">
        <v>1587</v>
      </c>
      <c r="H1415" t="s">
        <v>6</v>
      </c>
      <c r="I1415" t="s">
        <v>2114</v>
      </c>
      <c r="J1415" t="s">
        <v>2110</v>
      </c>
      <c r="K1415">
        <v>334.76799999999997</v>
      </c>
      <c r="L1415">
        <f t="shared" si="44"/>
        <v>33476.799999999996</v>
      </c>
      <c r="M1415">
        <f t="shared" si="45"/>
        <v>6695.36</v>
      </c>
    </row>
    <row r="1416" spans="1:13" x14ac:dyDescent="0.3">
      <c r="A1416">
        <v>1415</v>
      </c>
      <c r="B1416" t="s">
        <v>1588</v>
      </c>
      <c r="C1416" s="1">
        <v>43128</v>
      </c>
      <c r="D1416" s="1">
        <v>43131</v>
      </c>
      <c r="E1416" t="s">
        <v>2119</v>
      </c>
      <c r="F1416" t="s">
        <v>1589</v>
      </c>
      <c r="G1416" t="s">
        <v>1590</v>
      </c>
      <c r="H1416" t="s">
        <v>26</v>
      </c>
      <c r="I1416" t="s">
        <v>2112</v>
      </c>
      <c r="J1416" t="s">
        <v>2111</v>
      </c>
      <c r="K1416">
        <v>239.97</v>
      </c>
      <c r="L1416">
        <f t="shared" si="44"/>
        <v>23997</v>
      </c>
      <c r="M1416">
        <f t="shared" si="45"/>
        <v>4799.4000000000005</v>
      </c>
    </row>
    <row r="1417" spans="1:13" x14ac:dyDescent="0.3">
      <c r="A1417">
        <v>1416</v>
      </c>
      <c r="B1417" t="s">
        <v>1588</v>
      </c>
      <c r="C1417" s="1">
        <v>43128</v>
      </c>
      <c r="D1417" s="1">
        <v>43131</v>
      </c>
      <c r="E1417" t="s">
        <v>2119</v>
      </c>
      <c r="F1417" t="s">
        <v>1589</v>
      </c>
      <c r="G1417" t="s">
        <v>1590</v>
      </c>
      <c r="H1417" t="s">
        <v>26</v>
      </c>
      <c r="I1417" t="s">
        <v>2112</v>
      </c>
      <c r="J1417" t="s">
        <v>2109</v>
      </c>
      <c r="K1417">
        <v>37.74</v>
      </c>
      <c r="L1417">
        <f t="shared" si="44"/>
        <v>3774</v>
      </c>
      <c r="M1417">
        <f t="shared" si="45"/>
        <v>754.80000000000007</v>
      </c>
    </row>
    <row r="1418" spans="1:13" x14ac:dyDescent="0.3">
      <c r="A1418">
        <v>1417</v>
      </c>
      <c r="B1418" t="s">
        <v>1591</v>
      </c>
      <c r="C1418" s="1">
        <v>42634</v>
      </c>
      <c r="D1418" s="1">
        <v>42637</v>
      </c>
      <c r="E1418" t="s">
        <v>2120</v>
      </c>
      <c r="F1418" t="s">
        <v>1592</v>
      </c>
      <c r="G1418" t="s">
        <v>1593</v>
      </c>
      <c r="H1418" t="s">
        <v>10</v>
      </c>
      <c r="I1418" t="s">
        <v>2117</v>
      </c>
      <c r="J1418" t="s">
        <v>2111</v>
      </c>
      <c r="K1418">
        <v>946.34400000000005</v>
      </c>
      <c r="L1418">
        <f t="shared" si="44"/>
        <v>94634.400000000009</v>
      </c>
      <c r="M1418">
        <f t="shared" si="45"/>
        <v>18926.88</v>
      </c>
    </row>
    <row r="1419" spans="1:13" x14ac:dyDescent="0.3">
      <c r="A1419">
        <v>1418</v>
      </c>
      <c r="B1419" t="s">
        <v>1591</v>
      </c>
      <c r="C1419" s="1">
        <v>42634</v>
      </c>
      <c r="D1419" s="1">
        <v>42637</v>
      </c>
      <c r="E1419" t="s">
        <v>2120</v>
      </c>
      <c r="F1419" t="s">
        <v>1592</v>
      </c>
      <c r="G1419" t="s">
        <v>1593</v>
      </c>
      <c r="H1419" t="s">
        <v>10</v>
      </c>
      <c r="I1419" t="s">
        <v>2117</v>
      </c>
      <c r="J1419" t="s">
        <v>2111</v>
      </c>
      <c r="K1419">
        <v>151.19999999999999</v>
      </c>
      <c r="L1419">
        <f t="shared" si="44"/>
        <v>15119.999999999998</v>
      </c>
      <c r="M1419">
        <f t="shared" si="45"/>
        <v>3024</v>
      </c>
    </row>
    <row r="1420" spans="1:13" x14ac:dyDescent="0.3">
      <c r="A1420">
        <v>1419</v>
      </c>
      <c r="B1420" t="s">
        <v>1591</v>
      </c>
      <c r="C1420" s="1">
        <v>42634</v>
      </c>
      <c r="D1420" s="1">
        <v>42637</v>
      </c>
      <c r="E1420" t="s">
        <v>2120</v>
      </c>
      <c r="F1420" t="s">
        <v>1592</v>
      </c>
      <c r="G1420" t="s">
        <v>1593</v>
      </c>
      <c r="H1420" t="s">
        <v>10</v>
      </c>
      <c r="I1420" t="s">
        <v>2117</v>
      </c>
      <c r="J1420" t="s">
        <v>2109</v>
      </c>
      <c r="K1420">
        <v>4.9279999999999999</v>
      </c>
      <c r="L1420">
        <f t="shared" si="44"/>
        <v>492.8</v>
      </c>
      <c r="M1420">
        <f t="shared" si="45"/>
        <v>98.56</v>
      </c>
    </row>
    <row r="1421" spans="1:13" x14ac:dyDescent="0.3">
      <c r="A1421">
        <v>1420</v>
      </c>
      <c r="B1421" t="s">
        <v>1594</v>
      </c>
      <c r="C1421" s="1">
        <v>42639</v>
      </c>
      <c r="D1421" s="1">
        <v>42643</v>
      </c>
      <c r="E1421" t="s">
        <v>2118</v>
      </c>
      <c r="F1421" t="s">
        <v>1595</v>
      </c>
      <c r="G1421" t="s">
        <v>1596</v>
      </c>
      <c r="H1421" t="s">
        <v>10</v>
      </c>
      <c r="I1421" t="s">
        <v>2112</v>
      </c>
      <c r="J1421" t="s">
        <v>2110</v>
      </c>
      <c r="K1421">
        <v>86.272000000000006</v>
      </c>
      <c r="L1421">
        <f t="shared" si="44"/>
        <v>8627.2000000000007</v>
      </c>
      <c r="M1421">
        <f t="shared" si="45"/>
        <v>1725.4400000000003</v>
      </c>
    </row>
    <row r="1422" spans="1:13" x14ac:dyDescent="0.3">
      <c r="A1422">
        <v>1421</v>
      </c>
      <c r="B1422" t="s">
        <v>1594</v>
      </c>
      <c r="C1422" s="1">
        <v>42639</v>
      </c>
      <c r="D1422" s="1">
        <v>42643</v>
      </c>
      <c r="E1422" t="s">
        <v>2118</v>
      </c>
      <c r="F1422" t="s">
        <v>1595</v>
      </c>
      <c r="G1422" t="s">
        <v>1596</v>
      </c>
      <c r="H1422" t="s">
        <v>10</v>
      </c>
      <c r="I1422" t="s">
        <v>2112</v>
      </c>
      <c r="J1422" t="s">
        <v>2110</v>
      </c>
      <c r="K1422">
        <v>72.587999999999994</v>
      </c>
      <c r="L1422">
        <f t="shared" si="44"/>
        <v>7258.7999999999993</v>
      </c>
      <c r="M1422">
        <f t="shared" si="45"/>
        <v>1451.76</v>
      </c>
    </row>
    <row r="1423" spans="1:13" x14ac:dyDescent="0.3">
      <c r="A1423">
        <v>1422</v>
      </c>
      <c r="B1423" t="s">
        <v>1594</v>
      </c>
      <c r="C1423" s="1">
        <v>42639</v>
      </c>
      <c r="D1423" s="1">
        <v>42643</v>
      </c>
      <c r="E1423" t="s">
        <v>2118</v>
      </c>
      <c r="F1423" t="s">
        <v>1595</v>
      </c>
      <c r="G1423" t="s">
        <v>1596</v>
      </c>
      <c r="H1423" t="s">
        <v>10</v>
      </c>
      <c r="I1423" t="s">
        <v>2112</v>
      </c>
      <c r="J1423" t="s">
        <v>2110</v>
      </c>
      <c r="K1423">
        <v>60.671999999999997</v>
      </c>
      <c r="L1423">
        <f t="shared" si="44"/>
        <v>6067.2</v>
      </c>
      <c r="M1423">
        <f t="shared" si="45"/>
        <v>1213.44</v>
      </c>
    </row>
    <row r="1424" spans="1:13" x14ac:dyDescent="0.3">
      <c r="A1424">
        <v>1423</v>
      </c>
      <c r="B1424" t="s">
        <v>1594</v>
      </c>
      <c r="C1424" s="1">
        <v>42639</v>
      </c>
      <c r="D1424" s="1">
        <v>42643</v>
      </c>
      <c r="E1424" t="s">
        <v>2118</v>
      </c>
      <c r="F1424" t="s">
        <v>1595</v>
      </c>
      <c r="G1424" t="s">
        <v>1596</v>
      </c>
      <c r="H1424" t="s">
        <v>10</v>
      </c>
      <c r="I1424" t="s">
        <v>2112</v>
      </c>
      <c r="J1424" t="s">
        <v>2110</v>
      </c>
      <c r="K1424">
        <v>77.031000000000006</v>
      </c>
      <c r="L1424">
        <f t="shared" si="44"/>
        <v>7703.1</v>
      </c>
      <c r="M1424">
        <f t="shared" si="45"/>
        <v>1540.6200000000001</v>
      </c>
    </row>
    <row r="1425" spans="1:13" x14ac:dyDescent="0.3">
      <c r="A1425">
        <v>1424</v>
      </c>
      <c r="B1425" t="s">
        <v>1594</v>
      </c>
      <c r="C1425" s="1">
        <v>42639</v>
      </c>
      <c r="D1425" s="1">
        <v>42643</v>
      </c>
      <c r="E1425" t="s">
        <v>2118</v>
      </c>
      <c r="F1425" t="s">
        <v>1595</v>
      </c>
      <c r="G1425" t="s">
        <v>1596</v>
      </c>
      <c r="H1425" t="s">
        <v>10</v>
      </c>
      <c r="I1425" t="s">
        <v>2112</v>
      </c>
      <c r="J1425" t="s">
        <v>2110</v>
      </c>
      <c r="K1425">
        <v>119.904</v>
      </c>
      <c r="L1425">
        <f t="shared" si="44"/>
        <v>11990.4</v>
      </c>
      <c r="M1425">
        <f t="shared" si="45"/>
        <v>2398.08</v>
      </c>
    </row>
    <row r="1426" spans="1:13" x14ac:dyDescent="0.3">
      <c r="A1426">
        <v>1425</v>
      </c>
      <c r="B1426" t="s">
        <v>1594</v>
      </c>
      <c r="C1426" s="1">
        <v>42639</v>
      </c>
      <c r="D1426" s="1">
        <v>42643</v>
      </c>
      <c r="E1426" t="s">
        <v>2118</v>
      </c>
      <c r="F1426" t="s">
        <v>1595</v>
      </c>
      <c r="G1426" t="s">
        <v>1596</v>
      </c>
      <c r="H1426" t="s">
        <v>10</v>
      </c>
      <c r="I1426" t="s">
        <v>2112</v>
      </c>
      <c r="J1426" t="s">
        <v>2111</v>
      </c>
      <c r="K1426">
        <v>263.95999999999998</v>
      </c>
      <c r="L1426">
        <f t="shared" si="44"/>
        <v>26395.999999999996</v>
      </c>
      <c r="M1426">
        <f t="shared" si="45"/>
        <v>5279.2</v>
      </c>
    </row>
    <row r="1427" spans="1:13" x14ac:dyDescent="0.3">
      <c r="A1427">
        <v>1426</v>
      </c>
      <c r="B1427" t="s">
        <v>1594</v>
      </c>
      <c r="C1427" s="1">
        <v>42639</v>
      </c>
      <c r="D1427" s="1">
        <v>42643</v>
      </c>
      <c r="E1427" t="s">
        <v>2118</v>
      </c>
      <c r="F1427" t="s">
        <v>1595</v>
      </c>
      <c r="G1427" t="s">
        <v>1596</v>
      </c>
      <c r="H1427" t="s">
        <v>10</v>
      </c>
      <c r="I1427" t="s">
        <v>2112</v>
      </c>
      <c r="J1427" t="s">
        <v>2110</v>
      </c>
      <c r="K1427">
        <v>363.64800000000002</v>
      </c>
      <c r="L1427">
        <f t="shared" si="44"/>
        <v>36364.800000000003</v>
      </c>
      <c r="M1427">
        <f t="shared" si="45"/>
        <v>7272.9600000000009</v>
      </c>
    </row>
    <row r="1428" spans="1:13" x14ac:dyDescent="0.3">
      <c r="A1428">
        <v>1427</v>
      </c>
      <c r="B1428" t="s">
        <v>1597</v>
      </c>
      <c r="C1428" s="1">
        <v>42674</v>
      </c>
      <c r="D1428" s="1">
        <v>42678</v>
      </c>
      <c r="E1428" t="s">
        <v>2119</v>
      </c>
      <c r="F1428" t="s">
        <v>1598</v>
      </c>
      <c r="G1428" t="s">
        <v>1599</v>
      </c>
      <c r="H1428" t="s">
        <v>10</v>
      </c>
      <c r="I1428" t="s">
        <v>2112</v>
      </c>
      <c r="J1428" t="s">
        <v>2110</v>
      </c>
      <c r="K1428">
        <v>9.7279999999999998</v>
      </c>
      <c r="L1428">
        <f t="shared" si="44"/>
        <v>972.8</v>
      </c>
      <c r="M1428">
        <f t="shared" si="45"/>
        <v>194.56</v>
      </c>
    </row>
    <row r="1429" spans="1:13" x14ac:dyDescent="0.3">
      <c r="A1429">
        <v>1428</v>
      </c>
      <c r="B1429" t="s">
        <v>1597</v>
      </c>
      <c r="C1429" s="1">
        <v>42674</v>
      </c>
      <c r="D1429" s="1">
        <v>42678</v>
      </c>
      <c r="E1429" t="s">
        <v>2119</v>
      </c>
      <c r="F1429" t="s">
        <v>1598</v>
      </c>
      <c r="G1429" t="s">
        <v>1599</v>
      </c>
      <c r="H1429" t="s">
        <v>10</v>
      </c>
      <c r="I1429" t="s">
        <v>2112</v>
      </c>
      <c r="J1429" t="s">
        <v>2110</v>
      </c>
      <c r="K1429">
        <v>14.75</v>
      </c>
      <c r="L1429">
        <f t="shared" si="44"/>
        <v>1475</v>
      </c>
      <c r="M1429">
        <f t="shared" si="45"/>
        <v>295</v>
      </c>
    </row>
    <row r="1430" spans="1:13" x14ac:dyDescent="0.3">
      <c r="A1430">
        <v>1429</v>
      </c>
      <c r="B1430" t="s">
        <v>1597</v>
      </c>
      <c r="C1430" s="1">
        <v>42674</v>
      </c>
      <c r="D1430" s="1">
        <v>42678</v>
      </c>
      <c r="E1430" t="s">
        <v>2119</v>
      </c>
      <c r="F1430" t="s">
        <v>1598</v>
      </c>
      <c r="G1430" t="s">
        <v>1599</v>
      </c>
      <c r="H1430" t="s">
        <v>10</v>
      </c>
      <c r="I1430" t="s">
        <v>2112</v>
      </c>
      <c r="J1430" t="s">
        <v>2110</v>
      </c>
      <c r="K1430">
        <v>29.8</v>
      </c>
      <c r="L1430">
        <f t="shared" si="44"/>
        <v>2980</v>
      </c>
      <c r="M1430">
        <f t="shared" si="45"/>
        <v>596</v>
      </c>
    </row>
    <row r="1431" spans="1:13" x14ac:dyDescent="0.3">
      <c r="A1431">
        <v>1430</v>
      </c>
      <c r="B1431" t="s">
        <v>1597</v>
      </c>
      <c r="C1431" s="1">
        <v>42674</v>
      </c>
      <c r="D1431" s="1">
        <v>42678</v>
      </c>
      <c r="E1431" t="s">
        <v>2119</v>
      </c>
      <c r="F1431" t="s">
        <v>1598</v>
      </c>
      <c r="G1431" t="s">
        <v>1599</v>
      </c>
      <c r="H1431" t="s">
        <v>10</v>
      </c>
      <c r="I1431" t="s">
        <v>2112</v>
      </c>
      <c r="J1431" t="s">
        <v>2110</v>
      </c>
      <c r="K1431">
        <v>427.42</v>
      </c>
      <c r="L1431">
        <f t="shared" si="44"/>
        <v>42742</v>
      </c>
      <c r="M1431">
        <f t="shared" si="45"/>
        <v>8548.4</v>
      </c>
    </row>
    <row r="1432" spans="1:13" x14ac:dyDescent="0.3">
      <c r="A1432">
        <v>1431</v>
      </c>
      <c r="B1432" t="s">
        <v>1600</v>
      </c>
      <c r="C1432" s="1">
        <v>43430</v>
      </c>
      <c r="D1432" s="1">
        <v>43434</v>
      </c>
      <c r="E1432" t="s">
        <v>2118</v>
      </c>
      <c r="F1432" t="s">
        <v>971</v>
      </c>
      <c r="G1432" t="s">
        <v>972</v>
      </c>
      <c r="H1432" t="s">
        <v>6</v>
      </c>
      <c r="I1432" t="s">
        <v>2114</v>
      </c>
      <c r="J1432" t="s">
        <v>2111</v>
      </c>
      <c r="K1432">
        <v>220.75200000000001</v>
      </c>
      <c r="L1432">
        <f t="shared" si="44"/>
        <v>22075.200000000001</v>
      </c>
      <c r="M1432">
        <f t="shared" si="45"/>
        <v>4415.04</v>
      </c>
    </row>
    <row r="1433" spans="1:13" x14ac:dyDescent="0.3">
      <c r="A1433">
        <v>1432</v>
      </c>
      <c r="B1433" t="s">
        <v>1601</v>
      </c>
      <c r="C1433" s="1">
        <v>42357</v>
      </c>
      <c r="D1433" s="1">
        <v>42359</v>
      </c>
      <c r="E1433" t="s">
        <v>2119</v>
      </c>
      <c r="F1433" t="s">
        <v>21</v>
      </c>
      <c r="G1433" t="s">
        <v>22</v>
      </c>
      <c r="H1433" t="s">
        <v>6</v>
      </c>
      <c r="I1433" t="s">
        <v>2115</v>
      </c>
      <c r="J1433" t="s">
        <v>2110</v>
      </c>
      <c r="K1433">
        <v>152.76</v>
      </c>
      <c r="L1433">
        <f t="shared" si="44"/>
        <v>15276</v>
      </c>
      <c r="M1433">
        <f t="shared" si="45"/>
        <v>3055.2000000000003</v>
      </c>
    </row>
    <row r="1434" spans="1:13" x14ac:dyDescent="0.3">
      <c r="A1434">
        <v>1433</v>
      </c>
      <c r="B1434" t="s">
        <v>1601</v>
      </c>
      <c r="C1434" s="1">
        <v>42357</v>
      </c>
      <c r="D1434" s="1">
        <v>42359</v>
      </c>
      <c r="E1434" t="s">
        <v>2119</v>
      </c>
      <c r="F1434" t="s">
        <v>21</v>
      </c>
      <c r="G1434" t="s">
        <v>22</v>
      </c>
      <c r="H1434" t="s">
        <v>6</v>
      </c>
      <c r="I1434" t="s">
        <v>2115</v>
      </c>
      <c r="J1434" t="s">
        <v>2110</v>
      </c>
      <c r="K1434">
        <v>7.27</v>
      </c>
      <c r="L1434">
        <f t="shared" si="44"/>
        <v>727</v>
      </c>
      <c r="M1434">
        <f t="shared" si="45"/>
        <v>145.4</v>
      </c>
    </row>
    <row r="1435" spans="1:13" x14ac:dyDescent="0.3">
      <c r="A1435">
        <v>1434</v>
      </c>
      <c r="B1435" t="s">
        <v>1601</v>
      </c>
      <c r="C1435" s="1">
        <v>42357</v>
      </c>
      <c r="D1435" s="1">
        <v>42359</v>
      </c>
      <c r="E1435" t="s">
        <v>2119</v>
      </c>
      <c r="F1435" t="s">
        <v>21</v>
      </c>
      <c r="G1435" t="s">
        <v>22</v>
      </c>
      <c r="H1435" t="s">
        <v>6</v>
      </c>
      <c r="I1435" t="s">
        <v>2115</v>
      </c>
      <c r="J1435" t="s">
        <v>2109</v>
      </c>
      <c r="K1435">
        <v>1819.86</v>
      </c>
      <c r="L1435">
        <f t="shared" si="44"/>
        <v>181986</v>
      </c>
      <c r="M1435">
        <f t="shared" si="45"/>
        <v>36397.200000000004</v>
      </c>
    </row>
    <row r="1436" spans="1:13" x14ac:dyDescent="0.3">
      <c r="A1436">
        <v>1435</v>
      </c>
      <c r="B1436" t="s">
        <v>1602</v>
      </c>
      <c r="C1436" s="1">
        <v>43095</v>
      </c>
      <c r="D1436" s="1">
        <v>43099</v>
      </c>
      <c r="E1436" t="s">
        <v>2118</v>
      </c>
      <c r="F1436" t="s">
        <v>721</v>
      </c>
      <c r="G1436" t="s">
        <v>722</v>
      </c>
      <c r="H1436" t="s">
        <v>6</v>
      </c>
      <c r="I1436" t="s">
        <v>2112</v>
      </c>
      <c r="J1436" t="s">
        <v>2110</v>
      </c>
      <c r="K1436">
        <v>33.9</v>
      </c>
      <c r="L1436">
        <f t="shared" si="44"/>
        <v>3390</v>
      </c>
      <c r="M1436">
        <f t="shared" si="45"/>
        <v>678</v>
      </c>
    </row>
    <row r="1437" spans="1:13" x14ac:dyDescent="0.3">
      <c r="A1437">
        <v>1436</v>
      </c>
      <c r="B1437" t="s">
        <v>1603</v>
      </c>
      <c r="C1437" s="1">
        <v>43271</v>
      </c>
      <c r="D1437" s="1">
        <v>43278</v>
      </c>
      <c r="E1437" t="s">
        <v>2118</v>
      </c>
      <c r="F1437" t="s">
        <v>1604</v>
      </c>
      <c r="G1437" t="s">
        <v>1605</v>
      </c>
      <c r="H1437" t="s">
        <v>6</v>
      </c>
      <c r="I1437" t="s">
        <v>2114</v>
      </c>
      <c r="J1437" t="s">
        <v>2110</v>
      </c>
      <c r="K1437">
        <v>31.103999999999999</v>
      </c>
      <c r="L1437">
        <f t="shared" si="44"/>
        <v>3110.4</v>
      </c>
      <c r="M1437">
        <f t="shared" si="45"/>
        <v>622.08000000000004</v>
      </c>
    </row>
    <row r="1438" spans="1:13" x14ac:dyDescent="0.3">
      <c r="A1438">
        <v>1437</v>
      </c>
      <c r="B1438" t="s">
        <v>1603</v>
      </c>
      <c r="C1438" s="1">
        <v>43271</v>
      </c>
      <c r="D1438" s="1">
        <v>43278</v>
      </c>
      <c r="E1438" t="s">
        <v>2118</v>
      </c>
      <c r="F1438" t="s">
        <v>1604</v>
      </c>
      <c r="G1438" t="s">
        <v>1605</v>
      </c>
      <c r="H1438" t="s">
        <v>6</v>
      </c>
      <c r="I1438" t="s">
        <v>2114</v>
      </c>
      <c r="J1438" t="s">
        <v>2110</v>
      </c>
      <c r="K1438">
        <v>5.2480000000000002</v>
      </c>
      <c r="L1438">
        <f t="shared" si="44"/>
        <v>524.80000000000007</v>
      </c>
      <c r="M1438">
        <f t="shared" si="45"/>
        <v>104.96000000000002</v>
      </c>
    </row>
    <row r="1439" spans="1:13" x14ac:dyDescent="0.3">
      <c r="A1439">
        <v>1438</v>
      </c>
      <c r="B1439" t="s">
        <v>1606</v>
      </c>
      <c r="C1439" s="1">
        <v>42658</v>
      </c>
      <c r="D1439" s="1">
        <v>42658</v>
      </c>
      <c r="E1439" t="s">
        <v>2120</v>
      </c>
      <c r="F1439" t="s">
        <v>104</v>
      </c>
      <c r="G1439" t="s">
        <v>105</v>
      </c>
      <c r="H1439" t="s">
        <v>6</v>
      </c>
      <c r="I1439" t="s">
        <v>2117</v>
      </c>
      <c r="J1439" t="s">
        <v>2111</v>
      </c>
      <c r="K1439">
        <v>263.88</v>
      </c>
      <c r="L1439">
        <f t="shared" si="44"/>
        <v>26388</v>
      </c>
      <c r="M1439">
        <f t="shared" si="45"/>
        <v>5277.6</v>
      </c>
    </row>
    <row r="1440" spans="1:13" x14ac:dyDescent="0.3">
      <c r="A1440">
        <v>1439</v>
      </c>
      <c r="B1440" t="s">
        <v>1606</v>
      </c>
      <c r="C1440" s="1">
        <v>42658</v>
      </c>
      <c r="D1440" s="1">
        <v>42658</v>
      </c>
      <c r="E1440" t="s">
        <v>2120</v>
      </c>
      <c r="F1440" t="s">
        <v>104</v>
      </c>
      <c r="G1440" t="s">
        <v>105</v>
      </c>
      <c r="H1440" t="s">
        <v>6</v>
      </c>
      <c r="I1440" t="s">
        <v>2117</v>
      </c>
      <c r="J1440" t="s">
        <v>2109</v>
      </c>
      <c r="K1440">
        <v>2453.4299999999998</v>
      </c>
      <c r="L1440">
        <f t="shared" si="44"/>
        <v>245342.99999999997</v>
      </c>
      <c r="M1440">
        <f t="shared" si="45"/>
        <v>49068.6</v>
      </c>
    </row>
    <row r="1441" spans="1:13" x14ac:dyDescent="0.3">
      <c r="A1441">
        <v>1440</v>
      </c>
      <c r="B1441" t="s">
        <v>1607</v>
      </c>
      <c r="C1441" s="1">
        <v>43202</v>
      </c>
      <c r="D1441" s="1">
        <v>43205</v>
      </c>
      <c r="E1441" t="s">
        <v>2119</v>
      </c>
      <c r="F1441" t="s">
        <v>698</v>
      </c>
      <c r="G1441" t="s">
        <v>699</v>
      </c>
      <c r="H1441" t="s">
        <v>6</v>
      </c>
      <c r="I1441" t="s">
        <v>2114</v>
      </c>
      <c r="J1441" t="s">
        <v>2110</v>
      </c>
      <c r="K1441">
        <v>29.7</v>
      </c>
      <c r="L1441">
        <f t="shared" si="44"/>
        <v>2970</v>
      </c>
      <c r="M1441">
        <f t="shared" si="45"/>
        <v>594</v>
      </c>
    </row>
    <row r="1442" spans="1:13" x14ac:dyDescent="0.3">
      <c r="A1442">
        <v>1441</v>
      </c>
      <c r="B1442" t="s">
        <v>1607</v>
      </c>
      <c r="C1442" s="1">
        <v>43202</v>
      </c>
      <c r="D1442" s="1">
        <v>43205</v>
      </c>
      <c r="E1442" t="s">
        <v>2119</v>
      </c>
      <c r="F1442" t="s">
        <v>698</v>
      </c>
      <c r="G1442" t="s">
        <v>699</v>
      </c>
      <c r="H1442" t="s">
        <v>6</v>
      </c>
      <c r="I1442" t="s">
        <v>2114</v>
      </c>
      <c r="J1442" t="s">
        <v>2110</v>
      </c>
      <c r="K1442">
        <v>39.96</v>
      </c>
      <c r="L1442">
        <f t="shared" si="44"/>
        <v>3996</v>
      </c>
      <c r="M1442">
        <f t="shared" si="45"/>
        <v>799.2</v>
      </c>
    </row>
    <row r="1443" spans="1:13" x14ac:dyDescent="0.3">
      <c r="A1443">
        <v>1442</v>
      </c>
      <c r="B1443" t="s">
        <v>1608</v>
      </c>
      <c r="C1443" s="1">
        <v>43453</v>
      </c>
      <c r="D1443" s="1">
        <v>43458</v>
      </c>
      <c r="E1443" t="s">
        <v>2119</v>
      </c>
      <c r="F1443" t="s">
        <v>1609</v>
      </c>
      <c r="G1443" t="s">
        <v>1610</v>
      </c>
      <c r="H1443" t="s">
        <v>6</v>
      </c>
      <c r="I1443" t="s">
        <v>2112</v>
      </c>
      <c r="J1443" t="s">
        <v>2110</v>
      </c>
      <c r="K1443">
        <v>36.671999999999997</v>
      </c>
      <c r="L1443">
        <f t="shared" si="44"/>
        <v>3667.2</v>
      </c>
      <c r="M1443">
        <f t="shared" si="45"/>
        <v>733.44</v>
      </c>
    </row>
    <row r="1444" spans="1:13" x14ac:dyDescent="0.3">
      <c r="A1444">
        <v>1443</v>
      </c>
      <c r="B1444" t="s">
        <v>1611</v>
      </c>
      <c r="C1444" s="1">
        <v>43317</v>
      </c>
      <c r="D1444" s="1">
        <v>43320</v>
      </c>
      <c r="E1444" t="s">
        <v>2120</v>
      </c>
      <c r="F1444" t="s">
        <v>1612</v>
      </c>
      <c r="G1444" t="s">
        <v>1613</v>
      </c>
      <c r="H1444" t="s">
        <v>10</v>
      </c>
      <c r="I1444" t="s">
        <v>2115</v>
      </c>
      <c r="J1444" t="s">
        <v>2110</v>
      </c>
      <c r="K1444">
        <v>13.76</v>
      </c>
      <c r="L1444">
        <f t="shared" si="44"/>
        <v>1376</v>
      </c>
      <c r="M1444">
        <f t="shared" si="45"/>
        <v>275.2</v>
      </c>
    </row>
    <row r="1445" spans="1:13" x14ac:dyDescent="0.3">
      <c r="A1445">
        <v>1444</v>
      </c>
      <c r="B1445" t="s">
        <v>1614</v>
      </c>
      <c r="C1445" s="1">
        <v>42644</v>
      </c>
      <c r="D1445" s="1">
        <v>42649</v>
      </c>
      <c r="E1445" t="s">
        <v>2118</v>
      </c>
      <c r="F1445" t="s">
        <v>1615</v>
      </c>
      <c r="G1445" t="s">
        <v>1616</v>
      </c>
      <c r="H1445" t="s">
        <v>10</v>
      </c>
      <c r="I1445" t="s">
        <v>2112</v>
      </c>
      <c r="J1445" t="s">
        <v>2110</v>
      </c>
      <c r="K1445">
        <v>139.42400000000001</v>
      </c>
      <c r="L1445">
        <f t="shared" si="44"/>
        <v>13942.400000000001</v>
      </c>
      <c r="M1445">
        <f t="shared" si="45"/>
        <v>2788.4800000000005</v>
      </c>
    </row>
    <row r="1446" spans="1:13" x14ac:dyDescent="0.3">
      <c r="A1446">
        <v>1445</v>
      </c>
      <c r="B1446" t="s">
        <v>1617</v>
      </c>
      <c r="C1446" s="1">
        <v>42878</v>
      </c>
      <c r="D1446" s="1">
        <v>42883</v>
      </c>
      <c r="E1446" t="s">
        <v>2118</v>
      </c>
      <c r="F1446" t="s">
        <v>333</v>
      </c>
      <c r="G1446" t="s">
        <v>334</v>
      </c>
      <c r="H1446" t="s">
        <v>6</v>
      </c>
      <c r="I1446" t="s">
        <v>2117</v>
      </c>
      <c r="J1446" t="s">
        <v>2111</v>
      </c>
      <c r="K1446">
        <v>1979.9280000000001</v>
      </c>
      <c r="L1446">
        <f t="shared" si="44"/>
        <v>197992.80000000002</v>
      </c>
      <c r="M1446">
        <f t="shared" si="45"/>
        <v>39598.560000000005</v>
      </c>
    </row>
    <row r="1447" spans="1:13" x14ac:dyDescent="0.3">
      <c r="A1447">
        <v>1446</v>
      </c>
      <c r="B1447" t="s">
        <v>1618</v>
      </c>
      <c r="C1447" s="1">
        <v>43264</v>
      </c>
      <c r="D1447" s="1">
        <v>43267</v>
      </c>
      <c r="E1447" t="s">
        <v>2120</v>
      </c>
      <c r="F1447" t="s">
        <v>551</v>
      </c>
      <c r="G1447" t="s">
        <v>552</v>
      </c>
      <c r="H1447" t="s">
        <v>26</v>
      </c>
      <c r="I1447" t="s">
        <v>2117</v>
      </c>
      <c r="J1447" t="s">
        <v>2110</v>
      </c>
      <c r="K1447">
        <v>164.73599999999999</v>
      </c>
      <c r="L1447">
        <f t="shared" si="44"/>
        <v>16473.599999999999</v>
      </c>
      <c r="M1447">
        <f t="shared" si="45"/>
        <v>3294.72</v>
      </c>
    </row>
    <row r="1448" spans="1:13" x14ac:dyDescent="0.3">
      <c r="A1448">
        <v>1447</v>
      </c>
      <c r="B1448" t="s">
        <v>1618</v>
      </c>
      <c r="C1448" s="1">
        <v>43264</v>
      </c>
      <c r="D1448" s="1">
        <v>43267</v>
      </c>
      <c r="E1448" t="s">
        <v>2120</v>
      </c>
      <c r="F1448" t="s">
        <v>551</v>
      </c>
      <c r="G1448" t="s">
        <v>552</v>
      </c>
      <c r="H1448" t="s">
        <v>26</v>
      </c>
      <c r="I1448" t="s">
        <v>2117</v>
      </c>
      <c r="J1448" t="s">
        <v>2109</v>
      </c>
      <c r="K1448">
        <v>470.30200000000002</v>
      </c>
      <c r="L1448">
        <f t="shared" si="44"/>
        <v>47030.200000000004</v>
      </c>
      <c r="M1448">
        <f t="shared" si="45"/>
        <v>9406.0400000000009</v>
      </c>
    </row>
    <row r="1449" spans="1:13" x14ac:dyDescent="0.3">
      <c r="A1449">
        <v>1448</v>
      </c>
      <c r="B1449" t="s">
        <v>1618</v>
      </c>
      <c r="C1449" s="1">
        <v>43264</v>
      </c>
      <c r="D1449" s="1">
        <v>43267</v>
      </c>
      <c r="E1449" t="s">
        <v>2120</v>
      </c>
      <c r="F1449" t="s">
        <v>551</v>
      </c>
      <c r="G1449" t="s">
        <v>552</v>
      </c>
      <c r="H1449" t="s">
        <v>26</v>
      </c>
      <c r="I1449" t="s">
        <v>2117</v>
      </c>
      <c r="J1449" t="s">
        <v>2111</v>
      </c>
      <c r="K1449">
        <v>47.984000000000002</v>
      </c>
      <c r="L1449">
        <f t="shared" si="44"/>
        <v>4798.4000000000005</v>
      </c>
      <c r="M1449">
        <f t="shared" si="45"/>
        <v>959.68000000000018</v>
      </c>
    </row>
    <row r="1450" spans="1:13" x14ac:dyDescent="0.3">
      <c r="A1450">
        <v>1449</v>
      </c>
      <c r="B1450" t="s">
        <v>1619</v>
      </c>
      <c r="C1450" s="1">
        <v>42117</v>
      </c>
      <c r="D1450" s="1">
        <v>42118</v>
      </c>
      <c r="E1450" t="s">
        <v>2120</v>
      </c>
      <c r="F1450" t="s">
        <v>1273</v>
      </c>
      <c r="G1450" t="s">
        <v>1274</v>
      </c>
      <c r="H1450" t="s">
        <v>10</v>
      </c>
      <c r="I1450" t="s">
        <v>2114</v>
      </c>
      <c r="J1450" t="s">
        <v>2110</v>
      </c>
      <c r="K1450">
        <v>2.5019999999999998</v>
      </c>
      <c r="L1450">
        <f t="shared" si="44"/>
        <v>250.2</v>
      </c>
      <c r="M1450">
        <f t="shared" si="45"/>
        <v>50.04</v>
      </c>
    </row>
    <row r="1451" spans="1:13" x14ac:dyDescent="0.3">
      <c r="A1451">
        <v>1450</v>
      </c>
      <c r="B1451" t="s">
        <v>1620</v>
      </c>
      <c r="C1451" s="1">
        <v>42491</v>
      </c>
      <c r="D1451" s="1">
        <v>42497</v>
      </c>
      <c r="E1451" t="s">
        <v>2118</v>
      </c>
      <c r="F1451" t="s">
        <v>250</v>
      </c>
      <c r="G1451" t="s">
        <v>251</v>
      </c>
      <c r="H1451" t="s">
        <v>10</v>
      </c>
      <c r="I1451" t="s">
        <v>2112</v>
      </c>
      <c r="J1451" t="s">
        <v>2111</v>
      </c>
      <c r="K1451">
        <v>88.751999999999995</v>
      </c>
      <c r="L1451">
        <f t="shared" si="44"/>
        <v>8875.1999999999989</v>
      </c>
      <c r="M1451">
        <f t="shared" si="45"/>
        <v>1775.04</v>
      </c>
    </row>
    <row r="1452" spans="1:13" x14ac:dyDescent="0.3">
      <c r="A1452">
        <v>1451</v>
      </c>
      <c r="B1452" t="s">
        <v>1621</v>
      </c>
      <c r="C1452" s="1">
        <v>42570</v>
      </c>
      <c r="D1452" s="1">
        <v>42571</v>
      </c>
      <c r="E1452" t="s">
        <v>2120</v>
      </c>
      <c r="F1452" t="s">
        <v>1622</v>
      </c>
      <c r="G1452" t="s">
        <v>1623</v>
      </c>
      <c r="H1452" t="s">
        <v>6</v>
      </c>
      <c r="I1452" t="s">
        <v>2112</v>
      </c>
      <c r="J1452" t="s">
        <v>2110</v>
      </c>
      <c r="K1452">
        <v>2.0249999999999999</v>
      </c>
      <c r="L1452">
        <f t="shared" si="44"/>
        <v>202.5</v>
      </c>
      <c r="M1452">
        <f t="shared" si="45"/>
        <v>40.5</v>
      </c>
    </row>
    <row r="1453" spans="1:13" x14ac:dyDescent="0.3">
      <c r="A1453">
        <v>1452</v>
      </c>
      <c r="B1453" t="s">
        <v>1624</v>
      </c>
      <c r="C1453" s="1">
        <v>43065</v>
      </c>
      <c r="D1453" s="1">
        <v>43068</v>
      </c>
      <c r="E1453" t="s">
        <v>2120</v>
      </c>
      <c r="F1453" t="s">
        <v>1625</v>
      </c>
      <c r="G1453" t="s">
        <v>1626</v>
      </c>
      <c r="H1453" t="s">
        <v>10</v>
      </c>
      <c r="I1453" t="s">
        <v>2115</v>
      </c>
      <c r="J1453" t="s">
        <v>2110</v>
      </c>
      <c r="K1453">
        <v>70.98</v>
      </c>
      <c r="L1453">
        <f t="shared" si="44"/>
        <v>7098</v>
      </c>
      <c r="M1453">
        <f t="shared" si="45"/>
        <v>1419.6000000000001</v>
      </c>
    </row>
    <row r="1454" spans="1:13" x14ac:dyDescent="0.3">
      <c r="A1454">
        <v>1453</v>
      </c>
      <c r="B1454" t="s">
        <v>1624</v>
      </c>
      <c r="C1454" s="1">
        <v>43065</v>
      </c>
      <c r="D1454" s="1">
        <v>43068</v>
      </c>
      <c r="E1454" t="s">
        <v>2120</v>
      </c>
      <c r="F1454" t="s">
        <v>1625</v>
      </c>
      <c r="G1454" t="s">
        <v>1626</v>
      </c>
      <c r="H1454" t="s">
        <v>10</v>
      </c>
      <c r="I1454" t="s">
        <v>2115</v>
      </c>
      <c r="J1454" t="s">
        <v>2110</v>
      </c>
      <c r="K1454">
        <v>91.68</v>
      </c>
      <c r="L1454">
        <f t="shared" si="44"/>
        <v>9168</v>
      </c>
      <c r="M1454">
        <f t="shared" si="45"/>
        <v>1833.6000000000001</v>
      </c>
    </row>
    <row r="1455" spans="1:13" x14ac:dyDescent="0.3">
      <c r="A1455">
        <v>1454</v>
      </c>
      <c r="B1455" t="s">
        <v>1624</v>
      </c>
      <c r="C1455" s="1">
        <v>43065</v>
      </c>
      <c r="D1455" s="1">
        <v>43068</v>
      </c>
      <c r="E1455" t="s">
        <v>2120</v>
      </c>
      <c r="F1455" t="s">
        <v>1625</v>
      </c>
      <c r="G1455" t="s">
        <v>1626</v>
      </c>
      <c r="H1455" t="s">
        <v>10</v>
      </c>
      <c r="I1455" t="s">
        <v>2115</v>
      </c>
      <c r="J1455" t="s">
        <v>2110</v>
      </c>
      <c r="K1455">
        <v>33.75</v>
      </c>
      <c r="L1455">
        <f t="shared" si="44"/>
        <v>3375</v>
      </c>
      <c r="M1455">
        <f t="shared" si="45"/>
        <v>675</v>
      </c>
    </row>
    <row r="1456" spans="1:13" x14ac:dyDescent="0.3">
      <c r="A1456">
        <v>1455</v>
      </c>
      <c r="B1456" t="s">
        <v>1624</v>
      </c>
      <c r="C1456" s="1">
        <v>43065</v>
      </c>
      <c r="D1456" s="1">
        <v>43068</v>
      </c>
      <c r="E1456" t="s">
        <v>2120</v>
      </c>
      <c r="F1456" t="s">
        <v>1625</v>
      </c>
      <c r="G1456" t="s">
        <v>1626</v>
      </c>
      <c r="H1456" t="s">
        <v>10</v>
      </c>
      <c r="I1456" t="s">
        <v>2115</v>
      </c>
      <c r="J1456" t="s">
        <v>2111</v>
      </c>
      <c r="K1456">
        <v>3040</v>
      </c>
      <c r="L1456">
        <f t="shared" si="44"/>
        <v>304000</v>
      </c>
      <c r="M1456">
        <f t="shared" si="45"/>
        <v>60800</v>
      </c>
    </row>
    <row r="1457" spans="1:13" x14ac:dyDescent="0.3">
      <c r="A1457">
        <v>1456</v>
      </c>
      <c r="B1457" t="s">
        <v>1627</v>
      </c>
      <c r="C1457" s="1">
        <v>43263</v>
      </c>
      <c r="D1457" s="1">
        <v>43270</v>
      </c>
      <c r="E1457" t="s">
        <v>2118</v>
      </c>
      <c r="F1457" t="s">
        <v>1628</v>
      </c>
      <c r="G1457" t="s">
        <v>1629</v>
      </c>
      <c r="H1457" t="s">
        <v>26</v>
      </c>
      <c r="I1457" t="s">
        <v>2115</v>
      </c>
      <c r="J1457" t="s">
        <v>2110</v>
      </c>
      <c r="K1457">
        <v>91.2</v>
      </c>
      <c r="L1457">
        <f t="shared" si="44"/>
        <v>9120</v>
      </c>
      <c r="M1457">
        <f t="shared" si="45"/>
        <v>1824</v>
      </c>
    </row>
    <row r="1458" spans="1:13" x14ac:dyDescent="0.3">
      <c r="A1458">
        <v>1457</v>
      </c>
      <c r="B1458" t="s">
        <v>1627</v>
      </c>
      <c r="C1458" s="1">
        <v>43263</v>
      </c>
      <c r="D1458" s="1">
        <v>43270</v>
      </c>
      <c r="E1458" t="s">
        <v>2118</v>
      </c>
      <c r="F1458" t="s">
        <v>1628</v>
      </c>
      <c r="G1458" t="s">
        <v>1629</v>
      </c>
      <c r="H1458" t="s">
        <v>26</v>
      </c>
      <c r="I1458" t="s">
        <v>2115</v>
      </c>
      <c r="J1458" t="s">
        <v>2109</v>
      </c>
      <c r="K1458">
        <v>452.94</v>
      </c>
      <c r="L1458">
        <f t="shared" si="44"/>
        <v>45294</v>
      </c>
      <c r="M1458">
        <f t="shared" si="45"/>
        <v>9058.8000000000011</v>
      </c>
    </row>
    <row r="1459" spans="1:13" x14ac:dyDescent="0.3">
      <c r="A1459">
        <v>1458</v>
      </c>
      <c r="B1459" t="s">
        <v>1630</v>
      </c>
      <c r="C1459" s="1">
        <v>42599</v>
      </c>
      <c r="D1459" s="1">
        <v>42603</v>
      </c>
      <c r="E1459" t="s">
        <v>2118</v>
      </c>
      <c r="F1459" t="s">
        <v>1615</v>
      </c>
      <c r="G1459" t="s">
        <v>1616</v>
      </c>
      <c r="H1459" t="s">
        <v>10</v>
      </c>
      <c r="I1459" t="s">
        <v>2114</v>
      </c>
      <c r="J1459" t="s">
        <v>2110</v>
      </c>
      <c r="K1459">
        <v>52.2</v>
      </c>
      <c r="L1459">
        <f t="shared" si="44"/>
        <v>5220</v>
      </c>
      <c r="M1459">
        <f t="shared" si="45"/>
        <v>1044</v>
      </c>
    </row>
    <row r="1460" spans="1:13" x14ac:dyDescent="0.3">
      <c r="A1460">
        <v>1459</v>
      </c>
      <c r="B1460" t="s">
        <v>1631</v>
      </c>
      <c r="C1460" s="1">
        <v>43003</v>
      </c>
      <c r="D1460" s="1">
        <v>43009</v>
      </c>
      <c r="E1460" t="s">
        <v>2118</v>
      </c>
      <c r="F1460" t="s">
        <v>1632</v>
      </c>
      <c r="G1460" t="s">
        <v>1633</v>
      </c>
      <c r="H1460" t="s">
        <v>10</v>
      </c>
      <c r="I1460" t="s">
        <v>2117</v>
      </c>
      <c r="J1460" t="s">
        <v>2110</v>
      </c>
      <c r="K1460">
        <v>15.936</v>
      </c>
      <c r="L1460">
        <f t="shared" si="44"/>
        <v>1593.6</v>
      </c>
      <c r="M1460">
        <f t="shared" si="45"/>
        <v>318.72000000000003</v>
      </c>
    </row>
    <row r="1461" spans="1:13" x14ac:dyDescent="0.3">
      <c r="A1461">
        <v>1460</v>
      </c>
      <c r="B1461" t="s">
        <v>1634</v>
      </c>
      <c r="C1461" s="1">
        <v>42128</v>
      </c>
      <c r="D1461" s="1">
        <v>42128</v>
      </c>
      <c r="E1461" t="s">
        <v>2120</v>
      </c>
      <c r="F1461" t="s">
        <v>18</v>
      </c>
      <c r="G1461" t="s">
        <v>19</v>
      </c>
      <c r="H1461" t="s">
        <v>6</v>
      </c>
      <c r="I1461" t="s">
        <v>2114</v>
      </c>
      <c r="J1461" t="s">
        <v>2109</v>
      </c>
      <c r="K1461">
        <v>27.46</v>
      </c>
      <c r="L1461">
        <f t="shared" si="44"/>
        <v>2746</v>
      </c>
      <c r="M1461">
        <f t="shared" si="45"/>
        <v>549.20000000000005</v>
      </c>
    </row>
    <row r="1462" spans="1:13" x14ac:dyDescent="0.3">
      <c r="A1462">
        <v>1461</v>
      </c>
      <c r="B1462" t="s">
        <v>1635</v>
      </c>
      <c r="C1462" s="1">
        <v>42705</v>
      </c>
      <c r="D1462" s="1">
        <v>42712</v>
      </c>
      <c r="E1462" t="s">
        <v>2118</v>
      </c>
      <c r="F1462" t="s">
        <v>296</v>
      </c>
      <c r="G1462" t="s">
        <v>297</v>
      </c>
      <c r="H1462" t="s">
        <v>6</v>
      </c>
      <c r="I1462" t="s">
        <v>2112</v>
      </c>
      <c r="J1462" t="s">
        <v>2110</v>
      </c>
      <c r="K1462">
        <v>55.423999999999999</v>
      </c>
      <c r="L1462">
        <f t="shared" si="44"/>
        <v>5542.4</v>
      </c>
      <c r="M1462">
        <f t="shared" si="45"/>
        <v>1108.48</v>
      </c>
    </row>
    <row r="1463" spans="1:13" x14ac:dyDescent="0.3">
      <c r="A1463">
        <v>1462</v>
      </c>
      <c r="B1463" t="s">
        <v>1636</v>
      </c>
      <c r="C1463" s="1">
        <v>42805</v>
      </c>
      <c r="D1463" s="1">
        <v>42809</v>
      </c>
      <c r="E1463" t="s">
        <v>2118</v>
      </c>
      <c r="F1463" t="s">
        <v>1637</v>
      </c>
      <c r="G1463" t="s">
        <v>1638</v>
      </c>
      <c r="H1463" t="s">
        <v>6</v>
      </c>
      <c r="I1463" t="s">
        <v>2114</v>
      </c>
      <c r="J1463" t="s">
        <v>2109</v>
      </c>
      <c r="K1463">
        <v>244.006</v>
      </c>
      <c r="L1463">
        <f t="shared" si="44"/>
        <v>24400.6</v>
      </c>
      <c r="M1463">
        <f t="shared" si="45"/>
        <v>4880.12</v>
      </c>
    </row>
    <row r="1464" spans="1:13" x14ac:dyDescent="0.3">
      <c r="A1464">
        <v>1463</v>
      </c>
      <c r="B1464" t="s">
        <v>1639</v>
      </c>
      <c r="C1464" s="1">
        <v>42973</v>
      </c>
      <c r="D1464" s="1">
        <v>42975</v>
      </c>
      <c r="E1464" t="s">
        <v>2120</v>
      </c>
      <c r="F1464" t="s">
        <v>61</v>
      </c>
      <c r="G1464" t="s">
        <v>62</v>
      </c>
      <c r="H1464" t="s">
        <v>10</v>
      </c>
      <c r="I1464" t="s">
        <v>2117</v>
      </c>
      <c r="J1464" t="s">
        <v>2111</v>
      </c>
      <c r="K1464">
        <v>159.98400000000001</v>
      </c>
      <c r="L1464">
        <f t="shared" si="44"/>
        <v>15998.400000000001</v>
      </c>
      <c r="M1464">
        <f t="shared" si="45"/>
        <v>3199.6800000000003</v>
      </c>
    </row>
    <row r="1465" spans="1:13" x14ac:dyDescent="0.3">
      <c r="A1465">
        <v>1464</v>
      </c>
      <c r="B1465" t="s">
        <v>1639</v>
      </c>
      <c r="C1465" s="1">
        <v>42973</v>
      </c>
      <c r="D1465" s="1">
        <v>42975</v>
      </c>
      <c r="E1465" t="s">
        <v>2120</v>
      </c>
      <c r="F1465" t="s">
        <v>61</v>
      </c>
      <c r="G1465" t="s">
        <v>62</v>
      </c>
      <c r="H1465" t="s">
        <v>10</v>
      </c>
      <c r="I1465" t="s">
        <v>2117</v>
      </c>
      <c r="J1465" t="s">
        <v>2109</v>
      </c>
      <c r="K1465">
        <v>1024.7159999999999</v>
      </c>
      <c r="L1465">
        <f t="shared" si="44"/>
        <v>102471.59999999999</v>
      </c>
      <c r="M1465">
        <f t="shared" si="45"/>
        <v>20494.32</v>
      </c>
    </row>
    <row r="1466" spans="1:13" x14ac:dyDescent="0.3">
      <c r="A1466">
        <v>1465</v>
      </c>
      <c r="B1466" t="s">
        <v>1640</v>
      </c>
      <c r="C1466" s="1">
        <v>43085</v>
      </c>
      <c r="D1466" s="1">
        <v>43088</v>
      </c>
      <c r="E1466" t="s">
        <v>2120</v>
      </c>
      <c r="F1466" t="s">
        <v>1641</v>
      </c>
      <c r="G1466" t="s">
        <v>1642</v>
      </c>
      <c r="H1466" t="s">
        <v>10</v>
      </c>
      <c r="I1466" t="s">
        <v>2114</v>
      </c>
      <c r="J1466" t="s">
        <v>2110</v>
      </c>
      <c r="K1466">
        <v>3.68</v>
      </c>
      <c r="L1466">
        <f t="shared" si="44"/>
        <v>368</v>
      </c>
      <c r="M1466">
        <f t="shared" si="45"/>
        <v>73.600000000000009</v>
      </c>
    </row>
    <row r="1467" spans="1:13" x14ac:dyDescent="0.3">
      <c r="A1467">
        <v>1466</v>
      </c>
      <c r="B1467" t="s">
        <v>1643</v>
      </c>
      <c r="C1467" s="1">
        <v>42224</v>
      </c>
      <c r="D1467" s="1">
        <v>42230</v>
      </c>
      <c r="E1467" t="s">
        <v>2118</v>
      </c>
      <c r="F1467" t="s">
        <v>290</v>
      </c>
      <c r="G1467" t="s">
        <v>291</v>
      </c>
      <c r="H1467" t="s">
        <v>6</v>
      </c>
      <c r="I1467" t="s">
        <v>2112</v>
      </c>
      <c r="J1467" t="s">
        <v>2109</v>
      </c>
      <c r="K1467">
        <v>121.376</v>
      </c>
      <c r="L1467">
        <f t="shared" si="44"/>
        <v>12137.6</v>
      </c>
      <c r="M1467">
        <f t="shared" si="45"/>
        <v>2427.52</v>
      </c>
    </row>
    <row r="1468" spans="1:13" x14ac:dyDescent="0.3">
      <c r="A1468">
        <v>1467</v>
      </c>
      <c r="B1468" t="s">
        <v>1643</v>
      </c>
      <c r="C1468" s="1">
        <v>42224</v>
      </c>
      <c r="D1468" s="1">
        <v>42230</v>
      </c>
      <c r="E1468" t="s">
        <v>2118</v>
      </c>
      <c r="F1468" t="s">
        <v>290</v>
      </c>
      <c r="G1468" t="s">
        <v>291</v>
      </c>
      <c r="H1468" t="s">
        <v>6</v>
      </c>
      <c r="I1468" t="s">
        <v>2112</v>
      </c>
      <c r="J1468" t="s">
        <v>2111</v>
      </c>
      <c r="K1468">
        <v>95.975999999999999</v>
      </c>
      <c r="L1468">
        <f t="shared" si="44"/>
        <v>9597.6</v>
      </c>
      <c r="M1468">
        <f t="shared" si="45"/>
        <v>1919.5200000000002</v>
      </c>
    </row>
    <row r="1469" spans="1:13" x14ac:dyDescent="0.3">
      <c r="A1469">
        <v>1468</v>
      </c>
      <c r="B1469" t="s">
        <v>1644</v>
      </c>
      <c r="C1469" s="1">
        <v>42506</v>
      </c>
      <c r="D1469" s="1">
        <v>42506</v>
      </c>
      <c r="E1469" t="s">
        <v>2120</v>
      </c>
      <c r="F1469" t="s">
        <v>883</v>
      </c>
      <c r="G1469" t="s">
        <v>884</v>
      </c>
      <c r="H1469" t="s">
        <v>26</v>
      </c>
      <c r="I1469" t="s">
        <v>2115</v>
      </c>
      <c r="J1469" t="s">
        <v>2111</v>
      </c>
      <c r="K1469">
        <v>255.96799999999999</v>
      </c>
      <c r="L1469">
        <f t="shared" si="44"/>
        <v>25596.799999999999</v>
      </c>
      <c r="M1469">
        <f t="shared" si="45"/>
        <v>5119.3600000000006</v>
      </c>
    </row>
    <row r="1470" spans="1:13" x14ac:dyDescent="0.3">
      <c r="A1470">
        <v>1469</v>
      </c>
      <c r="B1470" t="s">
        <v>1645</v>
      </c>
      <c r="C1470" s="1">
        <v>43443</v>
      </c>
      <c r="D1470" s="1">
        <v>43447</v>
      </c>
      <c r="E1470" t="s">
        <v>2118</v>
      </c>
      <c r="F1470" t="s">
        <v>1598</v>
      </c>
      <c r="G1470" t="s">
        <v>1599</v>
      </c>
      <c r="H1470" t="s">
        <v>10</v>
      </c>
      <c r="I1470" t="s">
        <v>2117</v>
      </c>
      <c r="J1470" t="s">
        <v>2109</v>
      </c>
      <c r="K1470">
        <v>872.94</v>
      </c>
      <c r="L1470">
        <f t="shared" si="44"/>
        <v>87294</v>
      </c>
      <c r="M1470">
        <f t="shared" si="45"/>
        <v>17458.8</v>
      </c>
    </row>
    <row r="1471" spans="1:13" x14ac:dyDescent="0.3">
      <c r="A1471">
        <v>1470</v>
      </c>
      <c r="B1471" t="s">
        <v>1645</v>
      </c>
      <c r="C1471" s="1">
        <v>43443</v>
      </c>
      <c r="D1471" s="1">
        <v>43447</v>
      </c>
      <c r="E1471" t="s">
        <v>2118</v>
      </c>
      <c r="F1471" t="s">
        <v>1598</v>
      </c>
      <c r="G1471" t="s">
        <v>1599</v>
      </c>
      <c r="H1471" t="s">
        <v>10</v>
      </c>
      <c r="I1471" t="s">
        <v>2117</v>
      </c>
      <c r="J1471" t="s">
        <v>2110</v>
      </c>
      <c r="K1471">
        <v>41.54</v>
      </c>
      <c r="L1471">
        <f t="shared" si="44"/>
        <v>4154</v>
      </c>
      <c r="M1471">
        <f t="shared" si="45"/>
        <v>830.80000000000007</v>
      </c>
    </row>
    <row r="1472" spans="1:13" x14ac:dyDescent="0.3">
      <c r="A1472">
        <v>1471</v>
      </c>
      <c r="B1472" t="s">
        <v>1645</v>
      </c>
      <c r="C1472" s="1">
        <v>43443</v>
      </c>
      <c r="D1472" s="1">
        <v>43447</v>
      </c>
      <c r="E1472" t="s">
        <v>2118</v>
      </c>
      <c r="F1472" t="s">
        <v>1598</v>
      </c>
      <c r="G1472" t="s">
        <v>1599</v>
      </c>
      <c r="H1472" t="s">
        <v>10</v>
      </c>
      <c r="I1472" t="s">
        <v>2117</v>
      </c>
      <c r="J1472" t="s">
        <v>2110</v>
      </c>
      <c r="K1472">
        <v>12.96</v>
      </c>
      <c r="L1472">
        <f t="shared" si="44"/>
        <v>1296</v>
      </c>
      <c r="M1472">
        <f t="shared" si="45"/>
        <v>259.2</v>
      </c>
    </row>
    <row r="1473" spans="1:13" x14ac:dyDescent="0.3">
      <c r="A1473">
        <v>1472</v>
      </c>
      <c r="B1473" t="s">
        <v>1646</v>
      </c>
      <c r="C1473" s="1">
        <v>42637</v>
      </c>
      <c r="D1473" s="1">
        <v>42640</v>
      </c>
      <c r="E1473" t="s">
        <v>2119</v>
      </c>
      <c r="F1473" t="s">
        <v>70</v>
      </c>
      <c r="G1473" t="s">
        <v>71</v>
      </c>
      <c r="H1473" t="s">
        <v>10</v>
      </c>
      <c r="I1473" t="s">
        <v>2114</v>
      </c>
      <c r="J1473" t="s">
        <v>2110</v>
      </c>
      <c r="K1473">
        <v>6.8479999999999999</v>
      </c>
      <c r="L1473">
        <f t="shared" si="44"/>
        <v>684.8</v>
      </c>
      <c r="M1473">
        <f t="shared" si="45"/>
        <v>136.96</v>
      </c>
    </row>
    <row r="1474" spans="1:13" x14ac:dyDescent="0.3">
      <c r="A1474">
        <v>1473</v>
      </c>
      <c r="B1474" t="s">
        <v>1647</v>
      </c>
      <c r="C1474" s="1">
        <v>43292</v>
      </c>
      <c r="D1474" s="1">
        <v>43296</v>
      </c>
      <c r="E1474" t="s">
        <v>2118</v>
      </c>
      <c r="F1474" t="s">
        <v>1648</v>
      </c>
      <c r="G1474" t="s">
        <v>1649</v>
      </c>
      <c r="H1474" t="s">
        <v>10</v>
      </c>
      <c r="I1474" t="s">
        <v>2112</v>
      </c>
      <c r="J1474" t="s">
        <v>2110</v>
      </c>
      <c r="K1474">
        <v>8.67</v>
      </c>
      <c r="L1474">
        <f t="shared" ref="L1474:L1537" si="46">K1474*100</f>
        <v>867</v>
      </c>
      <c r="M1474">
        <f t="shared" si="45"/>
        <v>173.4</v>
      </c>
    </row>
    <row r="1475" spans="1:13" x14ac:dyDescent="0.3">
      <c r="A1475">
        <v>1474</v>
      </c>
      <c r="B1475" t="s">
        <v>1650</v>
      </c>
      <c r="C1475" s="1">
        <v>42705</v>
      </c>
      <c r="D1475" s="1">
        <v>42706</v>
      </c>
      <c r="E1475" t="s">
        <v>2120</v>
      </c>
      <c r="F1475" t="s">
        <v>1322</v>
      </c>
      <c r="G1475" t="s">
        <v>1323</v>
      </c>
      <c r="H1475" t="s">
        <v>6</v>
      </c>
      <c r="I1475" t="s">
        <v>2117</v>
      </c>
      <c r="J1475" t="s">
        <v>2109</v>
      </c>
      <c r="K1475">
        <v>6.6879999999999997</v>
      </c>
      <c r="L1475">
        <f t="shared" si="46"/>
        <v>668.8</v>
      </c>
      <c r="M1475">
        <f t="shared" ref="M1475:M1538" si="47">L1475*0.2</f>
        <v>133.76</v>
      </c>
    </row>
    <row r="1476" spans="1:13" x14ac:dyDescent="0.3">
      <c r="A1476">
        <v>1475</v>
      </c>
      <c r="B1476" t="s">
        <v>1651</v>
      </c>
      <c r="C1476" s="1">
        <v>43058</v>
      </c>
      <c r="D1476" s="1">
        <v>43064</v>
      </c>
      <c r="E1476" t="s">
        <v>2118</v>
      </c>
      <c r="F1476" t="s">
        <v>1652</v>
      </c>
      <c r="G1476" t="s">
        <v>1653</v>
      </c>
      <c r="H1476" t="s">
        <v>26</v>
      </c>
      <c r="I1476" t="s">
        <v>2114</v>
      </c>
      <c r="J1476" t="s">
        <v>2110</v>
      </c>
      <c r="K1476">
        <v>17.28</v>
      </c>
      <c r="L1476">
        <f t="shared" si="46"/>
        <v>1728</v>
      </c>
      <c r="M1476">
        <f t="shared" si="47"/>
        <v>345.6</v>
      </c>
    </row>
    <row r="1477" spans="1:13" x14ac:dyDescent="0.3">
      <c r="A1477">
        <v>1476</v>
      </c>
      <c r="B1477" t="s">
        <v>1651</v>
      </c>
      <c r="C1477" s="1">
        <v>43058</v>
      </c>
      <c r="D1477" s="1">
        <v>43064</v>
      </c>
      <c r="E1477" t="s">
        <v>2118</v>
      </c>
      <c r="F1477" t="s">
        <v>1652</v>
      </c>
      <c r="G1477" t="s">
        <v>1653</v>
      </c>
      <c r="H1477" t="s">
        <v>26</v>
      </c>
      <c r="I1477" t="s">
        <v>2114</v>
      </c>
      <c r="J1477" t="s">
        <v>2110</v>
      </c>
      <c r="K1477">
        <v>17.712</v>
      </c>
      <c r="L1477">
        <f t="shared" si="46"/>
        <v>1771.2</v>
      </c>
      <c r="M1477">
        <f t="shared" si="47"/>
        <v>354.24</v>
      </c>
    </row>
    <row r="1478" spans="1:13" x14ac:dyDescent="0.3">
      <c r="A1478">
        <v>1477</v>
      </c>
      <c r="B1478" t="s">
        <v>1654</v>
      </c>
      <c r="C1478" s="1">
        <v>43178</v>
      </c>
      <c r="D1478" s="1">
        <v>43183</v>
      </c>
      <c r="E1478" t="s">
        <v>2118</v>
      </c>
      <c r="F1478" t="s">
        <v>1139</v>
      </c>
      <c r="G1478" t="s">
        <v>1140</v>
      </c>
      <c r="H1478" t="s">
        <v>26</v>
      </c>
      <c r="I1478" t="s">
        <v>2114</v>
      </c>
      <c r="J1478" t="s">
        <v>2110</v>
      </c>
      <c r="K1478">
        <v>28.91</v>
      </c>
      <c r="L1478">
        <f t="shared" si="46"/>
        <v>2891</v>
      </c>
      <c r="M1478">
        <f t="shared" si="47"/>
        <v>578.20000000000005</v>
      </c>
    </row>
    <row r="1479" spans="1:13" x14ac:dyDescent="0.3">
      <c r="A1479">
        <v>1478</v>
      </c>
      <c r="B1479" t="s">
        <v>1655</v>
      </c>
      <c r="C1479" s="1">
        <v>43052</v>
      </c>
      <c r="D1479" s="1">
        <v>43056</v>
      </c>
      <c r="E1479" t="s">
        <v>2118</v>
      </c>
      <c r="F1479" t="s">
        <v>1656</v>
      </c>
      <c r="G1479" t="s">
        <v>1657</v>
      </c>
      <c r="H1479" t="s">
        <v>6</v>
      </c>
      <c r="I1479" t="s">
        <v>2115</v>
      </c>
      <c r="J1479" t="s">
        <v>2110</v>
      </c>
      <c r="K1479">
        <v>52.136000000000003</v>
      </c>
      <c r="L1479">
        <f t="shared" si="46"/>
        <v>5213.6000000000004</v>
      </c>
      <c r="M1479">
        <f t="shared" si="47"/>
        <v>1042.72</v>
      </c>
    </row>
    <row r="1480" spans="1:13" x14ac:dyDescent="0.3">
      <c r="A1480">
        <v>1479</v>
      </c>
      <c r="B1480" t="s">
        <v>1658</v>
      </c>
      <c r="C1480" s="1">
        <v>43423</v>
      </c>
      <c r="D1480" s="1">
        <v>43424</v>
      </c>
      <c r="E1480" t="s">
        <v>2120</v>
      </c>
      <c r="F1480" t="s">
        <v>142</v>
      </c>
      <c r="G1480" t="s">
        <v>143</v>
      </c>
      <c r="H1480" t="s">
        <v>6</v>
      </c>
      <c r="I1480" t="s">
        <v>2112</v>
      </c>
      <c r="J1480" t="s">
        <v>2111</v>
      </c>
      <c r="K1480">
        <v>31.968</v>
      </c>
      <c r="L1480">
        <f t="shared" si="46"/>
        <v>3196.8</v>
      </c>
      <c r="M1480">
        <f t="shared" si="47"/>
        <v>639.36000000000013</v>
      </c>
    </row>
    <row r="1481" spans="1:13" x14ac:dyDescent="0.3">
      <c r="A1481">
        <v>1480</v>
      </c>
      <c r="B1481" t="s">
        <v>1659</v>
      </c>
      <c r="C1481" s="1">
        <v>43071</v>
      </c>
      <c r="D1481" s="1">
        <v>43077</v>
      </c>
      <c r="E1481" t="s">
        <v>2118</v>
      </c>
      <c r="F1481" t="s">
        <v>561</v>
      </c>
      <c r="G1481" t="s">
        <v>562</v>
      </c>
      <c r="H1481" t="s">
        <v>6</v>
      </c>
      <c r="I1481" t="s">
        <v>2112</v>
      </c>
      <c r="J1481" t="s">
        <v>2110</v>
      </c>
      <c r="K1481">
        <v>25.92</v>
      </c>
      <c r="L1481">
        <f t="shared" si="46"/>
        <v>2592</v>
      </c>
      <c r="M1481">
        <f t="shared" si="47"/>
        <v>518.4</v>
      </c>
    </row>
    <row r="1482" spans="1:13" x14ac:dyDescent="0.3">
      <c r="A1482">
        <v>1481</v>
      </c>
      <c r="B1482" t="s">
        <v>1659</v>
      </c>
      <c r="C1482" s="1">
        <v>43071</v>
      </c>
      <c r="D1482" s="1">
        <v>43077</v>
      </c>
      <c r="E1482" t="s">
        <v>2118</v>
      </c>
      <c r="F1482" t="s">
        <v>561</v>
      </c>
      <c r="G1482" t="s">
        <v>562</v>
      </c>
      <c r="H1482" t="s">
        <v>6</v>
      </c>
      <c r="I1482" t="s">
        <v>2112</v>
      </c>
      <c r="J1482" t="s">
        <v>2110</v>
      </c>
      <c r="K1482">
        <v>40.46</v>
      </c>
      <c r="L1482">
        <f t="shared" si="46"/>
        <v>4046</v>
      </c>
      <c r="M1482">
        <f t="shared" si="47"/>
        <v>809.2</v>
      </c>
    </row>
    <row r="1483" spans="1:13" x14ac:dyDescent="0.3">
      <c r="A1483">
        <v>1482</v>
      </c>
      <c r="B1483" t="s">
        <v>1659</v>
      </c>
      <c r="C1483" s="1">
        <v>43071</v>
      </c>
      <c r="D1483" s="1">
        <v>43077</v>
      </c>
      <c r="E1483" t="s">
        <v>2118</v>
      </c>
      <c r="F1483" t="s">
        <v>561</v>
      </c>
      <c r="G1483" t="s">
        <v>562</v>
      </c>
      <c r="H1483" t="s">
        <v>6</v>
      </c>
      <c r="I1483" t="s">
        <v>2112</v>
      </c>
      <c r="J1483" t="s">
        <v>2110</v>
      </c>
      <c r="K1483">
        <v>33.869999999999997</v>
      </c>
      <c r="L1483">
        <f t="shared" si="46"/>
        <v>3386.9999999999995</v>
      </c>
      <c r="M1483">
        <f t="shared" si="47"/>
        <v>677.4</v>
      </c>
    </row>
    <row r="1484" spans="1:13" x14ac:dyDescent="0.3">
      <c r="A1484">
        <v>1483</v>
      </c>
      <c r="B1484" t="s">
        <v>1660</v>
      </c>
      <c r="C1484" s="1">
        <v>43337</v>
      </c>
      <c r="D1484" s="1">
        <v>43340</v>
      </c>
      <c r="E1484" t="s">
        <v>2119</v>
      </c>
      <c r="F1484" t="s">
        <v>1298</v>
      </c>
      <c r="G1484" t="s">
        <v>1299</v>
      </c>
      <c r="H1484" t="s">
        <v>6</v>
      </c>
      <c r="I1484" t="s">
        <v>2115</v>
      </c>
      <c r="J1484" t="s">
        <v>2110</v>
      </c>
      <c r="K1484">
        <v>9.7279999999999998</v>
      </c>
      <c r="L1484">
        <f t="shared" si="46"/>
        <v>972.8</v>
      </c>
      <c r="M1484">
        <f t="shared" si="47"/>
        <v>194.56</v>
      </c>
    </row>
    <row r="1485" spans="1:13" x14ac:dyDescent="0.3">
      <c r="A1485">
        <v>1484</v>
      </c>
      <c r="B1485" t="s">
        <v>1660</v>
      </c>
      <c r="C1485" s="1">
        <v>43337</v>
      </c>
      <c r="D1485" s="1">
        <v>43340</v>
      </c>
      <c r="E1485" t="s">
        <v>2119</v>
      </c>
      <c r="F1485" t="s">
        <v>1298</v>
      </c>
      <c r="G1485" t="s">
        <v>1299</v>
      </c>
      <c r="H1485" t="s">
        <v>6</v>
      </c>
      <c r="I1485" t="s">
        <v>2115</v>
      </c>
      <c r="J1485" t="s">
        <v>2110</v>
      </c>
      <c r="K1485">
        <v>3.4239999999999999</v>
      </c>
      <c r="L1485">
        <f t="shared" si="46"/>
        <v>342.4</v>
      </c>
      <c r="M1485">
        <f t="shared" si="47"/>
        <v>68.48</v>
      </c>
    </row>
    <row r="1486" spans="1:13" x14ac:dyDescent="0.3">
      <c r="A1486">
        <v>1485</v>
      </c>
      <c r="B1486" t="s">
        <v>1661</v>
      </c>
      <c r="C1486" s="1">
        <v>43022</v>
      </c>
      <c r="D1486" s="1">
        <v>43026</v>
      </c>
      <c r="E1486" t="s">
        <v>2118</v>
      </c>
      <c r="F1486" t="s">
        <v>941</v>
      </c>
      <c r="G1486" t="s">
        <v>942</v>
      </c>
      <c r="H1486" t="s">
        <v>10</v>
      </c>
      <c r="I1486" t="s">
        <v>2112</v>
      </c>
      <c r="J1486" t="s">
        <v>2111</v>
      </c>
      <c r="K1486">
        <v>177</v>
      </c>
      <c r="L1486">
        <f t="shared" si="46"/>
        <v>17700</v>
      </c>
      <c r="M1486">
        <f t="shared" si="47"/>
        <v>3540</v>
      </c>
    </row>
    <row r="1487" spans="1:13" x14ac:dyDescent="0.3">
      <c r="A1487">
        <v>1486</v>
      </c>
      <c r="B1487" t="s">
        <v>1662</v>
      </c>
      <c r="C1487" s="1">
        <v>42335</v>
      </c>
      <c r="D1487" s="1">
        <v>42341</v>
      </c>
      <c r="E1487" t="s">
        <v>2118</v>
      </c>
      <c r="F1487" t="s">
        <v>1663</v>
      </c>
      <c r="G1487" t="s">
        <v>1664</v>
      </c>
      <c r="H1487" t="s">
        <v>6</v>
      </c>
      <c r="I1487" t="s">
        <v>2114</v>
      </c>
      <c r="J1487" t="s">
        <v>2110</v>
      </c>
      <c r="K1487">
        <v>3.76</v>
      </c>
      <c r="L1487">
        <f t="shared" si="46"/>
        <v>376</v>
      </c>
      <c r="M1487">
        <f t="shared" si="47"/>
        <v>75.2</v>
      </c>
    </row>
    <row r="1488" spans="1:13" x14ac:dyDescent="0.3">
      <c r="A1488">
        <v>1487</v>
      </c>
      <c r="B1488" t="s">
        <v>1665</v>
      </c>
      <c r="C1488" s="1">
        <v>42677</v>
      </c>
      <c r="D1488" s="1">
        <v>42681</v>
      </c>
      <c r="E1488" t="s">
        <v>2118</v>
      </c>
      <c r="F1488" t="s">
        <v>1666</v>
      </c>
      <c r="G1488" t="s">
        <v>1667</v>
      </c>
      <c r="H1488" t="s">
        <v>26</v>
      </c>
      <c r="I1488" t="s">
        <v>2112</v>
      </c>
      <c r="J1488" t="s">
        <v>2111</v>
      </c>
      <c r="K1488">
        <v>1212.848</v>
      </c>
      <c r="L1488">
        <f t="shared" si="46"/>
        <v>121284.79999999999</v>
      </c>
      <c r="M1488">
        <f t="shared" si="47"/>
        <v>24256.959999999999</v>
      </c>
    </row>
    <row r="1489" spans="1:13" x14ac:dyDescent="0.3">
      <c r="A1489">
        <v>1488</v>
      </c>
      <c r="B1489" t="s">
        <v>1665</v>
      </c>
      <c r="C1489" s="1">
        <v>42677</v>
      </c>
      <c r="D1489" s="1">
        <v>42681</v>
      </c>
      <c r="E1489" t="s">
        <v>2118</v>
      </c>
      <c r="F1489" t="s">
        <v>1666</v>
      </c>
      <c r="G1489" t="s">
        <v>1667</v>
      </c>
      <c r="H1489" t="s">
        <v>26</v>
      </c>
      <c r="I1489" t="s">
        <v>2112</v>
      </c>
      <c r="J1489" t="s">
        <v>2111</v>
      </c>
      <c r="K1489">
        <v>89.97</v>
      </c>
      <c r="L1489">
        <f t="shared" si="46"/>
        <v>8997</v>
      </c>
      <c r="M1489">
        <f t="shared" si="47"/>
        <v>1799.4</v>
      </c>
    </row>
    <row r="1490" spans="1:13" x14ac:dyDescent="0.3">
      <c r="A1490">
        <v>1489</v>
      </c>
      <c r="B1490" t="s">
        <v>1665</v>
      </c>
      <c r="C1490" s="1">
        <v>42677</v>
      </c>
      <c r="D1490" s="1">
        <v>42681</v>
      </c>
      <c r="E1490" t="s">
        <v>2118</v>
      </c>
      <c r="F1490" t="s">
        <v>1666</v>
      </c>
      <c r="G1490" t="s">
        <v>1667</v>
      </c>
      <c r="H1490" t="s">
        <v>26</v>
      </c>
      <c r="I1490" t="s">
        <v>2112</v>
      </c>
      <c r="J1490" t="s">
        <v>2109</v>
      </c>
      <c r="K1490">
        <v>42.6</v>
      </c>
      <c r="L1490">
        <f t="shared" si="46"/>
        <v>4260</v>
      </c>
      <c r="M1490">
        <f t="shared" si="47"/>
        <v>852</v>
      </c>
    </row>
    <row r="1491" spans="1:13" x14ac:dyDescent="0.3">
      <c r="A1491">
        <v>1490</v>
      </c>
      <c r="B1491" t="s">
        <v>1668</v>
      </c>
      <c r="C1491" s="1">
        <v>42337</v>
      </c>
      <c r="D1491" s="1">
        <v>42344</v>
      </c>
      <c r="E1491" t="s">
        <v>2118</v>
      </c>
      <c r="F1491" t="s">
        <v>1669</v>
      </c>
      <c r="G1491" t="s">
        <v>1670</v>
      </c>
      <c r="H1491" t="s">
        <v>6</v>
      </c>
      <c r="I1491" t="s">
        <v>2114</v>
      </c>
      <c r="J1491" t="s">
        <v>2110</v>
      </c>
      <c r="K1491">
        <v>5.04</v>
      </c>
      <c r="L1491">
        <f t="shared" si="46"/>
        <v>504</v>
      </c>
      <c r="M1491">
        <f t="shared" si="47"/>
        <v>100.80000000000001</v>
      </c>
    </row>
    <row r="1492" spans="1:13" x14ac:dyDescent="0.3">
      <c r="A1492">
        <v>1491</v>
      </c>
      <c r="B1492" t="s">
        <v>1671</v>
      </c>
      <c r="C1492" s="1">
        <v>43220</v>
      </c>
      <c r="D1492" s="1">
        <v>43225</v>
      </c>
      <c r="E1492" t="s">
        <v>2119</v>
      </c>
      <c r="F1492" t="s">
        <v>1327</v>
      </c>
      <c r="G1492" t="s">
        <v>1328</v>
      </c>
      <c r="H1492" t="s">
        <v>10</v>
      </c>
      <c r="I1492" t="s">
        <v>2114</v>
      </c>
      <c r="J1492" t="s">
        <v>2110</v>
      </c>
      <c r="K1492">
        <v>62.96</v>
      </c>
      <c r="L1492">
        <f t="shared" si="46"/>
        <v>6296</v>
      </c>
      <c r="M1492">
        <f t="shared" si="47"/>
        <v>1259.2</v>
      </c>
    </row>
    <row r="1493" spans="1:13" x14ac:dyDescent="0.3">
      <c r="A1493">
        <v>1492</v>
      </c>
      <c r="B1493" t="s">
        <v>1672</v>
      </c>
      <c r="C1493" s="1">
        <v>43428</v>
      </c>
      <c r="D1493" s="1">
        <v>43432</v>
      </c>
      <c r="E1493" t="s">
        <v>2118</v>
      </c>
      <c r="F1493" t="s">
        <v>1673</v>
      </c>
      <c r="G1493" t="s">
        <v>1674</v>
      </c>
      <c r="H1493" t="s">
        <v>10</v>
      </c>
      <c r="I1493" t="s">
        <v>2114</v>
      </c>
      <c r="J1493" t="s">
        <v>2110</v>
      </c>
      <c r="K1493">
        <v>5.88</v>
      </c>
      <c r="L1493">
        <f t="shared" si="46"/>
        <v>588</v>
      </c>
      <c r="M1493">
        <f t="shared" si="47"/>
        <v>117.60000000000001</v>
      </c>
    </row>
    <row r="1494" spans="1:13" x14ac:dyDescent="0.3">
      <c r="A1494">
        <v>1493</v>
      </c>
      <c r="B1494" t="s">
        <v>1672</v>
      </c>
      <c r="C1494" s="1">
        <v>43428</v>
      </c>
      <c r="D1494" s="1">
        <v>43432</v>
      </c>
      <c r="E1494" t="s">
        <v>2118</v>
      </c>
      <c r="F1494" t="s">
        <v>1673</v>
      </c>
      <c r="G1494" t="s">
        <v>1674</v>
      </c>
      <c r="H1494" t="s">
        <v>10</v>
      </c>
      <c r="I1494" t="s">
        <v>2114</v>
      </c>
      <c r="J1494" t="s">
        <v>2109</v>
      </c>
      <c r="K1494">
        <v>977.29200000000003</v>
      </c>
      <c r="L1494">
        <f t="shared" si="46"/>
        <v>97729.2</v>
      </c>
      <c r="M1494">
        <f t="shared" si="47"/>
        <v>19545.84</v>
      </c>
    </row>
    <row r="1495" spans="1:13" x14ac:dyDescent="0.3">
      <c r="A1495">
        <v>1494</v>
      </c>
      <c r="B1495" t="s">
        <v>1675</v>
      </c>
      <c r="C1495" s="1">
        <v>43403</v>
      </c>
      <c r="D1495" s="1">
        <v>43407</v>
      </c>
      <c r="E1495" t="s">
        <v>2118</v>
      </c>
      <c r="F1495" t="s">
        <v>1676</v>
      </c>
      <c r="G1495" t="s">
        <v>1677</v>
      </c>
      <c r="H1495" t="s">
        <v>10</v>
      </c>
      <c r="I1495" t="s">
        <v>2112</v>
      </c>
      <c r="J1495" t="s">
        <v>2109</v>
      </c>
      <c r="K1495">
        <v>9.64</v>
      </c>
      <c r="L1495">
        <f t="shared" si="46"/>
        <v>964</v>
      </c>
      <c r="M1495">
        <f t="shared" si="47"/>
        <v>192.8</v>
      </c>
    </row>
    <row r="1496" spans="1:13" x14ac:dyDescent="0.3">
      <c r="A1496">
        <v>1495</v>
      </c>
      <c r="B1496" t="s">
        <v>1678</v>
      </c>
      <c r="C1496" s="1">
        <v>42355</v>
      </c>
      <c r="D1496" s="1">
        <v>42357</v>
      </c>
      <c r="E1496" t="s">
        <v>2119</v>
      </c>
      <c r="F1496" t="s">
        <v>526</v>
      </c>
      <c r="G1496" t="s">
        <v>527</v>
      </c>
      <c r="H1496" t="s">
        <v>6</v>
      </c>
      <c r="I1496" t="s">
        <v>2115</v>
      </c>
      <c r="J1496" t="s">
        <v>2110</v>
      </c>
      <c r="K1496">
        <v>40.049999999999997</v>
      </c>
      <c r="L1496">
        <f t="shared" si="46"/>
        <v>4004.9999999999995</v>
      </c>
      <c r="M1496">
        <f t="shared" si="47"/>
        <v>801</v>
      </c>
    </row>
    <row r="1497" spans="1:13" x14ac:dyDescent="0.3">
      <c r="A1497">
        <v>1496</v>
      </c>
      <c r="B1497" t="s">
        <v>1679</v>
      </c>
      <c r="C1497" s="1">
        <v>43347</v>
      </c>
      <c r="D1497" s="1">
        <v>43351</v>
      </c>
      <c r="E1497" t="s">
        <v>2118</v>
      </c>
      <c r="F1497" t="s">
        <v>1680</v>
      </c>
      <c r="G1497" t="s">
        <v>1681</v>
      </c>
      <c r="H1497" t="s">
        <v>6</v>
      </c>
      <c r="I1497" t="s">
        <v>2117</v>
      </c>
      <c r="J1497" t="s">
        <v>2110</v>
      </c>
      <c r="K1497">
        <v>10.192</v>
      </c>
      <c r="L1497">
        <f t="shared" si="46"/>
        <v>1019.2</v>
      </c>
      <c r="M1497">
        <f t="shared" si="47"/>
        <v>203.84000000000003</v>
      </c>
    </row>
    <row r="1498" spans="1:13" x14ac:dyDescent="0.3">
      <c r="A1498">
        <v>1497</v>
      </c>
      <c r="B1498" t="s">
        <v>1679</v>
      </c>
      <c r="C1498" s="1">
        <v>43347</v>
      </c>
      <c r="D1498" s="1">
        <v>43351</v>
      </c>
      <c r="E1498" t="s">
        <v>2118</v>
      </c>
      <c r="F1498" t="s">
        <v>1680</v>
      </c>
      <c r="G1498" t="s">
        <v>1681</v>
      </c>
      <c r="H1498" t="s">
        <v>6</v>
      </c>
      <c r="I1498" t="s">
        <v>2117</v>
      </c>
      <c r="J1498" t="s">
        <v>2110</v>
      </c>
      <c r="K1498">
        <v>16.783999999999999</v>
      </c>
      <c r="L1498">
        <f t="shared" si="46"/>
        <v>1678.3999999999999</v>
      </c>
      <c r="M1498">
        <f t="shared" si="47"/>
        <v>335.68</v>
      </c>
    </row>
    <row r="1499" spans="1:13" x14ac:dyDescent="0.3">
      <c r="A1499">
        <v>1498</v>
      </c>
      <c r="B1499" t="s">
        <v>1679</v>
      </c>
      <c r="C1499" s="1">
        <v>43347</v>
      </c>
      <c r="D1499" s="1">
        <v>43351</v>
      </c>
      <c r="E1499" t="s">
        <v>2118</v>
      </c>
      <c r="F1499" t="s">
        <v>1680</v>
      </c>
      <c r="G1499" t="s">
        <v>1681</v>
      </c>
      <c r="H1499" t="s">
        <v>6</v>
      </c>
      <c r="I1499" t="s">
        <v>2117</v>
      </c>
      <c r="J1499" t="s">
        <v>2110</v>
      </c>
      <c r="K1499">
        <v>13.12</v>
      </c>
      <c r="L1499">
        <f t="shared" si="46"/>
        <v>1312</v>
      </c>
      <c r="M1499">
        <f t="shared" si="47"/>
        <v>262.40000000000003</v>
      </c>
    </row>
    <row r="1500" spans="1:13" x14ac:dyDescent="0.3">
      <c r="A1500">
        <v>1499</v>
      </c>
      <c r="B1500" t="s">
        <v>1682</v>
      </c>
      <c r="C1500" s="1">
        <v>43025</v>
      </c>
      <c r="D1500" s="1">
        <v>43028</v>
      </c>
      <c r="E1500" t="s">
        <v>2120</v>
      </c>
      <c r="F1500" t="s">
        <v>223</v>
      </c>
      <c r="G1500" t="s">
        <v>224</v>
      </c>
      <c r="H1500" t="s">
        <v>26</v>
      </c>
      <c r="I1500" t="s">
        <v>2112</v>
      </c>
      <c r="J1500" t="s">
        <v>2110</v>
      </c>
      <c r="K1500">
        <v>18.16</v>
      </c>
      <c r="L1500">
        <f t="shared" si="46"/>
        <v>1816</v>
      </c>
      <c r="M1500">
        <f t="shared" si="47"/>
        <v>363.20000000000005</v>
      </c>
    </row>
    <row r="1501" spans="1:13" x14ac:dyDescent="0.3">
      <c r="A1501">
        <v>1500</v>
      </c>
      <c r="B1501" t="s">
        <v>1683</v>
      </c>
      <c r="C1501" s="1">
        <v>43416</v>
      </c>
      <c r="D1501" s="1">
        <v>43422</v>
      </c>
      <c r="E1501" t="s">
        <v>2118</v>
      </c>
      <c r="F1501" t="s">
        <v>500</v>
      </c>
      <c r="G1501" t="s">
        <v>501</v>
      </c>
      <c r="H1501" t="s">
        <v>6</v>
      </c>
      <c r="I1501" t="s">
        <v>2117</v>
      </c>
      <c r="J1501" t="s">
        <v>2110</v>
      </c>
      <c r="K1501">
        <v>16.056000000000001</v>
      </c>
      <c r="L1501">
        <f t="shared" si="46"/>
        <v>1605.6000000000001</v>
      </c>
      <c r="M1501">
        <f t="shared" si="47"/>
        <v>321.12000000000006</v>
      </c>
    </row>
    <row r="1502" spans="1:13" x14ac:dyDescent="0.3">
      <c r="A1502">
        <v>1501</v>
      </c>
      <c r="B1502" t="s">
        <v>1683</v>
      </c>
      <c r="C1502" s="1">
        <v>43416</v>
      </c>
      <c r="D1502" s="1">
        <v>43422</v>
      </c>
      <c r="E1502" t="s">
        <v>2118</v>
      </c>
      <c r="F1502" t="s">
        <v>500</v>
      </c>
      <c r="G1502" t="s">
        <v>501</v>
      </c>
      <c r="H1502" t="s">
        <v>6</v>
      </c>
      <c r="I1502" t="s">
        <v>2117</v>
      </c>
      <c r="J1502" t="s">
        <v>2110</v>
      </c>
      <c r="K1502">
        <v>223.05600000000001</v>
      </c>
      <c r="L1502">
        <f t="shared" si="46"/>
        <v>22305.600000000002</v>
      </c>
      <c r="M1502">
        <f t="shared" si="47"/>
        <v>4461.1200000000008</v>
      </c>
    </row>
    <row r="1503" spans="1:13" x14ac:dyDescent="0.3">
      <c r="A1503">
        <v>1502</v>
      </c>
      <c r="B1503" t="s">
        <v>1683</v>
      </c>
      <c r="C1503" s="1">
        <v>43416</v>
      </c>
      <c r="D1503" s="1">
        <v>43422</v>
      </c>
      <c r="E1503" t="s">
        <v>2118</v>
      </c>
      <c r="F1503" t="s">
        <v>500</v>
      </c>
      <c r="G1503" t="s">
        <v>501</v>
      </c>
      <c r="H1503" t="s">
        <v>6</v>
      </c>
      <c r="I1503" t="s">
        <v>2117</v>
      </c>
      <c r="J1503" t="s">
        <v>2110</v>
      </c>
      <c r="K1503">
        <v>540.048</v>
      </c>
      <c r="L1503">
        <f t="shared" si="46"/>
        <v>54004.800000000003</v>
      </c>
      <c r="M1503">
        <f t="shared" si="47"/>
        <v>10800.960000000001</v>
      </c>
    </row>
    <row r="1504" spans="1:13" x14ac:dyDescent="0.3">
      <c r="A1504">
        <v>1503</v>
      </c>
      <c r="B1504" t="s">
        <v>1684</v>
      </c>
      <c r="C1504" s="1">
        <v>43063</v>
      </c>
      <c r="D1504" s="1">
        <v>43070</v>
      </c>
      <c r="E1504" t="s">
        <v>2118</v>
      </c>
      <c r="F1504" t="s">
        <v>1369</v>
      </c>
      <c r="G1504" t="s">
        <v>1370</v>
      </c>
      <c r="H1504" t="s">
        <v>26</v>
      </c>
      <c r="I1504" t="s">
        <v>2112</v>
      </c>
      <c r="J1504" t="s">
        <v>2111</v>
      </c>
      <c r="K1504">
        <v>33.520000000000003</v>
      </c>
      <c r="L1504">
        <f t="shared" si="46"/>
        <v>3352.0000000000005</v>
      </c>
      <c r="M1504">
        <f t="shared" si="47"/>
        <v>670.40000000000009</v>
      </c>
    </row>
    <row r="1505" spans="1:13" x14ac:dyDescent="0.3">
      <c r="A1505">
        <v>1504</v>
      </c>
      <c r="B1505" t="s">
        <v>1684</v>
      </c>
      <c r="C1505" s="1">
        <v>43063</v>
      </c>
      <c r="D1505" s="1">
        <v>43070</v>
      </c>
      <c r="E1505" t="s">
        <v>2118</v>
      </c>
      <c r="F1505" t="s">
        <v>1369</v>
      </c>
      <c r="G1505" t="s">
        <v>1370</v>
      </c>
      <c r="H1505" t="s">
        <v>26</v>
      </c>
      <c r="I1505" t="s">
        <v>2112</v>
      </c>
      <c r="J1505" t="s">
        <v>2109</v>
      </c>
      <c r="K1505">
        <v>9.94</v>
      </c>
      <c r="L1505">
        <f t="shared" si="46"/>
        <v>994</v>
      </c>
      <c r="M1505">
        <f t="shared" si="47"/>
        <v>198.8</v>
      </c>
    </row>
    <row r="1506" spans="1:13" x14ac:dyDescent="0.3">
      <c r="A1506">
        <v>1505</v>
      </c>
      <c r="B1506" t="s">
        <v>1685</v>
      </c>
      <c r="C1506" s="1">
        <v>42583</v>
      </c>
      <c r="D1506" s="1">
        <v>42589</v>
      </c>
      <c r="E1506" t="s">
        <v>2118</v>
      </c>
      <c r="F1506" t="s">
        <v>1686</v>
      </c>
      <c r="G1506" t="s">
        <v>1687</v>
      </c>
      <c r="H1506" t="s">
        <v>26</v>
      </c>
      <c r="I1506" t="s">
        <v>2112</v>
      </c>
      <c r="J1506" t="s">
        <v>2110</v>
      </c>
      <c r="K1506">
        <v>6.72</v>
      </c>
      <c r="L1506">
        <f t="shared" si="46"/>
        <v>672</v>
      </c>
      <c r="M1506">
        <f t="shared" si="47"/>
        <v>134.4</v>
      </c>
    </row>
    <row r="1507" spans="1:13" x14ac:dyDescent="0.3">
      <c r="A1507">
        <v>1506</v>
      </c>
      <c r="B1507" t="s">
        <v>1685</v>
      </c>
      <c r="C1507" s="1">
        <v>42583</v>
      </c>
      <c r="D1507" s="1">
        <v>42589</v>
      </c>
      <c r="E1507" t="s">
        <v>2118</v>
      </c>
      <c r="F1507" t="s">
        <v>1686</v>
      </c>
      <c r="G1507" t="s">
        <v>1687</v>
      </c>
      <c r="H1507" t="s">
        <v>26</v>
      </c>
      <c r="I1507" t="s">
        <v>2112</v>
      </c>
      <c r="J1507" t="s">
        <v>2109</v>
      </c>
      <c r="K1507">
        <v>1004.976</v>
      </c>
      <c r="L1507">
        <f t="shared" si="46"/>
        <v>100497.60000000001</v>
      </c>
      <c r="M1507">
        <f t="shared" si="47"/>
        <v>20099.520000000004</v>
      </c>
    </row>
    <row r="1508" spans="1:13" x14ac:dyDescent="0.3">
      <c r="A1508">
        <v>1507</v>
      </c>
      <c r="B1508" t="s">
        <v>1688</v>
      </c>
      <c r="C1508" s="1">
        <v>43458</v>
      </c>
      <c r="D1508" s="1">
        <v>43463</v>
      </c>
      <c r="E1508" t="s">
        <v>2118</v>
      </c>
      <c r="F1508" t="s">
        <v>1689</v>
      </c>
      <c r="G1508" t="s">
        <v>1690</v>
      </c>
      <c r="H1508" t="s">
        <v>6</v>
      </c>
      <c r="I1508" t="s">
        <v>2114</v>
      </c>
      <c r="J1508" t="s">
        <v>2110</v>
      </c>
      <c r="K1508">
        <v>17.88</v>
      </c>
      <c r="L1508">
        <f t="shared" si="46"/>
        <v>1788</v>
      </c>
      <c r="M1508">
        <f t="shared" si="47"/>
        <v>357.6</v>
      </c>
    </row>
    <row r="1509" spans="1:13" x14ac:dyDescent="0.3">
      <c r="A1509">
        <v>1508</v>
      </c>
      <c r="B1509" t="s">
        <v>1691</v>
      </c>
      <c r="C1509" s="1">
        <v>42995</v>
      </c>
      <c r="D1509" s="1">
        <v>43001</v>
      </c>
      <c r="E1509" t="s">
        <v>2118</v>
      </c>
      <c r="F1509" t="s">
        <v>1656</v>
      </c>
      <c r="G1509" t="s">
        <v>1657</v>
      </c>
      <c r="H1509" t="s">
        <v>6</v>
      </c>
      <c r="I1509" t="s">
        <v>2115</v>
      </c>
      <c r="J1509" t="s">
        <v>2111</v>
      </c>
      <c r="K1509">
        <v>396</v>
      </c>
      <c r="L1509">
        <f t="shared" si="46"/>
        <v>39600</v>
      </c>
      <c r="M1509">
        <f t="shared" si="47"/>
        <v>7920</v>
      </c>
    </row>
    <row r="1510" spans="1:13" x14ac:dyDescent="0.3">
      <c r="A1510">
        <v>1509</v>
      </c>
      <c r="B1510" t="s">
        <v>1692</v>
      </c>
      <c r="C1510" s="1">
        <v>43444</v>
      </c>
      <c r="D1510" s="1">
        <v>43444</v>
      </c>
      <c r="E1510" t="s">
        <v>2120</v>
      </c>
      <c r="F1510" t="s">
        <v>190</v>
      </c>
      <c r="G1510" t="s">
        <v>191</v>
      </c>
      <c r="H1510" t="s">
        <v>26</v>
      </c>
      <c r="I1510" t="s">
        <v>2117</v>
      </c>
      <c r="J1510" t="s">
        <v>2110</v>
      </c>
      <c r="K1510">
        <v>34.5</v>
      </c>
      <c r="L1510">
        <f t="shared" si="46"/>
        <v>3450</v>
      </c>
      <c r="M1510">
        <f t="shared" si="47"/>
        <v>690</v>
      </c>
    </row>
    <row r="1511" spans="1:13" x14ac:dyDescent="0.3">
      <c r="A1511">
        <v>1510</v>
      </c>
      <c r="B1511" t="s">
        <v>1693</v>
      </c>
      <c r="C1511" s="1">
        <v>43355</v>
      </c>
      <c r="D1511" s="1">
        <v>43358</v>
      </c>
      <c r="E1511" t="s">
        <v>2120</v>
      </c>
      <c r="F1511" t="s">
        <v>1129</v>
      </c>
      <c r="G1511" t="s">
        <v>1130</v>
      </c>
      <c r="H1511" t="s">
        <v>6</v>
      </c>
      <c r="I1511" t="s">
        <v>2112</v>
      </c>
      <c r="J1511" t="s">
        <v>2109</v>
      </c>
      <c r="K1511">
        <v>8.36</v>
      </c>
      <c r="L1511">
        <f t="shared" si="46"/>
        <v>836</v>
      </c>
      <c r="M1511">
        <f t="shared" si="47"/>
        <v>167.20000000000002</v>
      </c>
    </row>
    <row r="1512" spans="1:13" x14ac:dyDescent="0.3">
      <c r="A1512">
        <v>1511</v>
      </c>
      <c r="B1512" t="s">
        <v>1694</v>
      </c>
      <c r="C1512" s="1">
        <v>43275</v>
      </c>
      <c r="D1512" s="1">
        <v>43282</v>
      </c>
      <c r="E1512" t="s">
        <v>2118</v>
      </c>
      <c r="F1512" t="s">
        <v>1632</v>
      </c>
      <c r="G1512" t="s">
        <v>1633</v>
      </c>
      <c r="H1512" t="s">
        <v>10</v>
      </c>
      <c r="I1512" t="s">
        <v>2112</v>
      </c>
      <c r="J1512" t="s">
        <v>2110</v>
      </c>
      <c r="K1512">
        <v>385.6</v>
      </c>
      <c r="L1512">
        <f t="shared" si="46"/>
        <v>38560</v>
      </c>
      <c r="M1512">
        <f t="shared" si="47"/>
        <v>7712</v>
      </c>
    </row>
    <row r="1513" spans="1:13" x14ac:dyDescent="0.3">
      <c r="A1513">
        <v>1512</v>
      </c>
      <c r="B1513" t="s">
        <v>1694</v>
      </c>
      <c r="C1513" s="1">
        <v>43275</v>
      </c>
      <c r="D1513" s="1">
        <v>43282</v>
      </c>
      <c r="E1513" t="s">
        <v>2118</v>
      </c>
      <c r="F1513" t="s">
        <v>1632</v>
      </c>
      <c r="G1513" t="s">
        <v>1633</v>
      </c>
      <c r="H1513" t="s">
        <v>10</v>
      </c>
      <c r="I1513" t="s">
        <v>2112</v>
      </c>
      <c r="J1513" t="s">
        <v>2110</v>
      </c>
      <c r="K1513">
        <v>35.82</v>
      </c>
      <c r="L1513">
        <f t="shared" si="46"/>
        <v>3582</v>
      </c>
      <c r="M1513">
        <f t="shared" si="47"/>
        <v>716.40000000000009</v>
      </c>
    </row>
    <row r="1514" spans="1:13" x14ac:dyDescent="0.3">
      <c r="A1514">
        <v>1513</v>
      </c>
      <c r="B1514" t="s">
        <v>1695</v>
      </c>
      <c r="C1514" s="1">
        <v>43330</v>
      </c>
      <c r="D1514" s="1">
        <v>43334</v>
      </c>
      <c r="E1514" t="s">
        <v>2118</v>
      </c>
      <c r="F1514" t="s">
        <v>485</v>
      </c>
      <c r="G1514" t="s">
        <v>486</v>
      </c>
      <c r="H1514" t="s">
        <v>6</v>
      </c>
      <c r="I1514" t="s">
        <v>2117</v>
      </c>
      <c r="J1514" t="s">
        <v>2110</v>
      </c>
      <c r="K1514">
        <v>200.06399999999999</v>
      </c>
      <c r="L1514">
        <f t="shared" si="46"/>
        <v>20006.399999999998</v>
      </c>
      <c r="M1514">
        <f t="shared" si="47"/>
        <v>4001.2799999999997</v>
      </c>
    </row>
    <row r="1515" spans="1:13" x14ac:dyDescent="0.3">
      <c r="A1515">
        <v>1514</v>
      </c>
      <c r="B1515" t="s">
        <v>1695</v>
      </c>
      <c r="C1515" s="1">
        <v>43330</v>
      </c>
      <c r="D1515" s="1">
        <v>43334</v>
      </c>
      <c r="E1515" t="s">
        <v>2118</v>
      </c>
      <c r="F1515" t="s">
        <v>485</v>
      </c>
      <c r="G1515" t="s">
        <v>486</v>
      </c>
      <c r="H1515" t="s">
        <v>6</v>
      </c>
      <c r="I1515" t="s">
        <v>2117</v>
      </c>
      <c r="J1515" t="s">
        <v>2110</v>
      </c>
      <c r="K1515">
        <v>21.38</v>
      </c>
      <c r="L1515">
        <f t="shared" si="46"/>
        <v>2138</v>
      </c>
      <c r="M1515">
        <f t="shared" si="47"/>
        <v>427.6</v>
      </c>
    </row>
    <row r="1516" spans="1:13" x14ac:dyDescent="0.3">
      <c r="A1516">
        <v>1515</v>
      </c>
      <c r="B1516" t="s">
        <v>1695</v>
      </c>
      <c r="C1516" s="1">
        <v>43330</v>
      </c>
      <c r="D1516" s="1">
        <v>43334</v>
      </c>
      <c r="E1516" t="s">
        <v>2118</v>
      </c>
      <c r="F1516" t="s">
        <v>485</v>
      </c>
      <c r="G1516" t="s">
        <v>486</v>
      </c>
      <c r="H1516" t="s">
        <v>6</v>
      </c>
      <c r="I1516" t="s">
        <v>2117</v>
      </c>
      <c r="J1516" t="s">
        <v>2110</v>
      </c>
      <c r="K1516">
        <v>6.7439999999999998</v>
      </c>
      <c r="L1516">
        <f t="shared" si="46"/>
        <v>674.4</v>
      </c>
      <c r="M1516">
        <f t="shared" si="47"/>
        <v>134.88</v>
      </c>
    </row>
    <row r="1517" spans="1:13" x14ac:dyDescent="0.3">
      <c r="A1517">
        <v>1516</v>
      </c>
      <c r="B1517" t="s">
        <v>1696</v>
      </c>
      <c r="C1517" s="1">
        <v>43445</v>
      </c>
      <c r="D1517" s="1">
        <v>43451</v>
      </c>
      <c r="E1517" t="s">
        <v>2118</v>
      </c>
      <c r="F1517" t="s">
        <v>1697</v>
      </c>
      <c r="G1517" t="s">
        <v>1698</v>
      </c>
      <c r="H1517" t="s">
        <v>6</v>
      </c>
      <c r="I1517" t="s">
        <v>2114</v>
      </c>
      <c r="J1517" t="s">
        <v>2109</v>
      </c>
      <c r="K1517">
        <v>63.686</v>
      </c>
      <c r="L1517">
        <f t="shared" si="46"/>
        <v>6368.6</v>
      </c>
      <c r="M1517">
        <f t="shared" si="47"/>
        <v>1273.7200000000003</v>
      </c>
    </row>
    <row r="1518" spans="1:13" x14ac:dyDescent="0.3">
      <c r="A1518">
        <v>1517</v>
      </c>
      <c r="B1518" t="s">
        <v>1699</v>
      </c>
      <c r="C1518" s="1">
        <v>43444</v>
      </c>
      <c r="D1518" s="1">
        <v>43448</v>
      </c>
      <c r="E1518" t="s">
        <v>2119</v>
      </c>
      <c r="F1518" t="s">
        <v>857</v>
      </c>
      <c r="G1518" t="s">
        <v>858</v>
      </c>
      <c r="H1518" t="s">
        <v>6</v>
      </c>
      <c r="I1518" t="s">
        <v>2112</v>
      </c>
      <c r="J1518" t="s">
        <v>2109</v>
      </c>
      <c r="K1518">
        <v>1669.6</v>
      </c>
      <c r="L1518">
        <f t="shared" si="46"/>
        <v>166960</v>
      </c>
      <c r="M1518">
        <f t="shared" si="47"/>
        <v>33392</v>
      </c>
    </row>
    <row r="1519" spans="1:13" x14ac:dyDescent="0.3">
      <c r="A1519">
        <v>1518</v>
      </c>
      <c r="B1519" t="s">
        <v>1700</v>
      </c>
      <c r="C1519" s="1">
        <v>42038</v>
      </c>
      <c r="D1519" s="1">
        <v>42041</v>
      </c>
      <c r="E1519" t="s">
        <v>2119</v>
      </c>
      <c r="F1519" t="s">
        <v>1701</v>
      </c>
      <c r="G1519" t="s">
        <v>1702</v>
      </c>
      <c r="H1519" t="s">
        <v>6</v>
      </c>
      <c r="I1519" t="s">
        <v>2112</v>
      </c>
      <c r="J1519" t="s">
        <v>2110</v>
      </c>
      <c r="K1519">
        <v>83.84</v>
      </c>
      <c r="L1519">
        <f t="shared" si="46"/>
        <v>8384</v>
      </c>
      <c r="M1519">
        <f t="shared" si="47"/>
        <v>1676.8000000000002</v>
      </c>
    </row>
    <row r="1520" spans="1:13" x14ac:dyDescent="0.3">
      <c r="A1520">
        <v>1519</v>
      </c>
      <c r="B1520" t="s">
        <v>1700</v>
      </c>
      <c r="C1520" s="1">
        <v>42038</v>
      </c>
      <c r="D1520" s="1">
        <v>42041</v>
      </c>
      <c r="E1520" t="s">
        <v>2119</v>
      </c>
      <c r="F1520" t="s">
        <v>1701</v>
      </c>
      <c r="G1520" t="s">
        <v>1702</v>
      </c>
      <c r="H1520" t="s">
        <v>6</v>
      </c>
      <c r="I1520" t="s">
        <v>2112</v>
      </c>
      <c r="J1520" t="s">
        <v>2110</v>
      </c>
      <c r="K1520">
        <v>13.272</v>
      </c>
      <c r="L1520">
        <f t="shared" si="46"/>
        <v>1327.2</v>
      </c>
      <c r="M1520">
        <f t="shared" si="47"/>
        <v>265.44</v>
      </c>
    </row>
    <row r="1521" spans="1:13" x14ac:dyDescent="0.3">
      <c r="A1521">
        <v>1520</v>
      </c>
      <c r="B1521" t="s">
        <v>1703</v>
      </c>
      <c r="C1521" s="1">
        <v>43142</v>
      </c>
      <c r="D1521" s="1">
        <v>43145</v>
      </c>
      <c r="E1521" t="s">
        <v>2119</v>
      </c>
      <c r="F1521" t="s">
        <v>311</v>
      </c>
      <c r="G1521" t="s">
        <v>312</v>
      </c>
      <c r="H1521" t="s">
        <v>10</v>
      </c>
      <c r="I1521" t="s">
        <v>2112</v>
      </c>
      <c r="J1521" t="s">
        <v>2110</v>
      </c>
      <c r="K1521">
        <v>21.335999999999999</v>
      </c>
      <c r="L1521">
        <f t="shared" si="46"/>
        <v>2133.6</v>
      </c>
      <c r="M1521">
        <f t="shared" si="47"/>
        <v>426.72</v>
      </c>
    </row>
    <row r="1522" spans="1:13" x14ac:dyDescent="0.3">
      <c r="A1522">
        <v>1521</v>
      </c>
      <c r="B1522" t="s">
        <v>1704</v>
      </c>
      <c r="C1522" s="1">
        <v>43206</v>
      </c>
      <c r="D1522" s="1">
        <v>43211</v>
      </c>
      <c r="E1522" t="s">
        <v>2118</v>
      </c>
      <c r="F1522" t="s">
        <v>1705</v>
      </c>
      <c r="G1522" t="s">
        <v>1706</v>
      </c>
      <c r="H1522" t="s">
        <v>26</v>
      </c>
      <c r="I1522" t="s">
        <v>2117</v>
      </c>
      <c r="J1522" t="s">
        <v>2110</v>
      </c>
      <c r="K1522">
        <v>16.52</v>
      </c>
      <c r="L1522">
        <f t="shared" si="46"/>
        <v>1652</v>
      </c>
      <c r="M1522">
        <f t="shared" si="47"/>
        <v>330.40000000000003</v>
      </c>
    </row>
    <row r="1523" spans="1:13" x14ac:dyDescent="0.3">
      <c r="A1523">
        <v>1522</v>
      </c>
      <c r="B1523" t="s">
        <v>1707</v>
      </c>
      <c r="C1523" s="1">
        <v>42710</v>
      </c>
      <c r="D1523" s="1">
        <v>42715</v>
      </c>
      <c r="E1523" t="s">
        <v>2118</v>
      </c>
      <c r="F1523" t="s">
        <v>1708</v>
      </c>
      <c r="G1523" t="s">
        <v>1709</v>
      </c>
      <c r="H1523" t="s">
        <v>6</v>
      </c>
      <c r="I1523" t="s">
        <v>2112</v>
      </c>
      <c r="J1523" t="s">
        <v>2109</v>
      </c>
      <c r="K1523">
        <v>206.11199999999999</v>
      </c>
      <c r="L1523">
        <f t="shared" si="46"/>
        <v>20611.2</v>
      </c>
      <c r="M1523">
        <f t="shared" si="47"/>
        <v>4122.2400000000007</v>
      </c>
    </row>
    <row r="1524" spans="1:13" x14ac:dyDescent="0.3">
      <c r="A1524">
        <v>1523</v>
      </c>
      <c r="B1524" t="s">
        <v>1707</v>
      </c>
      <c r="C1524" s="1">
        <v>42710</v>
      </c>
      <c r="D1524" s="1">
        <v>42715</v>
      </c>
      <c r="E1524" t="s">
        <v>2118</v>
      </c>
      <c r="F1524" t="s">
        <v>1708</v>
      </c>
      <c r="G1524" t="s">
        <v>1709</v>
      </c>
      <c r="H1524" t="s">
        <v>6</v>
      </c>
      <c r="I1524" t="s">
        <v>2112</v>
      </c>
      <c r="J1524" t="s">
        <v>2110</v>
      </c>
      <c r="K1524">
        <v>19.920000000000002</v>
      </c>
      <c r="L1524">
        <f t="shared" si="46"/>
        <v>1992.0000000000002</v>
      </c>
      <c r="M1524">
        <f t="shared" si="47"/>
        <v>398.40000000000009</v>
      </c>
    </row>
    <row r="1525" spans="1:13" x14ac:dyDescent="0.3">
      <c r="A1525">
        <v>1524</v>
      </c>
      <c r="B1525" t="s">
        <v>1707</v>
      </c>
      <c r="C1525" s="1">
        <v>42710</v>
      </c>
      <c r="D1525" s="1">
        <v>42715</v>
      </c>
      <c r="E1525" t="s">
        <v>2118</v>
      </c>
      <c r="F1525" t="s">
        <v>1708</v>
      </c>
      <c r="G1525" t="s">
        <v>1709</v>
      </c>
      <c r="H1525" t="s">
        <v>6</v>
      </c>
      <c r="I1525" t="s">
        <v>2112</v>
      </c>
      <c r="J1525" t="s">
        <v>2110</v>
      </c>
      <c r="K1525">
        <v>198.27199999999999</v>
      </c>
      <c r="L1525">
        <f t="shared" si="46"/>
        <v>19827.2</v>
      </c>
      <c r="M1525">
        <f t="shared" si="47"/>
        <v>3965.4400000000005</v>
      </c>
    </row>
    <row r="1526" spans="1:13" x14ac:dyDescent="0.3">
      <c r="A1526">
        <v>1525</v>
      </c>
      <c r="B1526" t="s">
        <v>1707</v>
      </c>
      <c r="C1526" s="1">
        <v>42710</v>
      </c>
      <c r="D1526" s="1">
        <v>42715</v>
      </c>
      <c r="E1526" t="s">
        <v>2118</v>
      </c>
      <c r="F1526" t="s">
        <v>1708</v>
      </c>
      <c r="G1526" t="s">
        <v>1709</v>
      </c>
      <c r="H1526" t="s">
        <v>6</v>
      </c>
      <c r="I1526" t="s">
        <v>2112</v>
      </c>
      <c r="J1526" t="s">
        <v>2110</v>
      </c>
      <c r="K1526">
        <v>247.10400000000001</v>
      </c>
      <c r="L1526">
        <f t="shared" si="46"/>
        <v>24710.400000000001</v>
      </c>
      <c r="M1526">
        <f t="shared" si="47"/>
        <v>4942.0800000000008</v>
      </c>
    </row>
    <row r="1527" spans="1:13" x14ac:dyDescent="0.3">
      <c r="A1527">
        <v>1526</v>
      </c>
      <c r="B1527" t="s">
        <v>1707</v>
      </c>
      <c r="C1527" s="1">
        <v>42710</v>
      </c>
      <c r="D1527" s="1">
        <v>42715</v>
      </c>
      <c r="E1527" t="s">
        <v>2118</v>
      </c>
      <c r="F1527" t="s">
        <v>1708</v>
      </c>
      <c r="G1527" t="s">
        <v>1709</v>
      </c>
      <c r="H1527" t="s">
        <v>6</v>
      </c>
      <c r="I1527" t="s">
        <v>2112</v>
      </c>
      <c r="J1527" t="s">
        <v>2110</v>
      </c>
      <c r="K1527">
        <v>86.304000000000002</v>
      </c>
      <c r="L1527">
        <f t="shared" si="46"/>
        <v>8630.4</v>
      </c>
      <c r="M1527">
        <f t="shared" si="47"/>
        <v>1726.08</v>
      </c>
    </row>
    <row r="1528" spans="1:13" x14ac:dyDescent="0.3">
      <c r="A1528">
        <v>1527</v>
      </c>
      <c r="B1528" t="s">
        <v>1710</v>
      </c>
      <c r="C1528" s="1">
        <v>42938</v>
      </c>
      <c r="D1528" s="1">
        <v>42943</v>
      </c>
      <c r="E1528" t="s">
        <v>2118</v>
      </c>
      <c r="F1528" t="s">
        <v>535</v>
      </c>
      <c r="G1528" t="s">
        <v>536</v>
      </c>
      <c r="H1528" t="s">
        <v>6</v>
      </c>
      <c r="I1528" t="s">
        <v>2114</v>
      </c>
      <c r="J1528" t="s">
        <v>2110</v>
      </c>
      <c r="K1528">
        <v>4.16</v>
      </c>
      <c r="L1528">
        <f t="shared" si="46"/>
        <v>416</v>
      </c>
      <c r="M1528">
        <f t="shared" si="47"/>
        <v>83.2</v>
      </c>
    </row>
    <row r="1529" spans="1:13" x14ac:dyDescent="0.3">
      <c r="A1529">
        <v>1528</v>
      </c>
      <c r="B1529" t="s">
        <v>1710</v>
      </c>
      <c r="C1529" s="1">
        <v>42938</v>
      </c>
      <c r="D1529" s="1">
        <v>42943</v>
      </c>
      <c r="E1529" t="s">
        <v>2118</v>
      </c>
      <c r="F1529" t="s">
        <v>535</v>
      </c>
      <c r="G1529" t="s">
        <v>536</v>
      </c>
      <c r="H1529" t="s">
        <v>6</v>
      </c>
      <c r="I1529" t="s">
        <v>2114</v>
      </c>
      <c r="J1529" t="s">
        <v>2109</v>
      </c>
      <c r="K1529">
        <v>11.648</v>
      </c>
      <c r="L1529">
        <f t="shared" si="46"/>
        <v>1164.8</v>
      </c>
      <c r="M1529">
        <f t="shared" si="47"/>
        <v>232.96</v>
      </c>
    </row>
    <row r="1530" spans="1:13" x14ac:dyDescent="0.3">
      <c r="A1530">
        <v>1529</v>
      </c>
      <c r="B1530" t="s">
        <v>1711</v>
      </c>
      <c r="C1530" s="1">
        <v>42681</v>
      </c>
      <c r="D1530" s="1">
        <v>42684</v>
      </c>
      <c r="E1530" t="s">
        <v>2119</v>
      </c>
      <c r="F1530" t="s">
        <v>992</v>
      </c>
      <c r="G1530" t="s">
        <v>993</v>
      </c>
      <c r="H1530" t="s">
        <v>10</v>
      </c>
      <c r="I1530" t="s">
        <v>2114</v>
      </c>
      <c r="J1530" t="s">
        <v>2110</v>
      </c>
      <c r="K1530">
        <v>26.18</v>
      </c>
      <c r="L1530">
        <f t="shared" si="46"/>
        <v>2618</v>
      </c>
      <c r="M1530">
        <f t="shared" si="47"/>
        <v>523.6</v>
      </c>
    </row>
    <row r="1531" spans="1:13" x14ac:dyDescent="0.3">
      <c r="A1531">
        <v>1530</v>
      </c>
      <c r="B1531" t="s">
        <v>1711</v>
      </c>
      <c r="C1531" s="1">
        <v>42681</v>
      </c>
      <c r="D1531" s="1">
        <v>42684</v>
      </c>
      <c r="E1531" t="s">
        <v>2119</v>
      </c>
      <c r="F1531" t="s">
        <v>992</v>
      </c>
      <c r="G1531" t="s">
        <v>993</v>
      </c>
      <c r="H1531" t="s">
        <v>10</v>
      </c>
      <c r="I1531" t="s">
        <v>2114</v>
      </c>
      <c r="J1531" t="s">
        <v>2110</v>
      </c>
      <c r="K1531">
        <v>7.3</v>
      </c>
      <c r="L1531">
        <f t="shared" si="46"/>
        <v>730</v>
      </c>
      <c r="M1531">
        <f t="shared" si="47"/>
        <v>146</v>
      </c>
    </row>
    <row r="1532" spans="1:13" x14ac:dyDescent="0.3">
      <c r="A1532">
        <v>1531</v>
      </c>
      <c r="B1532" t="s">
        <v>1712</v>
      </c>
      <c r="C1532" s="1">
        <v>42455</v>
      </c>
      <c r="D1532" s="1">
        <v>42460</v>
      </c>
      <c r="E1532" t="s">
        <v>2118</v>
      </c>
      <c r="F1532" t="s">
        <v>959</v>
      </c>
      <c r="G1532" t="s">
        <v>960</v>
      </c>
      <c r="H1532" t="s">
        <v>10</v>
      </c>
      <c r="I1532" t="s">
        <v>2115</v>
      </c>
      <c r="J1532" t="s">
        <v>2110</v>
      </c>
      <c r="K1532">
        <v>74.352000000000004</v>
      </c>
      <c r="L1532">
        <f t="shared" si="46"/>
        <v>7435.2000000000007</v>
      </c>
      <c r="M1532">
        <f t="shared" si="47"/>
        <v>1487.0400000000002</v>
      </c>
    </row>
    <row r="1533" spans="1:13" x14ac:dyDescent="0.3">
      <c r="A1533">
        <v>1532</v>
      </c>
      <c r="B1533" t="s">
        <v>1713</v>
      </c>
      <c r="C1533" s="1">
        <v>43343</v>
      </c>
      <c r="D1533" s="1">
        <v>43348</v>
      </c>
      <c r="E1533" t="s">
        <v>2118</v>
      </c>
      <c r="F1533" t="s">
        <v>718</v>
      </c>
      <c r="G1533" t="s">
        <v>719</v>
      </c>
      <c r="H1533" t="s">
        <v>6</v>
      </c>
      <c r="I1533" t="s">
        <v>2112</v>
      </c>
      <c r="J1533" t="s">
        <v>2110</v>
      </c>
      <c r="K1533">
        <v>10.744</v>
      </c>
      <c r="L1533">
        <f t="shared" si="46"/>
        <v>1074.4000000000001</v>
      </c>
      <c r="M1533">
        <f t="shared" si="47"/>
        <v>214.88000000000002</v>
      </c>
    </row>
    <row r="1534" spans="1:13" x14ac:dyDescent="0.3">
      <c r="A1534">
        <v>1533</v>
      </c>
      <c r="B1534" t="s">
        <v>1713</v>
      </c>
      <c r="C1534" s="1">
        <v>43343</v>
      </c>
      <c r="D1534" s="1">
        <v>43348</v>
      </c>
      <c r="E1534" t="s">
        <v>2118</v>
      </c>
      <c r="F1534" t="s">
        <v>718</v>
      </c>
      <c r="G1534" t="s">
        <v>719</v>
      </c>
      <c r="H1534" t="s">
        <v>6</v>
      </c>
      <c r="I1534" t="s">
        <v>2112</v>
      </c>
      <c r="J1534" t="s">
        <v>2110</v>
      </c>
      <c r="K1534">
        <v>8.3759999999999994</v>
      </c>
      <c r="L1534">
        <f t="shared" si="46"/>
        <v>837.59999999999991</v>
      </c>
      <c r="M1534">
        <f t="shared" si="47"/>
        <v>167.51999999999998</v>
      </c>
    </row>
    <row r="1535" spans="1:13" x14ac:dyDescent="0.3">
      <c r="A1535">
        <v>1534</v>
      </c>
      <c r="B1535" t="s">
        <v>1714</v>
      </c>
      <c r="C1535" s="1">
        <v>43073</v>
      </c>
      <c r="D1535" s="1">
        <v>43077</v>
      </c>
      <c r="E1535" t="s">
        <v>2118</v>
      </c>
      <c r="F1535" t="s">
        <v>724</v>
      </c>
      <c r="G1535" t="s">
        <v>725</v>
      </c>
      <c r="H1535" t="s">
        <v>10</v>
      </c>
      <c r="I1535" t="s">
        <v>2114</v>
      </c>
      <c r="J1535" t="s">
        <v>2110</v>
      </c>
      <c r="K1535">
        <v>212.88</v>
      </c>
      <c r="L1535">
        <f t="shared" si="46"/>
        <v>21288</v>
      </c>
      <c r="M1535">
        <f t="shared" si="47"/>
        <v>4257.6000000000004</v>
      </c>
    </row>
    <row r="1536" spans="1:13" x14ac:dyDescent="0.3">
      <c r="A1536">
        <v>1535</v>
      </c>
      <c r="B1536" t="s">
        <v>1715</v>
      </c>
      <c r="C1536" s="1">
        <v>43141</v>
      </c>
      <c r="D1536" s="1">
        <v>43145</v>
      </c>
      <c r="E1536" t="s">
        <v>2118</v>
      </c>
      <c r="F1536" t="s">
        <v>1716</v>
      </c>
      <c r="G1536" t="s">
        <v>1717</v>
      </c>
      <c r="H1536" t="s">
        <v>26</v>
      </c>
      <c r="I1536" t="s">
        <v>2112</v>
      </c>
      <c r="J1536" t="s">
        <v>2109</v>
      </c>
      <c r="K1536">
        <v>203.983</v>
      </c>
      <c r="L1536">
        <f t="shared" si="46"/>
        <v>20398.3</v>
      </c>
      <c r="M1536">
        <f t="shared" si="47"/>
        <v>4079.66</v>
      </c>
    </row>
    <row r="1537" spans="1:13" x14ac:dyDescent="0.3">
      <c r="A1537">
        <v>1536</v>
      </c>
      <c r="B1537" t="s">
        <v>1718</v>
      </c>
      <c r="C1537" s="1">
        <v>43037</v>
      </c>
      <c r="D1537" s="1">
        <v>43041</v>
      </c>
      <c r="E1537" t="s">
        <v>2118</v>
      </c>
      <c r="F1537" t="s">
        <v>1719</v>
      </c>
      <c r="G1537" t="s">
        <v>1720</v>
      </c>
      <c r="H1537" t="s">
        <v>10</v>
      </c>
      <c r="I1537" t="s">
        <v>2114</v>
      </c>
      <c r="J1537" t="s">
        <v>2110</v>
      </c>
      <c r="K1537">
        <v>40.74</v>
      </c>
      <c r="L1537">
        <f t="shared" si="46"/>
        <v>4074</v>
      </c>
      <c r="M1537">
        <f t="shared" si="47"/>
        <v>814.80000000000007</v>
      </c>
    </row>
    <row r="1538" spans="1:13" x14ac:dyDescent="0.3">
      <c r="A1538">
        <v>1537</v>
      </c>
      <c r="B1538" t="s">
        <v>1718</v>
      </c>
      <c r="C1538" s="1">
        <v>43037</v>
      </c>
      <c r="D1538" s="1">
        <v>43041</v>
      </c>
      <c r="E1538" t="s">
        <v>2118</v>
      </c>
      <c r="F1538" t="s">
        <v>1719</v>
      </c>
      <c r="G1538" t="s">
        <v>1720</v>
      </c>
      <c r="H1538" t="s">
        <v>10</v>
      </c>
      <c r="I1538" t="s">
        <v>2114</v>
      </c>
      <c r="J1538" t="s">
        <v>2110</v>
      </c>
      <c r="K1538">
        <v>11.67</v>
      </c>
      <c r="L1538">
        <f t="shared" ref="L1538:L1601" si="48">K1538*100</f>
        <v>1167</v>
      </c>
      <c r="M1538">
        <f t="shared" si="47"/>
        <v>233.4</v>
      </c>
    </row>
    <row r="1539" spans="1:13" x14ac:dyDescent="0.3">
      <c r="A1539">
        <v>1538</v>
      </c>
      <c r="B1539" t="s">
        <v>1721</v>
      </c>
      <c r="C1539" s="1">
        <v>43358</v>
      </c>
      <c r="D1539" s="1">
        <v>43360</v>
      </c>
      <c r="E1539" t="s">
        <v>2119</v>
      </c>
      <c r="F1539" t="s">
        <v>1722</v>
      </c>
      <c r="G1539" t="s">
        <v>1723</v>
      </c>
      <c r="H1539" t="s">
        <v>6</v>
      </c>
      <c r="I1539" t="s">
        <v>2114</v>
      </c>
      <c r="J1539" t="s">
        <v>2111</v>
      </c>
      <c r="K1539">
        <v>39.99</v>
      </c>
      <c r="L1539">
        <f t="shared" si="48"/>
        <v>3999</v>
      </c>
      <c r="M1539">
        <f t="shared" ref="M1539:M1602" si="49">L1539*0.2</f>
        <v>799.80000000000007</v>
      </c>
    </row>
    <row r="1540" spans="1:13" x14ac:dyDescent="0.3">
      <c r="A1540">
        <v>1539</v>
      </c>
      <c r="B1540" t="s">
        <v>1721</v>
      </c>
      <c r="C1540" s="1">
        <v>43358</v>
      </c>
      <c r="D1540" s="1">
        <v>43360</v>
      </c>
      <c r="E1540" t="s">
        <v>2119</v>
      </c>
      <c r="F1540" t="s">
        <v>1722</v>
      </c>
      <c r="G1540" t="s">
        <v>1723</v>
      </c>
      <c r="H1540" t="s">
        <v>6</v>
      </c>
      <c r="I1540" t="s">
        <v>2114</v>
      </c>
      <c r="J1540" t="s">
        <v>2110</v>
      </c>
      <c r="K1540">
        <v>16.28</v>
      </c>
      <c r="L1540">
        <f t="shared" si="48"/>
        <v>1628</v>
      </c>
      <c r="M1540">
        <f t="shared" si="49"/>
        <v>325.60000000000002</v>
      </c>
    </row>
    <row r="1541" spans="1:13" x14ac:dyDescent="0.3">
      <c r="A1541">
        <v>1540</v>
      </c>
      <c r="B1541" t="s">
        <v>1721</v>
      </c>
      <c r="C1541" s="1">
        <v>43358</v>
      </c>
      <c r="D1541" s="1">
        <v>43360</v>
      </c>
      <c r="E1541" t="s">
        <v>2119</v>
      </c>
      <c r="F1541" t="s">
        <v>1722</v>
      </c>
      <c r="G1541" t="s">
        <v>1723</v>
      </c>
      <c r="H1541" t="s">
        <v>6</v>
      </c>
      <c r="I1541" t="s">
        <v>2114</v>
      </c>
      <c r="J1541" t="s">
        <v>2109</v>
      </c>
      <c r="K1541">
        <v>782.94</v>
      </c>
      <c r="L1541">
        <f t="shared" si="48"/>
        <v>78294</v>
      </c>
      <c r="M1541">
        <f t="shared" si="49"/>
        <v>15658.800000000001</v>
      </c>
    </row>
    <row r="1542" spans="1:13" x14ac:dyDescent="0.3">
      <c r="A1542">
        <v>1541</v>
      </c>
      <c r="B1542" t="s">
        <v>1721</v>
      </c>
      <c r="C1542" s="1">
        <v>43358</v>
      </c>
      <c r="D1542" s="1">
        <v>43360</v>
      </c>
      <c r="E1542" t="s">
        <v>2119</v>
      </c>
      <c r="F1542" t="s">
        <v>1722</v>
      </c>
      <c r="G1542" t="s">
        <v>1723</v>
      </c>
      <c r="H1542" t="s">
        <v>6</v>
      </c>
      <c r="I1542" t="s">
        <v>2114</v>
      </c>
      <c r="J1542" t="s">
        <v>2110</v>
      </c>
      <c r="K1542">
        <v>242.48</v>
      </c>
      <c r="L1542">
        <f t="shared" si="48"/>
        <v>24248</v>
      </c>
      <c r="M1542">
        <f t="shared" si="49"/>
        <v>4849.6000000000004</v>
      </c>
    </row>
    <row r="1543" spans="1:13" x14ac:dyDescent="0.3">
      <c r="A1543">
        <v>1542</v>
      </c>
      <c r="B1543" t="s">
        <v>1724</v>
      </c>
      <c r="C1543" s="1">
        <v>42074</v>
      </c>
      <c r="D1543" s="1">
        <v>42079</v>
      </c>
      <c r="E1543" t="s">
        <v>2119</v>
      </c>
      <c r="F1543" t="s">
        <v>760</v>
      </c>
      <c r="G1543" t="s">
        <v>761</v>
      </c>
      <c r="H1543" t="s">
        <v>6</v>
      </c>
      <c r="I1543" t="s">
        <v>2114</v>
      </c>
      <c r="J1543" t="s">
        <v>2109</v>
      </c>
      <c r="K1543">
        <v>8.32</v>
      </c>
      <c r="L1543">
        <f t="shared" si="48"/>
        <v>832</v>
      </c>
      <c r="M1543">
        <f t="shared" si="49"/>
        <v>166.4</v>
      </c>
    </row>
    <row r="1544" spans="1:13" x14ac:dyDescent="0.3">
      <c r="A1544">
        <v>1543</v>
      </c>
      <c r="B1544" t="s">
        <v>1724</v>
      </c>
      <c r="C1544" s="1">
        <v>42074</v>
      </c>
      <c r="D1544" s="1">
        <v>42079</v>
      </c>
      <c r="E1544" t="s">
        <v>2119</v>
      </c>
      <c r="F1544" t="s">
        <v>760</v>
      </c>
      <c r="G1544" t="s">
        <v>761</v>
      </c>
      <c r="H1544" t="s">
        <v>6</v>
      </c>
      <c r="I1544" t="s">
        <v>2114</v>
      </c>
      <c r="J1544" t="s">
        <v>2110</v>
      </c>
      <c r="K1544">
        <v>10.464</v>
      </c>
      <c r="L1544">
        <f t="shared" si="48"/>
        <v>1046.4000000000001</v>
      </c>
      <c r="M1544">
        <f t="shared" si="49"/>
        <v>209.28000000000003</v>
      </c>
    </row>
    <row r="1545" spans="1:13" x14ac:dyDescent="0.3">
      <c r="A1545">
        <v>1544</v>
      </c>
      <c r="B1545" t="s">
        <v>1725</v>
      </c>
      <c r="C1545" s="1">
        <v>42039</v>
      </c>
      <c r="D1545" s="1">
        <v>42043</v>
      </c>
      <c r="E1545" t="s">
        <v>2118</v>
      </c>
      <c r="F1545" t="s">
        <v>1726</v>
      </c>
      <c r="G1545" t="s">
        <v>1727</v>
      </c>
      <c r="H1545" t="s">
        <v>26</v>
      </c>
      <c r="I1545" t="s">
        <v>2112</v>
      </c>
      <c r="J1545" t="s">
        <v>2110</v>
      </c>
      <c r="K1545">
        <v>82.896000000000001</v>
      </c>
      <c r="L1545">
        <f t="shared" si="48"/>
        <v>8289.6</v>
      </c>
      <c r="M1545">
        <f t="shared" si="49"/>
        <v>1657.92</v>
      </c>
    </row>
    <row r="1546" spans="1:13" x14ac:dyDescent="0.3">
      <c r="A1546">
        <v>1545</v>
      </c>
      <c r="B1546" t="s">
        <v>1725</v>
      </c>
      <c r="C1546" s="1">
        <v>42039</v>
      </c>
      <c r="D1546" s="1">
        <v>42043</v>
      </c>
      <c r="E1546" t="s">
        <v>2118</v>
      </c>
      <c r="F1546" t="s">
        <v>1726</v>
      </c>
      <c r="G1546" t="s">
        <v>1727</v>
      </c>
      <c r="H1546" t="s">
        <v>26</v>
      </c>
      <c r="I1546" t="s">
        <v>2112</v>
      </c>
      <c r="J1546" t="s">
        <v>2110</v>
      </c>
      <c r="K1546">
        <v>34.24</v>
      </c>
      <c r="L1546">
        <f t="shared" si="48"/>
        <v>3424</v>
      </c>
      <c r="M1546">
        <f t="shared" si="49"/>
        <v>684.80000000000007</v>
      </c>
    </row>
    <row r="1547" spans="1:13" x14ac:dyDescent="0.3">
      <c r="A1547">
        <v>1546</v>
      </c>
      <c r="B1547" t="s">
        <v>1728</v>
      </c>
      <c r="C1547" s="1">
        <v>42369</v>
      </c>
      <c r="D1547" s="1">
        <v>42373</v>
      </c>
      <c r="E1547" t="s">
        <v>2119</v>
      </c>
      <c r="F1547" t="s">
        <v>1092</v>
      </c>
      <c r="G1547" t="s">
        <v>1093</v>
      </c>
      <c r="H1547" t="s">
        <v>10</v>
      </c>
      <c r="I1547" t="s">
        <v>2114</v>
      </c>
      <c r="J1547" t="s">
        <v>2109</v>
      </c>
      <c r="K1547">
        <v>1573.4880000000001</v>
      </c>
      <c r="L1547">
        <f t="shared" si="48"/>
        <v>157348.80000000002</v>
      </c>
      <c r="M1547">
        <f t="shared" si="49"/>
        <v>31469.760000000006</v>
      </c>
    </row>
    <row r="1548" spans="1:13" x14ac:dyDescent="0.3">
      <c r="A1548">
        <v>1547</v>
      </c>
      <c r="B1548" t="s">
        <v>1729</v>
      </c>
      <c r="C1548" s="1">
        <v>42697</v>
      </c>
      <c r="D1548" s="1">
        <v>42701</v>
      </c>
      <c r="E1548" t="s">
        <v>2118</v>
      </c>
      <c r="F1548" t="s">
        <v>461</v>
      </c>
      <c r="G1548" t="s">
        <v>462</v>
      </c>
      <c r="H1548" t="s">
        <v>10</v>
      </c>
      <c r="I1548" t="s">
        <v>2117</v>
      </c>
      <c r="J1548" t="s">
        <v>2110</v>
      </c>
      <c r="K1548">
        <v>335.52</v>
      </c>
      <c r="L1548">
        <f t="shared" si="48"/>
        <v>33552</v>
      </c>
      <c r="M1548">
        <f t="shared" si="49"/>
        <v>6710.4000000000005</v>
      </c>
    </row>
    <row r="1549" spans="1:13" x14ac:dyDescent="0.3">
      <c r="A1549">
        <v>1548</v>
      </c>
      <c r="B1549" t="s">
        <v>1729</v>
      </c>
      <c r="C1549" s="1">
        <v>42697</v>
      </c>
      <c r="D1549" s="1">
        <v>42701</v>
      </c>
      <c r="E1549" t="s">
        <v>2118</v>
      </c>
      <c r="F1549" t="s">
        <v>461</v>
      </c>
      <c r="G1549" t="s">
        <v>462</v>
      </c>
      <c r="H1549" t="s">
        <v>10</v>
      </c>
      <c r="I1549" t="s">
        <v>2117</v>
      </c>
      <c r="J1549" t="s">
        <v>2110</v>
      </c>
      <c r="K1549">
        <v>23.911999999999999</v>
      </c>
      <c r="L1549">
        <f t="shared" si="48"/>
        <v>2391.1999999999998</v>
      </c>
      <c r="M1549">
        <f t="shared" si="49"/>
        <v>478.24</v>
      </c>
    </row>
    <row r="1550" spans="1:13" x14ac:dyDescent="0.3">
      <c r="A1550">
        <v>1549</v>
      </c>
      <c r="B1550" t="s">
        <v>1729</v>
      </c>
      <c r="C1550" s="1">
        <v>42697</v>
      </c>
      <c r="D1550" s="1">
        <v>42701</v>
      </c>
      <c r="E1550" t="s">
        <v>2118</v>
      </c>
      <c r="F1550" t="s">
        <v>461</v>
      </c>
      <c r="G1550" t="s">
        <v>462</v>
      </c>
      <c r="H1550" t="s">
        <v>10</v>
      </c>
      <c r="I1550" t="s">
        <v>2117</v>
      </c>
      <c r="J1550" t="s">
        <v>2110</v>
      </c>
      <c r="K1550">
        <v>27.056000000000001</v>
      </c>
      <c r="L1550">
        <f t="shared" si="48"/>
        <v>2705.6</v>
      </c>
      <c r="M1550">
        <f t="shared" si="49"/>
        <v>541.12</v>
      </c>
    </row>
    <row r="1551" spans="1:13" x14ac:dyDescent="0.3">
      <c r="A1551">
        <v>1550</v>
      </c>
      <c r="B1551" t="s">
        <v>1730</v>
      </c>
      <c r="C1551" s="1">
        <v>42191</v>
      </c>
      <c r="D1551" s="1">
        <v>42193</v>
      </c>
      <c r="E1551" t="s">
        <v>2120</v>
      </c>
      <c r="F1551" t="s">
        <v>679</v>
      </c>
      <c r="G1551" t="s">
        <v>680</v>
      </c>
      <c r="H1551" t="s">
        <v>6</v>
      </c>
      <c r="I1551" t="s">
        <v>2114</v>
      </c>
      <c r="J1551" t="s">
        <v>2111</v>
      </c>
      <c r="K1551">
        <v>559.99199999999996</v>
      </c>
      <c r="L1551">
        <f t="shared" si="48"/>
        <v>55999.199999999997</v>
      </c>
      <c r="M1551">
        <f t="shared" si="49"/>
        <v>11199.84</v>
      </c>
    </row>
    <row r="1552" spans="1:13" x14ac:dyDescent="0.3">
      <c r="A1552">
        <v>1551</v>
      </c>
      <c r="B1552" t="s">
        <v>1731</v>
      </c>
      <c r="C1552" s="1">
        <v>43417</v>
      </c>
      <c r="D1552" s="1">
        <v>43422</v>
      </c>
      <c r="E1552" t="s">
        <v>2119</v>
      </c>
      <c r="F1552" t="s">
        <v>1628</v>
      </c>
      <c r="G1552" t="s">
        <v>1629</v>
      </c>
      <c r="H1552" t="s">
        <v>26</v>
      </c>
      <c r="I1552" t="s">
        <v>2117</v>
      </c>
      <c r="J1552" t="s">
        <v>2110</v>
      </c>
      <c r="K1552">
        <v>9.3239999999999998</v>
      </c>
      <c r="L1552">
        <f t="shared" si="48"/>
        <v>932.4</v>
      </c>
      <c r="M1552">
        <f t="shared" si="49"/>
        <v>186.48000000000002</v>
      </c>
    </row>
    <row r="1553" spans="1:13" x14ac:dyDescent="0.3">
      <c r="A1553">
        <v>1552</v>
      </c>
      <c r="B1553" t="s">
        <v>1732</v>
      </c>
      <c r="C1553" s="1">
        <v>42903</v>
      </c>
      <c r="D1553" s="1">
        <v>42908</v>
      </c>
      <c r="E1553" t="s">
        <v>2118</v>
      </c>
      <c r="F1553" t="s">
        <v>1733</v>
      </c>
      <c r="G1553" t="s">
        <v>1734</v>
      </c>
      <c r="H1553" t="s">
        <v>6</v>
      </c>
      <c r="I1553" t="s">
        <v>2112</v>
      </c>
      <c r="J1553" t="s">
        <v>2110</v>
      </c>
      <c r="K1553">
        <v>111.96</v>
      </c>
      <c r="L1553">
        <f t="shared" si="48"/>
        <v>11196</v>
      </c>
      <c r="M1553">
        <f t="shared" si="49"/>
        <v>2239.2000000000003</v>
      </c>
    </row>
    <row r="1554" spans="1:13" x14ac:dyDescent="0.3">
      <c r="A1554">
        <v>1553</v>
      </c>
      <c r="B1554" t="s">
        <v>1735</v>
      </c>
      <c r="C1554" s="1">
        <v>42127</v>
      </c>
      <c r="D1554" s="1">
        <v>42129</v>
      </c>
      <c r="E1554" t="s">
        <v>2120</v>
      </c>
      <c r="F1554" t="s">
        <v>590</v>
      </c>
      <c r="G1554" t="s">
        <v>591</v>
      </c>
      <c r="H1554" t="s">
        <v>26</v>
      </c>
      <c r="I1554" t="s">
        <v>2117</v>
      </c>
      <c r="J1554" t="s">
        <v>2110</v>
      </c>
      <c r="K1554">
        <v>21.56</v>
      </c>
      <c r="L1554">
        <f t="shared" si="48"/>
        <v>2156</v>
      </c>
      <c r="M1554">
        <f t="shared" si="49"/>
        <v>431.20000000000005</v>
      </c>
    </row>
    <row r="1555" spans="1:13" x14ac:dyDescent="0.3">
      <c r="A1555">
        <v>1554</v>
      </c>
      <c r="B1555" t="s">
        <v>1736</v>
      </c>
      <c r="C1555" s="1">
        <v>43389</v>
      </c>
      <c r="D1555" s="1">
        <v>43394</v>
      </c>
      <c r="E1555" t="s">
        <v>2118</v>
      </c>
      <c r="F1555" t="s">
        <v>1737</v>
      </c>
      <c r="G1555" t="s">
        <v>1738</v>
      </c>
      <c r="H1555" t="s">
        <v>6</v>
      </c>
      <c r="I1555" t="s">
        <v>2115</v>
      </c>
      <c r="J1555" t="s">
        <v>2110</v>
      </c>
      <c r="K1555">
        <v>124.75</v>
      </c>
      <c r="L1555">
        <f t="shared" si="48"/>
        <v>12475</v>
      </c>
      <c r="M1555">
        <f t="shared" si="49"/>
        <v>2495</v>
      </c>
    </row>
    <row r="1556" spans="1:13" x14ac:dyDescent="0.3">
      <c r="A1556">
        <v>1555</v>
      </c>
      <c r="B1556" t="s">
        <v>1739</v>
      </c>
      <c r="C1556" s="1">
        <v>42406</v>
      </c>
      <c r="D1556" s="1">
        <v>42413</v>
      </c>
      <c r="E1556" t="s">
        <v>2118</v>
      </c>
      <c r="F1556" t="s">
        <v>311</v>
      </c>
      <c r="G1556" t="s">
        <v>312</v>
      </c>
      <c r="H1556" t="s">
        <v>10</v>
      </c>
      <c r="I1556" t="s">
        <v>2112</v>
      </c>
      <c r="J1556" t="s">
        <v>2110</v>
      </c>
      <c r="K1556">
        <v>5.28</v>
      </c>
      <c r="L1556">
        <f t="shared" si="48"/>
        <v>528</v>
      </c>
      <c r="M1556">
        <f t="shared" si="49"/>
        <v>105.60000000000001</v>
      </c>
    </row>
    <row r="1557" spans="1:13" x14ac:dyDescent="0.3">
      <c r="A1557">
        <v>1556</v>
      </c>
      <c r="B1557" t="s">
        <v>1740</v>
      </c>
      <c r="C1557" s="1">
        <v>43347</v>
      </c>
      <c r="D1557" s="1">
        <v>43351</v>
      </c>
      <c r="E1557" t="s">
        <v>2118</v>
      </c>
      <c r="F1557" t="s">
        <v>1741</v>
      </c>
      <c r="G1557" t="s">
        <v>1742</v>
      </c>
      <c r="H1557" t="s">
        <v>6</v>
      </c>
      <c r="I1557" t="s">
        <v>2114</v>
      </c>
      <c r="J1557" t="s">
        <v>2111</v>
      </c>
      <c r="K1557">
        <v>91.96</v>
      </c>
      <c r="L1557">
        <f t="shared" si="48"/>
        <v>9196</v>
      </c>
      <c r="M1557">
        <f t="shared" si="49"/>
        <v>1839.2</v>
      </c>
    </row>
    <row r="1558" spans="1:13" x14ac:dyDescent="0.3">
      <c r="A1558">
        <v>1557</v>
      </c>
      <c r="B1558" t="s">
        <v>1743</v>
      </c>
      <c r="C1558" s="1">
        <v>42864</v>
      </c>
      <c r="D1558" s="1">
        <v>42870</v>
      </c>
      <c r="E1558" t="s">
        <v>2118</v>
      </c>
      <c r="F1558" t="s">
        <v>1744</v>
      </c>
      <c r="G1558" t="s">
        <v>2113</v>
      </c>
      <c r="H1558" t="s">
        <v>6</v>
      </c>
      <c r="I1558" t="s">
        <v>2114</v>
      </c>
      <c r="J1558" t="s">
        <v>2110</v>
      </c>
      <c r="K1558">
        <v>9.3439999999999994</v>
      </c>
      <c r="L1558">
        <f t="shared" si="48"/>
        <v>934.4</v>
      </c>
      <c r="M1558">
        <f t="shared" si="49"/>
        <v>186.88</v>
      </c>
    </row>
    <row r="1559" spans="1:13" x14ac:dyDescent="0.3">
      <c r="A1559">
        <v>1558</v>
      </c>
      <c r="B1559" t="s">
        <v>1743</v>
      </c>
      <c r="C1559" s="1">
        <v>42864</v>
      </c>
      <c r="D1559" s="1">
        <v>42870</v>
      </c>
      <c r="E1559" t="s">
        <v>2118</v>
      </c>
      <c r="F1559" t="s">
        <v>1744</v>
      </c>
      <c r="G1559" t="s">
        <v>2113</v>
      </c>
      <c r="H1559" t="s">
        <v>6</v>
      </c>
      <c r="I1559" t="s">
        <v>2114</v>
      </c>
      <c r="J1559" t="s">
        <v>2110</v>
      </c>
      <c r="K1559">
        <v>79.36</v>
      </c>
      <c r="L1559">
        <f t="shared" si="48"/>
        <v>7936</v>
      </c>
      <c r="M1559">
        <f t="shared" si="49"/>
        <v>1587.2</v>
      </c>
    </row>
    <row r="1560" spans="1:13" x14ac:dyDescent="0.3">
      <c r="A1560">
        <v>1559</v>
      </c>
      <c r="B1560" t="s">
        <v>1745</v>
      </c>
      <c r="C1560" s="1">
        <v>42445</v>
      </c>
      <c r="D1560" s="1">
        <v>42447</v>
      </c>
      <c r="E1560" t="s">
        <v>2119</v>
      </c>
      <c r="F1560" t="s">
        <v>602</v>
      </c>
      <c r="G1560" t="s">
        <v>603</v>
      </c>
      <c r="H1560" t="s">
        <v>6</v>
      </c>
      <c r="I1560" t="s">
        <v>2112</v>
      </c>
      <c r="J1560" t="s">
        <v>2109</v>
      </c>
      <c r="K1560">
        <v>171.96</v>
      </c>
      <c r="L1560">
        <f t="shared" si="48"/>
        <v>17196</v>
      </c>
      <c r="M1560">
        <f t="shared" si="49"/>
        <v>3439.2000000000003</v>
      </c>
    </row>
    <row r="1561" spans="1:13" x14ac:dyDescent="0.3">
      <c r="A1561">
        <v>1560</v>
      </c>
      <c r="B1561" t="s">
        <v>1746</v>
      </c>
      <c r="C1561" s="1">
        <v>42834</v>
      </c>
      <c r="D1561" s="1">
        <v>42838</v>
      </c>
      <c r="E1561" t="s">
        <v>2118</v>
      </c>
      <c r="F1561" t="s">
        <v>1747</v>
      </c>
      <c r="G1561" t="s">
        <v>1748</v>
      </c>
      <c r="H1561" t="s">
        <v>10</v>
      </c>
      <c r="I1561" t="s">
        <v>2112</v>
      </c>
      <c r="J1561" t="s">
        <v>2110</v>
      </c>
      <c r="K1561">
        <v>35.351999999999997</v>
      </c>
      <c r="L1561">
        <f t="shared" si="48"/>
        <v>3535.2</v>
      </c>
      <c r="M1561">
        <f t="shared" si="49"/>
        <v>707.04</v>
      </c>
    </row>
    <row r="1562" spans="1:13" x14ac:dyDescent="0.3">
      <c r="A1562">
        <v>1561</v>
      </c>
      <c r="B1562" t="s">
        <v>1749</v>
      </c>
      <c r="C1562" s="1">
        <v>42098</v>
      </c>
      <c r="D1562" s="1">
        <v>42103</v>
      </c>
      <c r="E1562" t="s">
        <v>2118</v>
      </c>
      <c r="F1562" t="s">
        <v>1061</v>
      </c>
      <c r="G1562" t="s">
        <v>1062</v>
      </c>
      <c r="H1562" t="s">
        <v>26</v>
      </c>
      <c r="I1562" t="s">
        <v>2112</v>
      </c>
      <c r="J1562" t="s">
        <v>2110</v>
      </c>
      <c r="K1562">
        <v>18.899999999999999</v>
      </c>
      <c r="L1562">
        <f t="shared" si="48"/>
        <v>1889.9999999999998</v>
      </c>
      <c r="M1562">
        <f t="shared" si="49"/>
        <v>378</v>
      </c>
    </row>
    <row r="1563" spans="1:13" x14ac:dyDescent="0.3">
      <c r="A1563">
        <v>1562</v>
      </c>
      <c r="B1563" t="s">
        <v>1750</v>
      </c>
      <c r="C1563" s="1">
        <v>43348</v>
      </c>
      <c r="D1563" s="1">
        <v>43349</v>
      </c>
      <c r="E1563" t="s">
        <v>2120</v>
      </c>
      <c r="F1563" t="s">
        <v>120</v>
      </c>
      <c r="G1563" t="s">
        <v>121</v>
      </c>
      <c r="H1563" t="s">
        <v>26</v>
      </c>
      <c r="I1563" t="s">
        <v>2112</v>
      </c>
      <c r="J1563" t="s">
        <v>2110</v>
      </c>
      <c r="K1563">
        <v>2.78</v>
      </c>
      <c r="L1563">
        <f t="shared" si="48"/>
        <v>278</v>
      </c>
      <c r="M1563">
        <f t="shared" si="49"/>
        <v>55.6</v>
      </c>
    </row>
    <row r="1564" spans="1:13" x14ac:dyDescent="0.3">
      <c r="A1564">
        <v>1563</v>
      </c>
      <c r="B1564" t="s">
        <v>1751</v>
      </c>
      <c r="C1564" s="1">
        <v>43281</v>
      </c>
      <c r="D1564" s="1">
        <v>43281</v>
      </c>
      <c r="E1564" t="s">
        <v>2120</v>
      </c>
      <c r="F1564" t="s">
        <v>1752</v>
      </c>
      <c r="G1564" t="s">
        <v>1753</v>
      </c>
      <c r="H1564" t="s">
        <v>6</v>
      </c>
      <c r="I1564" t="s">
        <v>2114</v>
      </c>
      <c r="J1564" t="s">
        <v>2109</v>
      </c>
      <c r="K1564">
        <v>1044.6300000000001</v>
      </c>
      <c r="L1564">
        <f t="shared" si="48"/>
        <v>104463.00000000001</v>
      </c>
      <c r="M1564">
        <f t="shared" si="49"/>
        <v>20892.600000000006</v>
      </c>
    </row>
    <row r="1565" spans="1:13" x14ac:dyDescent="0.3">
      <c r="A1565">
        <v>1564</v>
      </c>
      <c r="B1565" t="s">
        <v>1754</v>
      </c>
      <c r="C1565" s="1">
        <v>42683</v>
      </c>
      <c r="D1565" s="1">
        <v>42683</v>
      </c>
      <c r="E1565" t="s">
        <v>2120</v>
      </c>
      <c r="F1565" t="s">
        <v>1755</v>
      </c>
      <c r="G1565" t="s">
        <v>1756</v>
      </c>
      <c r="H1565" t="s">
        <v>6</v>
      </c>
      <c r="I1565" t="s">
        <v>2114</v>
      </c>
      <c r="J1565" t="s">
        <v>2110</v>
      </c>
      <c r="K1565">
        <v>11.352</v>
      </c>
      <c r="L1565">
        <f t="shared" si="48"/>
        <v>1135.2</v>
      </c>
      <c r="M1565">
        <f t="shared" si="49"/>
        <v>227.04000000000002</v>
      </c>
    </row>
    <row r="1566" spans="1:13" x14ac:dyDescent="0.3">
      <c r="A1566">
        <v>1565</v>
      </c>
      <c r="B1566" t="s">
        <v>1757</v>
      </c>
      <c r="C1566" s="1">
        <v>42067</v>
      </c>
      <c r="D1566" s="1">
        <v>42067</v>
      </c>
      <c r="E1566" t="s">
        <v>2120</v>
      </c>
      <c r="F1566" t="s">
        <v>166</v>
      </c>
      <c r="G1566" t="s">
        <v>167</v>
      </c>
      <c r="H1566" t="s">
        <v>6</v>
      </c>
      <c r="I1566" t="s">
        <v>2115</v>
      </c>
      <c r="J1566" t="s">
        <v>2110</v>
      </c>
      <c r="K1566">
        <v>354.9</v>
      </c>
      <c r="L1566">
        <f t="shared" si="48"/>
        <v>35490</v>
      </c>
      <c r="M1566">
        <f t="shared" si="49"/>
        <v>7098</v>
      </c>
    </row>
    <row r="1567" spans="1:13" x14ac:dyDescent="0.3">
      <c r="A1567">
        <v>1566</v>
      </c>
      <c r="B1567" t="s">
        <v>1758</v>
      </c>
      <c r="C1567" s="1">
        <v>42448</v>
      </c>
      <c r="D1567" s="1">
        <v>42454</v>
      </c>
      <c r="E1567" t="s">
        <v>2118</v>
      </c>
      <c r="F1567" t="s">
        <v>869</v>
      </c>
      <c r="G1567" t="s">
        <v>870</v>
      </c>
      <c r="H1567" t="s">
        <v>26</v>
      </c>
      <c r="I1567" t="s">
        <v>2112</v>
      </c>
      <c r="J1567" t="s">
        <v>2111</v>
      </c>
      <c r="K1567">
        <v>453.57600000000002</v>
      </c>
      <c r="L1567">
        <f t="shared" si="48"/>
        <v>45357.600000000006</v>
      </c>
      <c r="M1567">
        <f t="shared" si="49"/>
        <v>9071.5200000000023</v>
      </c>
    </row>
    <row r="1568" spans="1:13" x14ac:dyDescent="0.3">
      <c r="A1568">
        <v>1567</v>
      </c>
      <c r="B1568" t="s">
        <v>1759</v>
      </c>
      <c r="C1568" s="1">
        <v>42703</v>
      </c>
      <c r="D1568" s="1">
        <v>42704</v>
      </c>
      <c r="E1568" t="s">
        <v>2120</v>
      </c>
      <c r="F1568" t="s">
        <v>1760</v>
      </c>
      <c r="G1568" t="s">
        <v>1761</v>
      </c>
      <c r="H1568" t="s">
        <v>6</v>
      </c>
      <c r="I1568" t="s">
        <v>2117</v>
      </c>
      <c r="J1568" t="s">
        <v>2111</v>
      </c>
      <c r="K1568">
        <v>21.48</v>
      </c>
      <c r="L1568">
        <f t="shared" si="48"/>
        <v>2148</v>
      </c>
      <c r="M1568">
        <f t="shared" si="49"/>
        <v>429.6</v>
      </c>
    </row>
    <row r="1569" spans="1:13" x14ac:dyDescent="0.3">
      <c r="A1569">
        <v>1568</v>
      </c>
      <c r="B1569" t="s">
        <v>1759</v>
      </c>
      <c r="C1569" s="1">
        <v>42703</v>
      </c>
      <c r="D1569" s="1">
        <v>42704</v>
      </c>
      <c r="E1569" t="s">
        <v>2120</v>
      </c>
      <c r="F1569" t="s">
        <v>1760</v>
      </c>
      <c r="G1569" t="s">
        <v>1761</v>
      </c>
      <c r="H1569" t="s">
        <v>6</v>
      </c>
      <c r="I1569" t="s">
        <v>2117</v>
      </c>
      <c r="J1569" t="s">
        <v>2110</v>
      </c>
      <c r="K1569">
        <v>8.7840000000000007</v>
      </c>
      <c r="L1569">
        <f t="shared" si="48"/>
        <v>878.40000000000009</v>
      </c>
      <c r="M1569">
        <f t="shared" si="49"/>
        <v>175.68000000000004</v>
      </c>
    </row>
    <row r="1570" spans="1:13" x14ac:dyDescent="0.3">
      <c r="A1570">
        <v>1569</v>
      </c>
      <c r="B1570" t="s">
        <v>1762</v>
      </c>
      <c r="C1570" s="1">
        <v>43262</v>
      </c>
      <c r="D1570" s="1">
        <v>43262</v>
      </c>
      <c r="E1570" t="s">
        <v>2120</v>
      </c>
      <c r="F1570" t="s">
        <v>742</v>
      </c>
      <c r="G1570" t="s">
        <v>743</v>
      </c>
      <c r="H1570" t="s">
        <v>6</v>
      </c>
      <c r="I1570" t="s">
        <v>2112</v>
      </c>
      <c r="J1570" t="s">
        <v>2110</v>
      </c>
      <c r="K1570">
        <v>122.97</v>
      </c>
      <c r="L1570">
        <f t="shared" si="48"/>
        <v>12297</v>
      </c>
      <c r="M1570">
        <f t="shared" si="49"/>
        <v>2459.4</v>
      </c>
    </row>
    <row r="1571" spans="1:13" x14ac:dyDescent="0.3">
      <c r="A1571">
        <v>1570</v>
      </c>
      <c r="B1571" t="s">
        <v>1763</v>
      </c>
      <c r="C1571" s="1">
        <v>43430</v>
      </c>
      <c r="D1571" s="1">
        <v>43434</v>
      </c>
      <c r="E1571" t="s">
        <v>2118</v>
      </c>
      <c r="F1571" t="s">
        <v>1126</v>
      </c>
      <c r="G1571" t="s">
        <v>1127</v>
      </c>
      <c r="H1571" t="s">
        <v>10</v>
      </c>
      <c r="I1571" t="s">
        <v>2115</v>
      </c>
      <c r="J1571" t="s">
        <v>2110</v>
      </c>
      <c r="K1571">
        <v>12.84</v>
      </c>
      <c r="L1571">
        <f t="shared" si="48"/>
        <v>1284</v>
      </c>
      <c r="M1571">
        <f t="shared" si="49"/>
        <v>256.8</v>
      </c>
    </row>
    <row r="1572" spans="1:13" x14ac:dyDescent="0.3">
      <c r="A1572">
        <v>1571</v>
      </c>
      <c r="B1572" t="s">
        <v>1764</v>
      </c>
      <c r="C1572" s="1">
        <v>42331</v>
      </c>
      <c r="D1572" s="1">
        <v>42333</v>
      </c>
      <c r="E1572" t="s">
        <v>2120</v>
      </c>
      <c r="F1572" t="s">
        <v>582</v>
      </c>
      <c r="G1572" t="s">
        <v>583</v>
      </c>
      <c r="H1572" t="s">
        <v>6</v>
      </c>
      <c r="I1572" t="s">
        <v>2112</v>
      </c>
      <c r="J1572" t="s">
        <v>2109</v>
      </c>
      <c r="K1572">
        <v>603.91999999999996</v>
      </c>
      <c r="L1572">
        <f t="shared" si="48"/>
        <v>60391.999999999993</v>
      </c>
      <c r="M1572">
        <f t="shared" si="49"/>
        <v>12078.4</v>
      </c>
    </row>
    <row r="1573" spans="1:13" x14ac:dyDescent="0.3">
      <c r="A1573">
        <v>1572</v>
      </c>
      <c r="B1573" t="s">
        <v>1764</v>
      </c>
      <c r="C1573" s="1">
        <v>42331</v>
      </c>
      <c r="D1573" s="1">
        <v>42333</v>
      </c>
      <c r="E1573" t="s">
        <v>2120</v>
      </c>
      <c r="F1573" t="s">
        <v>582</v>
      </c>
      <c r="G1573" t="s">
        <v>583</v>
      </c>
      <c r="H1573" t="s">
        <v>6</v>
      </c>
      <c r="I1573" t="s">
        <v>2112</v>
      </c>
      <c r="J1573" t="s">
        <v>2110</v>
      </c>
      <c r="K1573">
        <v>21.84</v>
      </c>
      <c r="L1573">
        <f t="shared" si="48"/>
        <v>2184</v>
      </c>
      <c r="M1573">
        <f t="shared" si="49"/>
        <v>436.8</v>
      </c>
    </row>
    <row r="1574" spans="1:13" x14ac:dyDescent="0.3">
      <c r="A1574">
        <v>1573</v>
      </c>
      <c r="B1574" t="s">
        <v>1764</v>
      </c>
      <c r="C1574" s="1">
        <v>42331</v>
      </c>
      <c r="D1574" s="1">
        <v>42333</v>
      </c>
      <c r="E1574" t="s">
        <v>2120</v>
      </c>
      <c r="F1574" t="s">
        <v>582</v>
      </c>
      <c r="G1574" t="s">
        <v>583</v>
      </c>
      <c r="H1574" t="s">
        <v>6</v>
      </c>
      <c r="I1574" t="s">
        <v>2112</v>
      </c>
      <c r="J1574" t="s">
        <v>2111</v>
      </c>
      <c r="K1574">
        <v>29.99</v>
      </c>
      <c r="L1574">
        <f t="shared" si="48"/>
        <v>2999</v>
      </c>
      <c r="M1574">
        <f t="shared" si="49"/>
        <v>599.80000000000007</v>
      </c>
    </row>
    <row r="1575" spans="1:13" x14ac:dyDescent="0.3">
      <c r="A1575">
        <v>1574</v>
      </c>
      <c r="B1575" t="s">
        <v>1764</v>
      </c>
      <c r="C1575" s="1">
        <v>42331</v>
      </c>
      <c r="D1575" s="1">
        <v>42333</v>
      </c>
      <c r="E1575" t="s">
        <v>2120</v>
      </c>
      <c r="F1575" t="s">
        <v>582</v>
      </c>
      <c r="G1575" t="s">
        <v>583</v>
      </c>
      <c r="H1575" t="s">
        <v>6</v>
      </c>
      <c r="I1575" t="s">
        <v>2112</v>
      </c>
      <c r="J1575" t="s">
        <v>2109</v>
      </c>
      <c r="K1575">
        <v>381.44</v>
      </c>
      <c r="L1575">
        <f t="shared" si="48"/>
        <v>38144</v>
      </c>
      <c r="M1575">
        <f t="shared" si="49"/>
        <v>7628.8</v>
      </c>
    </row>
    <row r="1576" spans="1:13" x14ac:dyDescent="0.3">
      <c r="A1576">
        <v>1575</v>
      </c>
      <c r="B1576" t="s">
        <v>1765</v>
      </c>
      <c r="C1576" s="1">
        <v>42353</v>
      </c>
      <c r="D1576" s="1">
        <v>42356</v>
      </c>
      <c r="E1576" t="s">
        <v>2120</v>
      </c>
      <c r="F1576" t="s">
        <v>1766</v>
      </c>
      <c r="G1576" t="s">
        <v>1767</v>
      </c>
      <c r="H1576" t="s">
        <v>6</v>
      </c>
      <c r="I1576" t="s">
        <v>2117</v>
      </c>
      <c r="J1576" t="s">
        <v>2111</v>
      </c>
      <c r="K1576">
        <v>40.68</v>
      </c>
      <c r="L1576">
        <f t="shared" si="48"/>
        <v>4068</v>
      </c>
      <c r="M1576">
        <f t="shared" si="49"/>
        <v>813.6</v>
      </c>
    </row>
    <row r="1577" spans="1:13" x14ac:dyDescent="0.3">
      <c r="A1577">
        <v>1576</v>
      </c>
      <c r="B1577" t="s">
        <v>1765</v>
      </c>
      <c r="C1577" s="1">
        <v>42353</v>
      </c>
      <c r="D1577" s="1">
        <v>42356</v>
      </c>
      <c r="E1577" t="s">
        <v>2120</v>
      </c>
      <c r="F1577" t="s">
        <v>1766</v>
      </c>
      <c r="G1577" t="s">
        <v>1767</v>
      </c>
      <c r="H1577" t="s">
        <v>6</v>
      </c>
      <c r="I1577" t="s">
        <v>2117</v>
      </c>
      <c r="J1577" t="s">
        <v>2109</v>
      </c>
      <c r="K1577">
        <v>763.28</v>
      </c>
      <c r="L1577">
        <f t="shared" si="48"/>
        <v>76328</v>
      </c>
      <c r="M1577">
        <f t="shared" si="49"/>
        <v>15265.6</v>
      </c>
    </row>
    <row r="1578" spans="1:13" x14ac:dyDescent="0.3">
      <c r="A1578">
        <v>1577</v>
      </c>
      <c r="B1578" t="s">
        <v>1768</v>
      </c>
      <c r="C1578" s="1">
        <v>42847</v>
      </c>
      <c r="D1578" s="1">
        <v>42852</v>
      </c>
      <c r="E1578" t="s">
        <v>2118</v>
      </c>
      <c r="F1578" t="s">
        <v>1769</v>
      </c>
      <c r="G1578" t="s">
        <v>1770</v>
      </c>
      <c r="H1578" t="s">
        <v>26</v>
      </c>
      <c r="I1578" t="s">
        <v>2117</v>
      </c>
      <c r="J1578" t="s">
        <v>2110</v>
      </c>
      <c r="K1578">
        <v>23.952000000000002</v>
      </c>
      <c r="L1578">
        <f t="shared" si="48"/>
        <v>2395.2000000000003</v>
      </c>
      <c r="M1578">
        <f t="shared" si="49"/>
        <v>479.04000000000008</v>
      </c>
    </row>
    <row r="1579" spans="1:13" x14ac:dyDescent="0.3">
      <c r="A1579">
        <v>1578</v>
      </c>
      <c r="B1579" t="s">
        <v>1771</v>
      </c>
      <c r="C1579" s="1">
        <v>42878</v>
      </c>
      <c r="D1579" s="1">
        <v>42882</v>
      </c>
      <c r="E1579" t="s">
        <v>2118</v>
      </c>
      <c r="F1579" t="s">
        <v>1356</v>
      </c>
      <c r="G1579" t="s">
        <v>1357</v>
      </c>
      <c r="H1579" t="s">
        <v>26</v>
      </c>
      <c r="I1579" t="s">
        <v>2115</v>
      </c>
      <c r="J1579" t="s">
        <v>2110</v>
      </c>
      <c r="K1579">
        <v>4.9800000000000004</v>
      </c>
      <c r="L1579">
        <f t="shared" si="48"/>
        <v>498.00000000000006</v>
      </c>
      <c r="M1579">
        <f t="shared" si="49"/>
        <v>99.600000000000023</v>
      </c>
    </row>
    <row r="1580" spans="1:13" x14ac:dyDescent="0.3">
      <c r="A1580">
        <v>1579</v>
      </c>
      <c r="B1580" t="s">
        <v>1772</v>
      </c>
      <c r="C1580" s="1">
        <v>42793</v>
      </c>
      <c r="D1580" s="1">
        <v>42795</v>
      </c>
      <c r="E1580" t="s">
        <v>2120</v>
      </c>
      <c r="F1580" t="s">
        <v>962</v>
      </c>
      <c r="G1580" t="s">
        <v>963</v>
      </c>
      <c r="H1580" t="s">
        <v>6</v>
      </c>
      <c r="I1580" t="s">
        <v>2114</v>
      </c>
      <c r="J1580" t="s">
        <v>2110</v>
      </c>
      <c r="K1580">
        <v>170.88</v>
      </c>
      <c r="L1580">
        <f t="shared" si="48"/>
        <v>17088</v>
      </c>
      <c r="M1580">
        <f t="shared" si="49"/>
        <v>3417.6000000000004</v>
      </c>
    </row>
    <row r="1581" spans="1:13" x14ac:dyDescent="0.3">
      <c r="A1581">
        <v>1580</v>
      </c>
      <c r="B1581" t="s">
        <v>1773</v>
      </c>
      <c r="C1581" s="1">
        <v>42591</v>
      </c>
      <c r="D1581" s="1">
        <v>42594</v>
      </c>
      <c r="E1581" t="s">
        <v>2120</v>
      </c>
      <c r="F1581" t="s">
        <v>863</v>
      </c>
      <c r="G1581" t="s">
        <v>864</v>
      </c>
      <c r="H1581" t="s">
        <v>6</v>
      </c>
      <c r="I1581" t="s">
        <v>2114</v>
      </c>
      <c r="J1581" t="s">
        <v>2111</v>
      </c>
      <c r="K1581">
        <v>307.98</v>
      </c>
      <c r="L1581">
        <f t="shared" si="48"/>
        <v>30798</v>
      </c>
      <c r="M1581">
        <f t="shared" si="49"/>
        <v>6159.6</v>
      </c>
    </row>
    <row r="1582" spans="1:13" x14ac:dyDescent="0.3">
      <c r="A1582">
        <v>1581</v>
      </c>
      <c r="B1582" t="s">
        <v>1773</v>
      </c>
      <c r="C1582" s="1">
        <v>42591</v>
      </c>
      <c r="D1582" s="1">
        <v>42594</v>
      </c>
      <c r="E1582" t="s">
        <v>2120</v>
      </c>
      <c r="F1582" t="s">
        <v>863</v>
      </c>
      <c r="G1582" t="s">
        <v>864</v>
      </c>
      <c r="H1582" t="s">
        <v>6</v>
      </c>
      <c r="I1582" t="s">
        <v>2114</v>
      </c>
      <c r="J1582" t="s">
        <v>2109</v>
      </c>
      <c r="K1582">
        <v>382.80599999999998</v>
      </c>
      <c r="L1582">
        <f t="shared" si="48"/>
        <v>38280.6</v>
      </c>
      <c r="M1582">
        <f t="shared" si="49"/>
        <v>7656.12</v>
      </c>
    </row>
    <row r="1583" spans="1:13" x14ac:dyDescent="0.3">
      <c r="A1583">
        <v>1582</v>
      </c>
      <c r="B1583" t="s">
        <v>1773</v>
      </c>
      <c r="C1583" s="1">
        <v>42591</v>
      </c>
      <c r="D1583" s="1">
        <v>42594</v>
      </c>
      <c r="E1583" t="s">
        <v>2120</v>
      </c>
      <c r="F1583" t="s">
        <v>863</v>
      </c>
      <c r="G1583" t="s">
        <v>864</v>
      </c>
      <c r="H1583" t="s">
        <v>6</v>
      </c>
      <c r="I1583" t="s">
        <v>2114</v>
      </c>
      <c r="J1583" t="s">
        <v>2110</v>
      </c>
      <c r="K1583">
        <v>41.96</v>
      </c>
      <c r="L1583">
        <f t="shared" si="48"/>
        <v>4196</v>
      </c>
      <c r="M1583">
        <f t="shared" si="49"/>
        <v>839.2</v>
      </c>
    </row>
    <row r="1584" spans="1:13" x14ac:dyDescent="0.3">
      <c r="A1584">
        <v>1583</v>
      </c>
      <c r="B1584" t="s">
        <v>1773</v>
      </c>
      <c r="C1584" s="1">
        <v>42591</v>
      </c>
      <c r="D1584" s="1">
        <v>42594</v>
      </c>
      <c r="E1584" t="s">
        <v>2120</v>
      </c>
      <c r="F1584" t="s">
        <v>863</v>
      </c>
      <c r="G1584" t="s">
        <v>864</v>
      </c>
      <c r="H1584" t="s">
        <v>6</v>
      </c>
      <c r="I1584" t="s">
        <v>2114</v>
      </c>
      <c r="J1584" t="s">
        <v>2110</v>
      </c>
      <c r="K1584">
        <v>1217.568</v>
      </c>
      <c r="L1584">
        <f t="shared" si="48"/>
        <v>121756.8</v>
      </c>
      <c r="M1584">
        <f t="shared" si="49"/>
        <v>24351.360000000001</v>
      </c>
    </row>
    <row r="1585" spans="1:13" x14ac:dyDescent="0.3">
      <c r="A1585">
        <v>1584</v>
      </c>
      <c r="B1585" t="s">
        <v>1773</v>
      </c>
      <c r="C1585" s="1">
        <v>42591</v>
      </c>
      <c r="D1585" s="1">
        <v>42594</v>
      </c>
      <c r="E1585" t="s">
        <v>2120</v>
      </c>
      <c r="F1585" t="s">
        <v>863</v>
      </c>
      <c r="G1585" t="s">
        <v>864</v>
      </c>
      <c r="H1585" t="s">
        <v>6</v>
      </c>
      <c r="I1585" t="s">
        <v>2114</v>
      </c>
      <c r="J1585" t="s">
        <v>2109</v>
      </c>
      <c r="K1585">
        <v>47.04</v>
      </c>
      <c r="L1585">
        <f t="shared" si="48"/>
        <v>4704</v>
      </c>
      <c r="M1585">
        <f t="shared" si="49"/>
        <v>940.80000000000007</v>
      </c>
    </row>
    <row r="1586" spans="1:13" x14ac:dyDescent="0.3">
      <c r="A1586">
        <v>1585</v>
      </c>
      <c r="B1586" t="s">
        <v>1773</v>
      </c>
      <c r="C1586" s="1">
        <v>42591</v>
      </c>
      <c r="D1586" s="1">
        <v>42594</v>
      </c>
      <c r="E1586" t="s">
        <v>2120</v>
      </c>
      <c r="F1586" t="s">
        <v>863</v>
      </c>
      <c r="G1586" t="s">
        <v>864</v>
      </c>
      <c r="H1586" t="s">
        <v>6</v>
      </c>
      <c r="I1586" t="s">
        <v>2114</v>
      </c>
      <c r="J1586" t="s">
        <v>2109</v>
      </c>
      <c r="K1586">
        <v>6.16</v>
      </c>
      <c r="L1586">
        <f t="shared" si="48"/>
        <v>616</v>
      </c>
      <c r="M1586">
        <f t="shared" si="49"/>
        <v>123.2</v>
      </c>
    </row>
    <row r="1587" spans="1:13" x14ac:dyDescent="0.3">
      <c r="A1587">
        <v>1586</v>
      </c>
      <c r="B1587" t="s">
        <v>1773</v>
      </c>
      <c r="C1587" s="1">
        <v>42591</v>
      </c>
      <c r="D1587" s="1">
        <v>42594</v>
      </c>
      <c r="E1587" t="s">
        <v>2120</v>
      </c>
      <c r="F1587" t="s">
        <v>863</v>
      </c>
      <c r="G1587" t="s">
        <v>864</v>
      </c>
      <c r="H1587" t="s">
        <v>6</v>
      </c>
      <c r="I1587" t="s">
        <v>2114</v>
      </c>
      <c r="J1587" t="s">
        <v>2111</v>
      </c>
      <c r="K1587">
        <v>979.95</v>
      </c>
      <c r="L1587">
        <f t="shared" si="48"/>
        <v>97995</v>
      </c>
      <c r="M1587">
        <f t="shared" si="49"/>
        <v>19599</v>
      </c>
    </row>
    <row r="1588" spans="1:13" x14ac:dyDescent="0.3">
      <c r="A1588">
        <v>1587</v>
      </c>
      <c r="B1588" t="s">
        <v>1773</v>
      </c>
      <c r="C1588" s="1">
        <v>42591</v>
      </c>
      <c r="D1588" s="1">
        <v>42594</v>
      </c>
      <c r="E1588" t="s">
        <v>2120</v>
      </c>
      <c r="F1588" t="s">
        <v>863</v>
      </c>
      <c r="G1588" t="s">
        <v>864</v>
      </c>
      <c r="H1588" t="s">
        <v>6</v>
      </c>
      <c r="I1588" t="s">
        <v>2114</v>
      </c>
      <c r="J1588" t="s">
        <v>2110</v>
      </c>
      <c r="K1588">
        <v>143.69999999999999</v>
      </c>
      <c r="L1588">
        <f t="shared" si="48"/>
        <v>14369.999999999998</v>
      </c>
      <c r="M1588">
        <f t="shared" si="49"/>
        <v>2874</v>
      </c>
    </row>
    <row r="1589" spans="1:13" x14ac:dyDescent="0.3">
      <c r="A1589">
        <v>1588</v>
      </c>
      <c r="B1589" t="s">
        <v>1773</v>
      </c>
      <c r="C1589" s="1">
        <v>42591</v>
      </c>
      <c r="D1589" s="1">
        <v>42594</v>
      </c>
      <c r="E1589" t="s">
        <v>2120</v>
      </c>
      <c r="F1589" t="s">
        <v>863</v>
      </c>
      <c r="G1589" t="s">
        <v>864</v>
      </c>
      <c r="H1589" t="s">
        <v>6</v>
      </c>
      <c r="I1589" t="s">
        <v>2114</v>
      </c>
      <c r="J1589" t="s">
        <v>2110</v>
      </c>
      <c r="K1589">
        <v>10.65</v>
      </c>
      <c r="L1589">
        <f t="shared" si="48"/>
        <v>1065</v>
      </c>
      <c r="M1589">
        <f t="shared" si="49"/>
        <v>213</v>
      </c>
    </row>
    <row r="1590" spans="1:13" x14ac:dyDescent="0.3">
      <c r="A1590">
        <v>1589</v>
      </c>
      <c r="B1590" t="s">
        <v>1773</v>
      </c>
      <c r="C1590" s="1">
        <v>42591</v>
      </c>
      <c r="D1590" s="1">
        <v>42594</v>
      </c>
      <c r="E1590" t="s">
        <v>2120</v>
      </c>
      <c r="F1590" t="s">
        <v>863</v>
      </c>
      <c r="G1590" t="s">
        <v>864</v>
      </c>
      <c r="H1590" t="s">
        <v>6</v>
      </c>
      <c r="I1590" t="s">
        <v>2114</v>
      </c>
      <c r="J1590" t="s">
        <v>2111</v>
      </c>
      <c r="K1590">
        <v>247.8</v>
      </c>
      <c r="L1590">
        <f t="shared" si="48"/>
        <v>24780</v>
      </c>
      <c r="M1590">
        <f t="shared" si="49"/>
        <v>4956</v>
      </c>
    </row>
    <row r="1591" spans="1:13" x14ac:dyDescent="0.3">
      <c r="A1591">
        <v>1590</v>
      </c>
      <c r="B1591" t="s">
        <v>1774</v>
      </c>
      <c r="C1591" s="1">
        <v>42867</v>
      </c>
      <c r="D1591" s="1">
        <v>42871</v>
      </c>
      <c r="E1591" t="s">
        <v>2118</v>
      </c>
      <c r="F1591" t="s">
        <v>1775</v>
      </c>
      <c r="G1591" t="s">
        <v>1776</v>
      </c>
      <c r="H1591" t="s">
        <v>10</v>
      </c>
      <c r="I1591" t="s">
        <v>2115</v>
      </c>
      <c r="J1591" t="s">
        <v>2110</v>
      </c>
      <c r="K1591">
        <v>10.96</v>
      </c>
      <c r="L1591">
        <f t="shared" si="48"/>
        <v>1096</v>
      </c>
      <c r="M1591">
        <f t="shared" si="49"/>
        <v>219.20000000000002</v>
      </c>
    </row>
    <row r="1592" spans="1:13" x14ac:dyDescent="0.3">
      <c r="A1592">
        <v>1591</v>
      </c>
      <c r="B1592" t="s">
        <v>1777</v>
      </c>
      <c r="C1592" s="1">
        <v>42840</v>
      </c>
      <c r="D1592" s="1">
        <v>42844</v>
      </c>
      <c r="E1592" t="s">
        <v>2118</v>
      </c>
      <c r="F1592" t="s">
        <v>1778</v>
      </c>
      <c r="G1592" t="s">
        <v>1779</v>
      </c>
      <c r="H1592" t="s">
        <v>10</v>
      </c>
      <c r="I1592" t="s">
        <v>2117</v>
      </c>
      <c r="J1592" t="s">
        <v>2110</v>
      </c>
      <c r="K1592">
        <v>33.488</v>
      </c>
      <c r="L1592">
        <f t="shared" si="48"/>
        <v>3348.8</v>
      </c>
      <c r="M1592">
        <f t="shared" si="49"/>
        <v>669.7600000000001</v>
      </c>
    </row>
    <row r="1593" spans="1:13" x14ac:dyDescent="0.3">
      <c r="A1593">
        <v>1592</v>
      </c>
      <c r="B1593" t="s">
        <v>1777</v>
      </c>
      <c r="C1593" s="1">
        <v>42840</v>
      </c>
      <c r="D1593" s="1">
        <v>42844</v>
      </c>
      <c r="E1593" t="s">
        <v>2118</v>
      </c>
      <c r="F1593" t="s">
        <v>1778</v>
      </c>
      <c r="G1593" t="s">
        <v>1779</v>
      </c>
      <c r="H1593" t="s">
        <v>10</v>
      </c>
      <c r="I1593" t="s">
        <v>2117</v>
      </c>
      <c r="J1593" t="s">
        <v>2110</v>
      </c>
      <c r="K1593">
        <v>8.0399999999999991</v>
      </c>
      <c r="L1593">
        <f t="shared" si="48"/>
        <v>803.99999999999989</v>
      </c>
      <c r="M1593">
        <f t="shared" si="49"/>
        <v>160.79999999999998</v>
      </c>
    </row>
    <row r="1594" spans="1:13" x14ac:dyDescent="0.3">
      <c r="A1594">
        <v>1593</v>
      </c>
      <c r="B1594" t="s">
        <v>1780</v>
      </c>
      <c r="C1594" s="1">
        <v>42544</v>
      </c>
      <c r="D1594" s="1">
        <v>42546</v>
      </c>
      <c r="E1594" t="s">
        <v>2119</v>
      </c>
      <c r="F1594" t="s">
        <v>1781</v>
      </c>
      <c r="G1594" t="s">
        <v>1782</v>
      </c>
      <c r="H1594" t="s">
        <v>6</v>
      </c>
      <c r="I1594" t="s">
        <v>2112</v>
      </c>
      <c r="J1594" t="s">
        <v>2111</v>
      </c>
      <c r="K1594">
        <v>201.56800000000001</v>
      </c>
      <c r="L1594">
        <f t="shared" si="48"/>
        <v>20156.800000000003</v>
      </c>
      <c r="M1594">
        <f t="shared" si="49"/>
        <v>4031.3600000000006</v>
      </c>
    </row>
    <row r="1595" spans="1:13" x14ac:dyDescent="0.3">
      <c r="A1595">
        <v>1594</v>
      </c>
      <c r="B1595" t="s">
        <v>1783</v>
      </c>
      <c r="C1595" s="1">
        <v>42296</v>
      </c>
      <c r="D1595" s="1">
        <v>42296</v>
      </c>
      <c r="E1595" t="s">
        <v>2120</v>
      </c>
      <c r="F1595" t="s">
        <v>718</v>
      </c>
      <c r="G1595" t="s">
        <v>719</v>
      </c>
      <c r="H1595" t="s">
        <v>6</v>
      </c>
      <c r="I1595" t="s">
        <v>2112</v>
      </c>
      <c r="J1595" t="s">
        <v>2110</v>
      </c>
      <c r="K1595">
        <v>13.44</v>
      </c>
      <c r="L1595">
        <f t="shared" si="48"/>
        <v>1344</v>
      </c>
      <c r="M1595">
        <f t="shared" si="49"/>
        <v>268.8</v>
      </c>
    </row>
    <row r="1596" spans="1:13" x14ac:dyDescent="0.3">
      <c r="A1596">
        <v>1595</v>
      </c>
      <c r="B1596" t="s">
        <v>1784</v>
      </c>
      <c r="C1596" s="1">
        <v>42453</v>
      </c>
      <c r="D1596" s="1">
        <v>42456</v>
      </c>
      <c r="E1596" t="s">
        <v>2120</v>
      </c>
      <c r="F1596" t="s">
        <v>1785</v>
      </c>
      <c r="G1596" t="s">
        <v>1786</v>
      </c>
      <c r="H1596" t="s">
        <v>26</v>
      </c>
      <c r="I1596" t="s">
        <v>2117</v>
      </c>
      <c r="J1596" t="s">
        <v>2109</v>
      </c>
      <c r="K1596">
        <v>359.05799999999999</v>
      </c>
      <c r="L1596">
        <f t="shared" si="48"/>
        <v>35905.800000000003</v>
      </c>
      <c r="M1596">
        <f t="shared" si="49"/>
        <v>7181.1600000000008</v>
      </c>
    </row>
    <row r="1597" spans="1:13" x14ac:dyDescent="0.3">
      <c r="A1597">
        <v>1596</v>
      </c>
      <c r="B1597" t="s">
        <v>1787</v>
      </c>
      <c r="C1597" s="1">
        <v>43228</v>
      </c>
      <c r="D1597" s="1">
        <v>43232</v>
      </c>
      <c r="E1597" t="s">
        <v>2118</v>
      </c>
      <c r="F1597" t="s">
        <v>632</v>
      </c>
      <c r="G1597" t="s">
        <v>633</v>
      </c>
      <c r="H1597" t="s">
        <v>6</v>
      </c>
      <c r="I1597" t="s">
        <v>2114</v>
      </c>
      <c r="J1597" t="s">
        <v>2109</v>
      </c>
      <c r="K1597">
        <v>47.991999999999997</v>
      </c>
      <c r="L1597">
        <f t="shared" si="48"/>
        <v>4799.2</v>
      </c>
      <c r="M1597">
        <f t="shared" si="49"/>
        <v>959.84</v>
      </c>
    </row>
    <row r="1598" spans="1:13" x14ac:dyDescent="0.3">
      <c r="A1598">
        <v>1597</v>
      </c>
      <c r="B1598" t="s">
        <v>1788</v>
      </c>
      <c r="C1598" s="1">
        <v>43389</v>
      </c>
      <c r="D1598" s="1">
        <v>43391</v>
      </c>
      <c r="E1598" t="s">
        <v>2120</v>
      </c>
      <c r="F1598" t="s">
        <v>636</v>
      </c>
      <c r="G1598" t="s">
        <v>637</v>
      </c>
      <c r="H1598" t="s">
        <v>10</v>
      </c>
      <c r="I1598" t="s">
        <v>2114</v>
      </c>
      <c r="J1598" t="s">
        <v>2109</v>
      </c>
      <c r="K1598">
        <v>547.29999999999995</v>
      </c>
      <c r="L1598">
        <f t="shared" si="48"/>
        <v>54729.999999999993</v>
      </c>
      <c r="M1598">
        <f t="shared" si="49"/>
        <v>10946</v>
      </c>
    </row>
    <row r="1599" spans="1:13" x14ac:dyDescent="0.3">
      <c r="A1599">
        <v>1598</v>
      </c>
      <c r="B1599" t="s">
        <v>1789</v>
      </c>
      <c r="C1599" s="1">
        <v>43423</v>
      </c>
      <c r="D1599" s="1">
        <v>43425</v>
      </c>
      <c r="E1599" t="s">
        <v>2119</v>
      </c>
      <c r="F1599" t="s">
        <v>1741</v>
      </c>
      <c r="G1599" t="s">
        <v>1742</v>
      </c>
      <c r="H1599" t="s">
        <v>6</v>
      </c>
      <c r="I1599" t="s">
        <v>2117</v>
      </c>
      <c r="J1599" t="s">
        <v>2110</v>
      </c>
      <c r="K1599">
        <v>16.896000000000001</v>
      </c>
      <c r="L1599">
        <f t="shared" si="48"/>
        <v>1689.6000000000001</v>
      </c>
      <c r="M1599">
        <f t="shared" si="49"/>
        <v>337.92000000000007</v>
      </c>
    </row>
    <row r="1600" spans="1:13" x14ac:dyDescent="0.3">
      <c r="A1600">
        <v>1599</v>
      </c>
      <c r="B1600" t="s">
        <v>1789</v>
      </c>
      <c r="C1600" s="1">
        <v>43423</v>
      </c>
      <c r="D1600" s="1">
        <v>43425</v>
      </c>
      <c r="E1600" t="s">
        <v>2119</v>
      </c>
      <c r="F1600" t="s">
        <v>1741</v>
      </c>
      <c r="G1600" t="s">
        <v>1742</v>
      </c>
      <c r="H1600" t="s">
        <v>6</v>
      </c>
      <c r="I1600" t="s">
        <v>2117</v>
      </c>
      <c r="J1600" t="s">
        <v>2110</v>
      </c>
      <c r="K1600">
        <v>6.6719999999999997</v>
      </c>
      <c r="L1600">
        <f t="shared" si="48"/>
        <v>667.19999999999993</v>
      </c>
      <c r="M1600">
        <f t="shared" si="49"/>
        <v>133.44</v>
      </c>
    </row>
    <row r="1601" spans="1:13" x14ac:dyDescent="0.3">
      <c r="A1601">
        <v>1600</v>
      </c>
      <c r="B1601" t="s">
        <v>1789</v>
      </c>
      <c r="C1601" s="1">
        <v>43423</v>
      </c>
      <c r="D1601" s="1">
        <v>43425</v>
      </c>
      <c r="E1601" t="s">
        <v>2119</v>
      </c>
      <c r="F1601" t="s">
        <v>1741</v>
      </c>
      <c r="G1601" t="s">
        <v>1742</v>
      </c>
      <c r="H1601" t="s">
        <v>6</v>
      </c>
      <c r="I1601" t="s">
        <v>2117</v>
      </c>
      <c r="J1601" t="s">
        <v>2110</v>
      </c>
      <c r="K1601">
        <v>99.135999999999996</v>
      </c>
      <c r="L1601">
        <f t="shared" si="48"/>
        <v>9913.6</v>
      </c>
      <c r="M1601">
        <f t="shared" si="49"/>
        <v>1982.7200000000003</v>
      </c>
    </row>
    <row r="1602" spans="1:13" x14ac:dyDescent="0.3">
      <c r="A1602">
        <v>1601</v>
      </c>
      <c r="B1602" t="s">
        <v>1789</v>
      </c>
      <c r="C1602" s="1">
        <v>43423</v>
      </c>
      <c r="D1602" s="1">
        <v>43425</v>
      </c>
      <c r="E1602" t="s">
        <v>2119</v>
      </c>
      <c r="F1602" t="s">
        <v>1741</v>
      </c>
      <c r="G1602" t="s">
        <v>1742</v>
      </c>
      <c r="H1602" t="s">
        <v>6</v>
      </c>
      <c r="I1602" t="s">
        <v>2117</v>
      </c>
      <c r="J1602" t="s">
        <v>2109</v>
      </c>
      <c r="K1602">
        <v>15.992000000000001</v>
      </c>
      <c r="L1602">
        <f t="shared" ref="L1602:L1665" si="50">K1602*100</f>
        <v>1599.2</v>
      </c>
      <c r="M1602">
        <f t="shared" si="49"/>
        <v>319.84000000000003</v>
      </c>
    </row>
    <row r="1603" spans="1:13" x14ac:dyDescent="0.3">
      <c r="A1603">
        <v>1602</v>
      </c>
      <c r="B1603" t="s">
        <v>1790</v>
      </c>
      <c r="C1603" s="1">
        <v>42863</v>
      </c>
      <c r="D1603" s="1">
        <v>42868</v>
      </c>
      <c r="E1603" t="s">
        <v>2119</v>
      </c>
      <c r="F1603" t="s">
        <v>1101</v>
      </c>
      <c r="G1603" t="s">
        <v>1102</v>
      </c>
      <c r="H1603" t="s">
        <v>10</v>
      </c>
      <c r="I1603" t="s">
        <v>2114</v>
      </c>
      <c r="J1603" t="s">
        <v>2109</v>
      </c>
      <c r="K1603">
        <v>211.96</v>
      </c>
      <c r="L1603">
        <f t="shared" si="50"/>
        <v>21196</v>
      </c>
      <c r="M1603">
        <f t="shared" ref="M1603:M1666" si="51">L1603*0.2</f>
        <v>4239.2</v>
      </c>
    </row>
    <row r="1604" spans="1:13" x14ac:dyDescent="0.3">
      <c r="A1604">
        <v>1603</v>
      </c>
      <c r="B1604" t="s">
        <v>1791</v>
      </c>
      <c r="C1604" s="1">
        <v>43080</v>
      </c>
      <c r="D1604" s="1">
        <v>43086</v>
      </c>
      <c r="E1604" t="s">
        <v>2118</v>
      </c>
      <c r="F1604" t="s">
        <v>715</v>
      </c>
      <c r="G1604" t="s">
        <v>716</v>
      </c>
      <c r="H1604" t="s">
        <v>6</v>
      </c>
      <c r="I1604" t="s">
        <v>2115</v>
      </c>
      <c r="J1604" t="s">
        <v>2110</v>
      </c>
      <c r="K1604">
        <v>6.6719999999999997</v>
      </c>
      <c r="L1604">
        <f t="shared" si="50"/>
        <v>667.19999999999993</v>
      </c>
      <c r="M1604">
        <f t="shared" si="51"/>
        <v>133.44</v>
      </c>
    </row>
    <row r="1605" spans="1:13" x14ac:dyDescent="0.3">
      <c r="A1605">
        <v>1604</v>
      </c>
      <c r="B1605" t="s">
        <v>1792</v>
      </c>
      <c r="C1605" s="1">
        <v>43434</v>
      </c>
      <c r="D1605" s="1">
        <v>43438</v>
      </c>
      <c r="E1605" t="s">
        <v>2118</v>
      </c>
      <c r="F1605" t="s">
        <v>801</v>
      </c>
      <c r="G1605" t="s">
        <v>802</v>
      </c>
      <c r="H1605" t="s">
        <v>6</v>
      </c>
      <c r="I1605" t="s">
        <v>2114</v>
      </c>
      <c r="J1605" t="s">
        <v>2110</v>
      </c>
      <c r="K1605">
        <v>155.94</v>
      </c>
      <c r="L1605">
        <f t="shared" si="50"/>
        <v>15594</v>
      </c>
      <c r="M1605">
        <f t="shared" si="51"/>
        <v>3118.8</v>
      </c>
    </row>
    <row r="1606" spans="1:13" x14ac:dyDescent="0.3">
      <c r="A1606">
        <v>1605</v>
      </c>
      <c r="B1606" t="s">
        <v>1793</v>
      </c>
      <c r="C1606" s="1">
        <v>42844</v>
      </c>
      <c r="D1606" s="1">
        <v>42849</v>
      </c>
      <c r="E1606" t="s">
        <v>2119</v>
      </c>
      <c r="F1606" t="s">
        <v>384</v>
      </c>
      <c r="G1606" t="s">
        <v>385</v>
      </c>
      <c r="H1606" t="s">
        <v>6</v>
      </c>
      <c r="I1606" t="s">
        <v>2112</v>
      </c>
      <c r="J1606" t="s">
        <v>2111</v>
      </c>
      <c r="K1606">
        <v>39.96</v>
      </c>
      <c r="L1606">
        <f t="shared" si="50"/>
        <v>3996</v>
      </c>
      <c r="M1606">
        <f t="shared" si="51"/>
        <v>799.2</v>
      </c>
    </row>
    <row r="1607" spans="1:13" x14ac:dyDescent="0.3">
      <c r="A1607">
        <v>1606</v>
      </c>
      <c r="B1607" t="s">
        <v>1793</v>
      </c>
      <c r="C1607" s="1">
        <v>42844</v>
      </c>
      <c r="D1607" s="1">
        <v>42849</v>
      </c>
      <c r="E1607" t="s">
        <v>2119</v>
      </c>
      <c r="F1607" t="s">
        <v>384</v>
      </c>
      <c r="G1607" t="s">
        <v>385</v>
      </c>
      <c r="H1607" t="s">
        <v>6</v>
      </c>
      <c r="I1607" t="s">
        <v>2112</v>
      </c>
      <c r="J1607" t="s">
        <v>2110</v>
      </c>
      <c r="K1607">
        <v>5.46</v>
      </c>
      <c r="L1607">
        <f t="shared" si="50"/>
        <v>546</v>
      </c>
      <c r="M1607">
        <f t="shared" si="51"/>
        <v>109.2</v>
      </c>
    </row>
    <row r="1608" spans="1:13" x14ac:dyDescent="0.3">
      <c r="A1608">
        <v>1607</v>
      </c>
      <c r="B1608" t="s">
        <v>1793</v>
      </c>
      <c r="C1608" s="1">
        <v>42844</v>
      </c>
      <c r="D1608" s="1">
        <v>42849</v>
      </c>
      <c r="E1608" t="s">
        <v>2119</v>
      </c>
      <c r="F1608" t="s">
        <v>384</v>
      </c>
      <c r="G1608" t="s">
        <v>385</v>
      </c>
      <c r="H1608" t="s">
        <v>6</v>
      </c>
      <c r="I1608" t="s">
        <v>2112</v>
      </c>
      <c r="J1608" t="s">
        <v>2110</v>
      </c>
      <c r="K1608">
        <v>73.2</v>
      </c>
      <c r="L1608">
        <f t="shared" si="50"/>
        <v>7320</v>
      </c>
      <c r="M1608">
        <f t="shared" si="51"/>
        <v>1464</v>
      </c>
    </row>
    <row r="1609" spans="1:13" x14ac:dyDescent="0.3">
      <c r="A1609">
        <v>1608</v>
      </c>
      <c r="B1609" t="s">
        <v>1793</v>
      </c>
      <c r="C1609" s="1">
        <v>42844</v>
      </c>
      <c r="D1609" s="1">
        <v>42849</v>
      </c>
      <c r="E1609" t="s">
        <v>2119</v>
      </c>
      <c r="F1609" t="s">
        <v>384</v>
      </c>
      <c r="G1609" t="s">
        <v>385</v>
      </c>
      <c r="H1609" t="s">
        <v>6</v>
      </c>
      <c r="I1609" t="s">
        <v>2112</v>
      </c>
      <c r="J1609" t="s">
        <v>2110</v>
      </c>
      <c r="K1609">
        <v>5.84</v>
      </c>
      <c r="L1609">
        <f t="shared" si="50"/>
        <v>584</v>
      </c>
      <c r="M1609">
        <f t="shared" si="51"/>
        <v>116.80000000000001</v>
      </c>
    </row>
    <row r="1610" spans="1:13" x14ac:dyDescent="0.3">
      <c r="A1610">
        <v>1609</v>
      </c>
      <c r="B1610" t="s">
        <v>1793</v>
      </c>
      <c r="C1610" s="1">
        <v>42844</v>
      </c>
      <c r="D1610" s="1">
        <v>42849</v>
      </c>
      <c r="E1610" t="s">
        <v>2119</v>
      </c>
      <c r="F1610" t="s">
        <v>384</v>
      </c>
      <c r="G1610" t="s">
        <v>385</v>
      </c>
      <c r="H1610" t="s">
        <v>6</v>
      </c>
      <c r="I1610" t="s">
        <v>2112</v>
      </c>
      <c r="J1610" t="s">
        <v>2110</v>
      </c>
      <c r="K1610">
        <v>22.72</v>
      </c>
      <c r="L1610">
        <f t="shared" si="50"/>
        <v>2272</v>
      </c>
      <c r="M1610">
        <f t="shared" si="51"/>
        <v>454.40000000000003</v>
      </c>
    </row>
    <row r="1611" spans="1:13" x14ac:dyDescent="0.3">
      <c r="A1611">
        <v>1610</v>
      </c>
      <c r="B1611" t="s">
        <v>1793</v>
      </c>
      <c r="C1611" s="1">
        <v>42844</v>
      </c>
      <c r="D1611" s="1">
        <v>42849</v>
      </c>
      <c r="E1611" t="s">
        <v>2119</v>
      </c>
      <c r="F1611" t="s">
        <v>384</v>
      </c>
      <c r="G1611" t="s">
        <v>385</v>
      </c>
      <c r="H1611" t="s">
        <v>6</v>
      </c>
      <c r="I1611" t="s">
        <v>2112</v>
      </c>
      <c r="J1611" t="s">
        <v>2110</v>
      </c>
      <c r="K1611">
        <v>9.3360000000000003</v>
      </c>
      <c r="L1611">
        <f t="shared" si="50"/>
        <v>933.6</v>
      </c>
      <c r="M1611">
        <f t="shared" si="51"/>
        <v>186.72000000000003</v>
      </c>
    </row>
    <row r="1612" spans="1:13" x14ac:dyDescent="0.3">
      <c r="A1612">
        <v>1611</v>
      </c>
      <c r="B1612" t="s">
        <v>1794</v>
      </c>
      <c r="C1612" s="1">
        <v>42150</v>
      </c>
      <c r="D1612" s="1">
        <v>42154</v>
      </c>
      <c r="E1612" t="s">
        <v>2118</v>
      </c>
      <c r="F1612" t="s">
        <v>1795</v>
      </c>
      <c r="G1612" t="s">
        <v>1796</v>
      </c>
      <c r="H1612" t="s">
        <v>10</v>
      </c>
      <c r="I1612" t="s">
        <v>2112</v>
      </c>
      <c r="J1612" t="s">
        <v>2109</v>
      </c>
      <c r="K1612">
        <v>290.666</v>
      </c>
      <c r="L1612">
        <f t="shared" si="50"/>
        <v>29066.6</v>
      </c>
      <c r="M1612">
        <f t="shared" si="51"/>
        <v>5813.32</v>
      </c>
    </row>
    <row r="1613" spans="1:13" x14ac:dyDescent="0.3">
      <c r="A1613">
        <v>1612</v>
      </c>
      <c r="B1613" t="s">
        <v>1794</v>
      </c>
      <c r="C1613" s="1">
        <v>42150</v>
      </c>
      <c r="D1613" s="1">
        <v>42154</v>
      </c>
      <c r="E1613" t="s">
        <v>2118</v>
      </c>
      <c r="F1613" t="s">
        <v>1795</v>
      </c>
      <c r="G1613" t="s">
        <v>1796</v>
      </c>
      <c r="H1613" t="s">
        <v>10</v>
      </c>
      <c r="I1613" t="s">
        <v>2112</v>
      </c>
      <c r="J1613" t="s">
        <v>2111</v>
      </c>
      <c r="K1613">
        <v>201.584</v>
      </c>
      <c r="L1613">
        <f t="shared" si="50"/>
        <v>20158.400000000001</v>
      </c>
      <c r="M1613">
        <f t="shared" si="51"/>
        <v>4031.6800000000003</v>
      </c>
    </row>
    <row r="1614" spans="1:13" x14ac:dyDescent="0.3">
      <c r="A1614">
        <v>1613</v>
      </c>
      <c r="B1614" t="s">
        <v>1794</v>
      </c>
      <c r="C1614" s="1">
        <v>42150</v>
      </c>
      <c r="D1614" s="1">
        <v>42154</v>
      </c>
      <c r="E1614" t="s">
        <v>2118</v>
      </c>
      <c r="F1614" t="s">
        <v>1795</v>
      </c>
      <c r="G1614" t="s">
        <v>1796</v>
      </c>
      <c r="H1614" t="s">
        <v>10</v>
      </c>
      <c r="I1614" t="s">
        <v>2112</v>
      </c>
      <c r="J1614" t="s">
        <v>2111</v>
      </c>
      <c r="K1614">
        <v>83.983999999999995</v>
      </c>
      <c r="L1614">
        <f t="shared" si="50"/>
        <v>8398.4</v>
      </c>
      <c r="M1614">
        <f t="shared" si="51"/>
        <v>1679.68</v>
      </c>
    </row>
    <row r="1615" spans="1:13" x14ac:dyDescent="0.3">
      <c r="A1615">
        <v>1614</v>
      </c>
      <c r="B1615" t="s">
        <v>1797</v>
      </c>
      <c r="C1615" s="1">
        <v>43455</v>
      </c>
      <c r="D1615" s="1">
        <v>43459</v>
      </c>
      <c r="E1615" t="s">
        <v>2118</v>
      </c>
      <c r="F1615" t="s">
        <v>1570</v>
      </c>
      <c r="G1615" t="s">
        <v>1571</v>
      </c>
      <c r="H1615" t="s">
        <v>10</v>
      </c>
      <c r="I1615" t="s">
        <v>2112</v>
      </c>
      <c r="J1615" t="s">
        <v>2110</v>
      </c>
      <c r="K1615">
        <v>1000.02</v>
      </c>
      <c r="L1615">
        <f t="shared" si="50"/>
        <v>100002</v>
      </c>
      <c r="M1615">
        <f t="shared" si="51"/>
        <v>20000.400000000001</v>
      </c>
    </row>
    <row r="1616" spans="1:13" x14ac:dyDescent="0.3">
      <c r="A1616">
        <v>1615</v>
      </c>
      <c r="B1616" t="s">
        <v>1798</v>
      </c>
      <c r="C1616" s="1">
        <v>42809</v>
      </c>
      <c r="D1616" s="1">
        <v>42813</v>
      </c>
      <c r="E1616" t="s">
        <v>2118</v>
      </c>
      <c r="F1616" t="s">
        <v>1705</v>
      </c>
      <c r="G1616" t="s">
        <v>1706</v>
      </c>
      <c r="H1616" t="s">
        <v>26</v>
      </c>
      <c r="I1616" t="s">
        <v>2114</v>
      </c>
      <c r="J1616" t="s">
        <v>2111</v>
      </c>
      <c r="K1616">
        <v>83.975999999999999</v>
      </c>
      <c r="L1616">
        <f t="shared" si="50"/>
        <v>8397.6</v>
      </c>
      <c r="M1616">
        <f t="shared" si="51"/>
        <v>1679.5200000000002</v>
      </c>
    </row>
    <row r="1617" spans="1:13" x14ac:dyDescent="0.3">
      <c r="A1617">
        <v>1616</v>
      </c>
      <c r="B1617" t="s">
        <v>1799</v>
      </c>
      <c r="C1617" s="1">
        <v>42592</v>
      </c>
      <c r="D1617" s="1">
        <v>42598</v>
      </c>
      <c r="E1617" t="s">
        <v>2118</v>
      </c>
      <c r="F1617" t="s">
        <v>1564</v>
      </c>
      <c r="G1617" t="s">
        <v>1565</v>
      </c>
      <c r="H1617" t="s">
        <v>26</v>
      </c>
      <c r="I1617" t="s">
        <v>2117</v>
      </c>
      <c r="J1617" t="s">
        <v>2110</v>
      </c>
      <c r="K1617">
        <v>3.75</v>
      </c>
      <c r="L1617">
        <f t="shared" si="50"/>
        <v>375</v>
      </c>
      <c r="M1617">
        <f t="shared" si="51"/>
        <v>75</v>
      </c>
    </row>
    <row r="1618" spans="1:13" x14ac:dyDescent="0.3">
      <c r="A1618">
        <v>1617</v>
      </c>
      <c r="B1618" t="s">
        <v>1799</v>
      </c>
      <c r="C1618" s="1">
        <v>42592</v>
      </c>
      <c r="D1618" s="1">
        <v>42598</v>
      </c>
      <c r="E1618" t="s">
        <v>2118</v>
      </c>
      <c r="F1618" t="s">
        <v>1564</v>
      </c>
      <c r="G1618" t="s">
        <v>1565</v>
      </c>
      <c r="H1618" t="s">
        <v>26</v>
      </c>
      <c r="I1618" t="s">
        <v>2117</v>
      </c>
      <c r="J1618" t="s">
        <v>2110</v>
      </c>
      <c r="K1618">
        <v>41.4</v>
      </c>
      <c r="L1618">
        <f t="shared" si="50"/>
        <v>4140</v>
      </c>
      <c r="M1618">
        <f t="shared" si="51"/>
        <v>828</v>
      </c>
    </row>
    <row r="1619" spans="1:13" x14ac:dyDescent="0.3">
      <c r="A1619">
        <v>1618</v>
      </c>
      <c r="B1619" t="s">
        <v>1799</v>
      </c>
      <c r="C1619" s="1">
        <v>42592</v>
      </c>
      <c r="D1619" s="1">
        <v>42598</v>
      </c>
      <c r="E1619" t="s">
        <v>2118</v>
      </c>
      <c r="F1619" t="s">
        <v>1564</v>
      </c>
      <c r="G1619" t="s">
        <v>1565</v>
      </c>
      <c r="H1619" t="s">
        <v>26</v>
      </c>
      <c r="I1619" t="s">
        <v>2117</v>
      </c>
      <c r="J1619" t="s">
        <v>2110</v>
      </c>
      <c r="K1619">
        <v>29.79</v>
      </c>
      <c r="L1619">
        <f t="shared" si="50"/>
        <v>2979</v>
      </c>
      <c r="M1619">
        <f t="shared" si="51"/>
        <v>595.80000000000007</v>
      </c>
    </row>
    <row r="1620" spans="1:13" x14ac:dyDescent="0.3">
      <c r="A1620">
        <v>1619</v>
      </c>
      <c r="B1620" t="s">
        <v>1800</v>
      </c>
      <c r="C1620" s="1">
        <v>42988</v>
      </c>
      <c r="D1620" s="1">
        <v>42992</v>
      </c>
      <c r="E1620" t="s">
        <v>2119</v>
      </c>
      <c r="F1620" t="s">
        <v>139</v>
      </c>
      <c r="G1620" t="s">
        <v>140</v>
      </c>
      <c r="H1620" t="s">
        <v>26</v>
      </c>
      <c r="I1620" t="s">
        <v>2114</v>
      </c>
      <c r="J1620" t="s">
        <v>2110</v>
      </c>
      <c r="K1620">
        <v>59.48</v>
      </c>
      <c r="L1620">
        <f t="shared" si="50"/>
        <v>5948</v>
      </c>
      <c r="M1620">
        <f t="shared" si="51"/>
        <v>1189.6000000000001</v>
      </c>
    </row>
    <row r="1621" spans="1:13" x14ac:dyDescent="0.3">
      <c r="A1621">
        <v>1620</v>
      </c>
      <c r="B1621" t="s">
        <v>1800</v>
      </c>
      <c r="C1621" s="1">
        <v>42988</v>
      </c>
      <c r="D1621" s="1">
        <v>42992</v>
      </c>
      <c r="E1621" t="s">
        <v>2119</v>
      </c>
      <c r="F1621" t="s">
        <v>139</v>
      </c>
      <c r="G1621" t="s">
        <v>140</v>
      </c>
      <c r="H1621" t="s">
        <v>26</v>
      </c>
      <c r="I1621" t="s">
        <v>2114</v>
      </c>
      <c r="J1621" t="s">
        <v>2110</v>
      </c>
      <c r="K1621">
        <v>6.69</v>
      </c>
      <c r="L1621">
        <f t="shared" si="50"/>
        <v>669</v>
      </c>
      <c r="M1621">
        <f t="shared" si="51"/>
        <v>133.80000000000001</v>
      </c>
    </row>
    <row r="1622" spans="1:13" x14ac:dyDescent="0.3">
      <c r="A1622">
        <v>1621</v>
      </c>
      <c r="B1622" t="s">
        <v>1801</v>
      </c>
      <c r="C1622" s="1">
        <v>43289</v>
      </c>
      <c r="D1622" s="1">
        <v>43296</v>
      </c>
      <c r="E1622" t="s">
        <v>2118</v>
      </c>
      <c r="F1622" t="s">
        <v>1802</v>
      </c>
      <c r="G1622" t="s">
        <v>1803</v>
      </c>
      <c r="H1622" t="s">
        <v>6</v>
      </c>
      <c r="I1622" t="s">
        <v>2112</v>
      </c>
      <c r="J1622" t="s">
        <v>2109</v>
      </c>
      <c r="K1622">
        <v>198.46</v>
      </c>
      <c r="L1622">
        <f t="shared" si="50"/>
        <v>19846</v>
      </c>
      <c r="M1622">
        <f t="shared" si="51"/>
        <v>3969.2000000000003</v>
      </c>
    </row>
    <row r="1623" spans="1:13" x14ac:dyDescent="0.3">
      <c r="A1623">
        <v>1622</v>
      </c>
      <c r="B1623" t="s">
        <v>1801</v>
      </c>
      <c r="C1623" s="1">
        <v>43289</v>
      </c>
      <c r="D1623" s="1">
        <v>43296</v>
      </c>
      <c r="E1623" t="s">
        <v>2118</v>
      </c>
      <c r="F1623" t="s">
        <v>1802</v>
      </c>
      <c r="G1623" t="s">
        <v>1803</v>
      </c>
      <c r="H1623" t="s">
        <v>6</v>
      </c>
      <c r="I1623" t="s">
        <v>2112</v>
      </c>
      <c r="J1623" t="s">
        <v>2110</v>
      </c>
      <c r="K1623">
        <v>786.48</v>
      </c>
      <c r="L1623">
        <f t="shared" si="50"/>
        <v>78648</v>
      </c>
      <c r="M1623">
        <f t="shared" si="51"/>
        <v>15729.6</v>
      </c>
    </row>
    <row r="1624" spans="1:13" x14ac:dyDescent="0.3">
      <c r="A1624">
        <v>1623</v>
      </c>
      <c r="B1624" t="s">
        <v>1801</v>
      </c>
      <c r="C1624" s="1">
        <v>43289</v>
      </c>
      <c r="D1624" s="1">
        <v>43296</v>
      </c>
      <c r="E1624" t="s">
        <v>2118</v>
      </c>
      <c r="F1624" t="s">
        <v>1802</v>
      </c>
      <c r="G1624" t="s">
        <v>1803</v>
      </c>
      <c r="H1624" t="s">
        <v>6</v>
      </c>
      <c r="I1624" t="s">
        <v>2112</v>
      </c>
      <c r="J1624" t="s">
        <v>2110</v>
      </c>
      <c r="K1624">
        <v>23.167999999999999</v>
      </c>
      <c r="L1624">
        <f t="shared" si="50"/>
        <v>2316.7999999999997</v>
      </c>
      <c r="M1624">
        <f t="shared" si="51"/>
        <v>463.35999999999996</v>
      </c>
    </row>
    <row r="1625" spans="1:13" x14ac:dyDescent="0.3">
      <c r="A1625">
        <v>1624</v>
      </c>
      <c r="B1625" t="s">
        <v>1801</v>
      </c>
      <c r="C1625" s="1">
        <v>43289</v>
      </c>
      <c r="D1625" s="1">
        <v>43296</v>
      </c>
      <c r="E1625" t="s">
        <v>2118</v>
      </c>
      <c r="F1625" t="s">
        <v>1802</v>
      </c>
      <c r="G1625" t="s">
        <v>1803</v>
      </c>
      <c r="H1625" t="s">
        <v>6</v>
      </c>
      <c r="I1625" t="s">
        <v>2112</v>
      </c>
      <c r="J1625" t="s">
        <v>2111</v>
      </c>
      <c r="K1625">
        <v>50</v>
      </c>
      <c r="L1625">
        <f t="shared" si="50"/>
        <v>5000</v>
      </c>
      <c r="M1625">
        <f t="shared" si="51"/>
        <v>1000</v>
      </c>
    </row>
    <row r="1626" spans="1:13" x14ac:dyDescent="0.3">
      <c r="A1626">
        <v>1625</v>
      </c>
      <c r="B1626" t="s">
        <v>1804</v>
      </c>
      <c r="C1626" s="1">
        <v>42723</v>
      </c>
      <c r="D1626" s="1">
        <v>42728</v>
      </c>
      <c r="E1626" t="s">
        <v>2118</v>
      </c>
      <c r="F1626" t="s">
        <v>1805</v>
      </c>
      <c r="G1626" t="s">
        <v>1806</v>
      </c>
      <c r="H1626" t="s">
        <v>6</v>
      </c>
      <c r="I1626" t="s">
        <v>2112</v>
      </c>
      <c r="J1626" t="s">
        <v>2111</v>
      </c>
      <c r="K1626">
        <v>675.96</v>
      </c>
      <c r="L1626">
        <f t="shared" si="50"/>
        <v>67596</v>
      </c>
      <c r="M1626">
        <f t="shared" si="51"/>
        <v>13519.2</v>
      </c>
    </row>
    <row r="1627" spans="1:13" x14ac:dyDescent="0.3">
      <c r="A1627">
        <v>1626</v>
      </c>
      <c r="B1627" t="s">
        <v>1804</v>
      </c>
      <c r="C1627" s="1">
        <v>42723</v>
      </c>
      <c r="D1627" s="1">
        <v>42728</v>
      </c>
      <c r="E1627" t="s">
        <v>2118</v>
      </c>
      <c r="F1627" t="s">
        <v>1805</v>
      </c>
      <c r="G1627" t="s">
        <v>1806</v>
      </c>
      <c r="H1627" t="s">
        <v>6</v>
      </c>
      <c r="I1627" t="s">
        <v>2112</v>
      </c>
      <c r="J1627" t="s">
        <v>2111</v>
      </c>
      <c r="K1627">
        <v>1265.8499999999999</v>
      </c>
      <c r="L1627">
        <f t="shared" si="50"/>
        <v>126584.99999999999</v>
      </c>
      <c r="M1627">
        <f t="shared" si="51"/>
        <v>25317</v>
      </c>
    </row>
    <row r="1628" spans="1:13" x14ac:dyDescent="0.3">
      <c r="A1628">
        <v>1627</v>
      </c>
      <c r="B1628" t="s">
        <v>1807</v>
      </c>
      <c r="C1628" s="1">
        <v>42690</v>
      </c>
      <c r="D1628" s="1">
        <v>42696</v>
      </c>
      <c r="E1628" t="s">
        <v>2118</v>
      </c>
      <c r="F1628" t="s">
        <v>564</v>
      </c>
      <c r="G1628" t="s">
        <v>565</v>
      </c>
      <c r="H1628" t="s">
        <v>26</v>
      </c>
      <c r="I1628" t="s">
        <v>2114</v>
      </c>
      <c r="J1628" t="s">
        <v>2110</v>
      </c>
      <c r="K1628">
        <v>523.25</v>
      </c>
      <c r="L1628">
        <f t="shared" si="50"/>
        <v>52325</v>
      </c>
      <c r="M1628">
        <f t="shared" si="51"/>
        <v>10465</v>
      </c>
    </row>
    <row r="1629" spans="1:13" x14ac:dyDescent="0.3">
      <c r="A1629">
        <v>1628</v>
      </c>
      <c r="B1629" t="s">
        <v>1808</v>
      </c>
      <c r="C1629" s="1">
        <v>42637</v>
      </c>
      <c r="D1629" s="1">
        <v>42643</v>
      </c>
      <c r="E1629" t="s">
        <v>2118</v>
      </c>
      <c r="F1629" t="s">
        <v>1809</v>
      </c>
      <c r="G1629" t="s">
        <v>1810</v>
      </c>
      <c r="H1629" t="s">
        <v>6</v>
      </c>
      <c r="I1629" t="s">
        <v>2115</v>
      </c>
      <c r="J1629" t="s">
        <v>2109</v>
      </c>
      <c r="K1629">
        <v>517.5</v>
      </c>
      <c r="L1629">
        <f t="shared" si="50"/>
        <v>51750</v>
      </c>
      <c r="M1629">
        <f t="shared" si="51"/>
        <v>10350</v>
      </c>
    </row>
    <row r="1630" spans="1:13" x14ac:dyDescent="0.3">
      <c r="A1630">
        <v>1629</v>
      </c>
      <c r="B1630" t="s">
        <v>1811</v>
      </c>
      <c r="C1630" s="1">
        <v>43272</v>
      </c>
      <c r="D1630" s="1">
        <v>43276</v>
      </c>
      <c r="E1630" t="s">
        <v>2119</v>
      </c>
      <c r="F1630" t="s">
        <v>763</v>
      </c>
      <c r="G1630" t="s">
        <v>764</v>
      </c>
      <c r="H1630" t="s">
        <v>6</v>
      </c>
      <c r="I1630" t="s">
        <v>2114</v>
      </c>
      <c r="J1630" t="s">
        <v>2109</v>
      </c>
      <c r="K1630">
        <v>17.920000000000002</v>
      </c>
      <c r="L1630">
        <f t="shared" si="50"/>
        <v>1792.0000000000002</v>
      </c>
      <c r="M1630">
        <f t="shared" si="51"/>
        <v>358.40000000000009</v>
      </c>
    </row>
    <row r="1631" spans="1:13" x14ac:dyDescent="0.3">
      <c r="A1631">
        <v>1630</v>
      </c>
      <c r="B1631" t="s">
        <v>1811</v>
      </c>
      <c r="C1631" s="1">
        <v>43272</v>
      </c>
      <c r="D1631" s="1">
        <v>43276</v>
      </c>
      <c r="E1631" t="s">
        <v>2119</v>
      </c>
      <c r="F1631" t="s">
        <v>763</v>
      </c>
      <c r="G1631" t="s">
        <v>764</v>
      </c>
      <c r="H1631" t="s">
        <v>6</v>
      </c>
      <c r="I1631" t="s">
        <v>2114</v>
      </c>
      <c r="J1631" t="s">
        <v>2110</v>
      </c>
      <c r="K1631">
        <v>41.256</v>
      </c>
      <c r="L1631">
        <f t="shared" si="50"/>
        <v>4125.6000000000004</v>
      </c>
      <c r="M1631">
        <f t="shared" si="51"/>
        <v>825.12000000000012</v>
      </c>
    </row>
    <row r="1632" spans="1:13" x14ac:dyDescent="0.3">
      <c r="A1632">
        <v>1631</v>
      </c>
      <c r="B1632" t="s">
        <v>1812</v>
      </c>
      <c r="C1632" s="1">
        <v>42863</v>
      </c>
      <c r="D1632" s="1">
        <v>42863</v>
      </c>
      <c r="E1632" t="s">
        <v>2120</v>
      </c>
      <c r="F1632" t="s">
        <v>166</v>
      </c>
      <c r="G1632" t="s">
        <v>167</v>
      </c>
      <c r="H1632" t="s">
        <v>6</v>
      </c>
      <c r="I1632" t="s">
        <v>2114</v>
      </c>
      <c r="J1632" t="s">
        <v>2110</v>
      </c>
      <c r="K1632">
        <v>1006.056</v>
      </c>
      <c r="L1632">
        <f t="shared" si="50"/>
        <v>100605.6</v>
      </c>
      <c r="M1632">
        <f t="shared" si="51"/>
        <v>20121.120000000003</v>
      </c>
    </row>
    <row r="1633" spans="1:13" x14ac:dyDescent="0.3">
      <c r="A1633">
        <v>1632</v>
      </c>
      <c r="B1633" t="s">
        <v>1812</v>
      </c>
      <c r="C1633" s="1">
        <v>42863</v>
      </c>
      <c r="D1633" s="1">
        <v>42863</v>
      </c>
      <c r="E1633" t="s">
        <v>2120</v>
      </c>
      <c r="F1633" t="s">
        <v>166</v>
      </c>
      <c r="G1633" t="s">
        <v>167</v>
      </c>
      <c r="H1633" t="s">
        <v>6</v>
      </c>
      <c r="I1633" t="s">
        <v>2114</v>
      </c>
      <c r="J1633" t="s">
        <v>2110</v>
      </c>
      <c r="K1633">
        <v>10.688000000000001</v>
      </c>
      <c r="L1633">
        <f t="shared" si="50"/>
        <v>1068.8</v>
      </c>
      <c r="M1633">
        <f t="shared" si="51"/>
        <v>213.76</v>
      </c>
    </row>
    <row r="1634" spans="1:13" x14ac:dyDescent="0.3">
      <c r="A1634">
        <v>1633</v>
      </c>
      <c r="B1634" t="s">
        <v>1812</v>
      </c>
      <c r="C1634" s="1">
        <v>42863</v>
      </c>
      <c r="D1634" s="1">
        <v>42863</v>
      </c>
      <c r="E1634" t="s">
        <v>2120</v>
      </c>
      <c r="F1634" t="s">
        <v>166</v>
      </c>
      <c r="G1634" t="s">
        <v>167</v>
      </c>
      <c r="H1634" t="s">
        <v>6</v>
      </c>
      <c r="I1634" t="s">
        <v>2114</v>
      </c>
      <c r="J1634" t="s">
        <v>2110</v>
      </c>
      <c r="K1634">
        <v>10.368</v>
      </c>
      <c r="L1634">
        <f t="shared" si="50"/>
        <v>1036.8</v>
      </c>
      <c r="M1634">
        <f t="shared" si="51"/>
        <v>207.36</v>
      </c>
    </row>
    <row r="1635" spans="1:13" x14ac:dyDescent="0.3">
      <c r="A1635">
        <v>1634</v>
      </c>
      <c r="B1635" t="s">
        <v>1812</v>
      </c>
      <c r="C1635" s="1">
        <v>42863</v>
      </c>
      <c r="D1635" s="1">
        <v>42863</v>
      </c>
      <c r="E1635" t="s">
        <v>2120</v>
      </c>
      <c r="F1635" t="s">
        <v>166</v>
      </c>
      <c r="G1635" t="s">
        <v>167</v>
      </c>
      <c r="H1635" t="s">
        <v>6</v>
      </c>
      <c r="I1635" t="s">
        <v>2114</v>
      </c>
      <c r="J1635" t="s">
        <v>2110</v>
      </c>
      <c r="K1635">
        <v>25.12</v>
      </c>
      <c r="L1635">
        <f t="shared" si="50"/>
        <v>2512</v>
      </c>
      <c r="M1635">
        <f t="shared" si="51"/>
        <v>502.40000000000003</v>
      </c>
    </row>
    <row r="1636" spans="1:13" x14ac:dyDescent="0.3">
      <c r="A1636">
        <v>1635</v>
      </c>
      <c r="B1636" t="s">
        <v>1812</v>
      </c>
      <c r="C1636" s="1">
        <v>42863</v>
      </c>
      <c r="D1636" s="1">
        <v>42863</v>
      </c>
      <c r="E1636" t="s">
        <v>2120</v>
      </c>
      <c r="F1636" t="s">
        <v>166</v>
      </c>
      <c r="G1636" t="s">
        <v>167</v>
      </c>
      <c r="H1636" t="s">
        <v>6</v>
      </c>
      <c r="I1636" t="s">
        <v>2114</v>
      </c>
      <c r="J1636" t="s">
        <v>2111</v>
      </c>
      <c r="K1636">
        <v>58.112000000000002</v>
      </c>
      <c r="L1636">
        <f t="shared" si="50"/>
        <v>5811.2</v>
      </c>
      <c r="M1636">
        <f t="shared" si="51"/>
        <v>1162.24</v>
      </c>
    </row>
    <row r="1637" spans="1:13" x14ac:dyDescent="0.3">
      <c r="A1637">
        <v>1636</v>
      </c>
      <c r="B1637" t="s">
        <v>1813</v>
      </c>
      <c r="C1637" s="1">
        <v>42334</v>
      </c>
      <c r="D1637" s="1">
        <v>42340</v>
      </c>
      <c r="E1637" t="s">
        <v>2118</v>
      </c>
      <c r="F1637" t="s">
        <v>1814</v>
      </c>
      <c r="G1637" t="s">
        <v>1815</v>
      </c>
      <c r="H1637" t="s">
        <v>6</v>
      </c>
      <c r="I1637" t="s">
        <v>2112</v>
      </c>
      <c r="J1637" t="s">
        <v>2110</v>
      </c>
      <c r="K1637">
        <v>15.552</v>
      </c>
      <c r="L1637">
        <f t="shared" si="50"/>
        <v>1555.2</v>
      </c>
      <c r="M1637">
        <f t="shared" si="51"/>
        <v>311.04000000000002</v>
      </c>
    </row>
    <row r="1638" spans="1:13" x14ac:dyDescent="0.3">
      <c r="A1638">
        <v>1637</v>
      </c>
      <c r="B1638" t="s">
        <v>1813</v>
      </c>
      <c r="C1638" s="1">
        <v>42334</v>
      </c>
      <c r="D1638" s="1">
        <v>42340</v>
      </c>
      <c r="E1638" t="s">
        <v>2118</v>
      </c>
      <c r="F1638" t="s">
        <v>1814</v>
      </c>
      <c r="G1638" t="s">
        <v>1815</v>
      </c>
      <c r="H1638" t="s">
        <v>6</v>
      </c>
      <c r="I1638" t="s">
        <v>2112</v>
      </c>
      <c r="J1638" t="s">
        <v>2110</v>
      </c>
      <c r="K1638">
        <v>669.08</v>
      </c>
      <c r="L1638">
        <f t="shared" si="50"/>
        <v>66908</v>
      </c>
      <c r="M1638">
        <f t="shared" si="51"/>
        <v>13381.6</v>
      </c>
    </row>
    <row r="1639" spans="1:13" x14ac:dyDescent="0.3">
      <c r="A1639">
        <v>1638</v>
      </c>
      <c r="B1639" t="s">
        <v>1813</v>
      </c>
      <c r="C1639" s="1">
        <v>42334</v>
      </c>
      <c r="D1639" s="1">
        <v>42340</v>
      </c>
      <c r="E1639" t="s">
        <v>2118</v>
      </c>
      <c r="F1639" t="s">
        <v>1814</v>
      </c>
      <c r="G1639" t="s">
        <v>1815</v>
      </c>
      <c r="H1639" t="s">
        <v>6</v>
      </c>
      <c r="I1639" t="s">
        <v>2112</v>
      </c>
      <c r="J1639" t="s">
        <v>2111</v>
      </c>
      <c r="K1639">
        <v>438.33600000000001</v>
      </c>
      <c r="L1639">
        <f t="shared" si="50"/>
        <v>43833.599999999999</v>
      </c>
      <c r="M1639">
        <f t="shared" si="51"/>
        <v>8766.7199999999993</v>
      </c>
    </row>
    <row r="1640" spans="1:13" x14ac:dyDescent="0.3">
      <c r="A1640">
        <v>1639</v>
      </c>
      <c r="B1640" t="s">
        <v>1816</v>
      </c>
      <c r="C1640" s="1">
        <v>42881</v>
      </c>
      <c r="D1640" s="1">
        <v>42887</v>
      </c>
      <c r="E1640" t="s">
        <v>2118</v>
      </c>
      <c r="F1640" t="s">
        <v>1817</v>
      </c>
      <c r="G1640" t="s">
        <v>1818</v>
      </c>
      <c r="H1640" t="s">
        <v>6</v>
      </c>
      <c r="I1640" t="s">
        <v>2114</v>
      </c>
      <c r="J1640" t="s">
        <v>2110</v>
      </c>
      <c r="K1640">
        <v>19.440000000000001</v>
      </c>
      <c r="L1640">
        <f t="shared" si="50"/>
        <v>1944.0000000000002</v>
      </c>
      <c r="M1640">
        <f t="shared" si="51"/>
        <v>388.80000000000007</v>
      </c>
    </row>
    <row r="1641" spans="1:13" x14ac:dyDescent="0.3">
      <c r="A1641">
        <v>1640</v>
      </c>
      <c r="B1641" t="s">
        <v>1816</v>
      </c>
      <c r="C1641" s="1">
        <v>42881</v>
      </c>
      <c r="D1641" s="1">
        <v>42887</v>
      </c>
      <c r="E1641" t="s">
        <v>2118</v>
      </c>
      <c r="F1641" t="s">
        <v>1817</v>
      </c>
      <c r="G1641" t="s">
        <v>1818</v>
      </c>
      <c r="H1641" t="s">
        <v>6</v>
      </c>
      <c r="I1641" t="s">
        <v>2114</v>
      </c>
      <c r="J1641" t="s">
        <v>2110</v>
      </c>
      <c r="K1641">
        <v>9.64</v>
      </c>
      <c r="L1641">
        <f t="shared" si="50"/>
        <v>964</v>
      </c>
      <c r="M1641">
        <f t="shared" si="51"/>
        <v>192.8</v>
      </c>
    </row>
    <row r="1642" spans="1:13" x14ac:dyDescent="0.3">
      <c r="A1642">
        <v>1641</v>
      </c>
      <c r="B1642" t="s">
        <v>1816</v>
      </c>
      <c r="C1642" s="1">
        <v>42881</v>
      </c>
      <c r="D1642" s="1">
        <v>42887</v>
      </c>
      <c r="E1642" t="s">
        <v>2118</v>
      </c>
      <c r="F1642" t="s">
        <v>1817</v>
      </c>
      <c r="G1642" t="s">
        <v>1818</v>
      </c>
      <c r="H1642" t="s">
        <v>6</v>
      </c>
      <c r="I1642" t="s">
        <v>2114</v>
      </c>
      <c r="J1642" t="s">
        <v>2110</v>
      </c>
      <c r="K1642">
        <v>12.7</v>
      </c>
      <c r="L1642">
        <f t="shared" si="50"/>
        <v>1270</v>
      </c>
      <c r="M1642">
        <f t="shared" si="51"/>
        <v>254</v>
      </c>
    </row>
    <row r="1643" spans="1:13" x14ac:dyDescent="0.3">
      <c r="A1643">
        <v>1642</v>
      </c>
      <c r="B1643" t="s">
        <v>1816</v>
      </c>
      <c r="C1643" s="1">
        <v>42881</v>
      </c>
      <c r="D1643" s="1">
        <v>42887</v>
      </c>
      <c r="E1643" t="s">
        <v>2118</v>
      </c>
      <c r="F1643" t="s">
        <v>1817</v>
      </c>
      <c r="G1643" t="s">
        <v>1818</v>
      </c>
      <c r="H1643" t="s">
        <v>6</v>
      </c>
      <c r="I1643" t="s">
        <v>2114</v>
      </c>
      <c r="J1643" t="s">
        <v>2109</v>
      </c>
      <c r="K1643">
        <v>41.37</v>
      </c>
      <c r="L1643">
        <f t="shared" si="50"/>
        <v>4137</v>
      </c>
      <c r="M1643">
        <f t="shared" si="51"/>
        <v>827.40000000000009</v>
      </c>
    </row>
    <row r="1644" spans="1:13" x14ac:dyDescent="0.3">
      <c r="A1644">
        <v>1643</v>
      </c>
      <c r="B1644" t="s">
        <v>1819</v>
      </c>
      <c r="C1644" s="1">
        <v>42337</v>
      </c>
      <c r="D1644" s="1">
        <v>42342</v>
      </c>
      <c r="E1644" t="s">
        <v>2118</v>
      </c>
      <c r="F1644" t="s">
        <v>1820</v>
      </c>
      <c r="G1644" t="s">
        <v>1821</v>
      </c>
      <c r="H1644" t="s">
        <v>10</v>
      </c>
      <c r="I1644" t="s">
        <v>2117</v>
      </c>
      <c r="J1644" t="s">
        <v>2110</v>
      </c>
      <c r="K1644">
        <v>12.624000000000001</v>
      </c>
      <c r="L1644">
        <f t="shared" si="50"/>
        <v>1262.4000000000001</v>
      </c>
      <c r="M1644">
        <f t="shared" si="51"/>
        <v>252.48000000000002</v>
      </c>
    </row>
    <row r="1645" spans="1:13" x14ac:dyDescent="0.3">
      <c r="A1645">
        <v>1644</v>
      </c>
      <c r="B1645" t="s">
        <v>1822</v>
      </c>
      <c r="C1645" s="1">
        <v>42448</v>
      </c>
      <c r="D1645" s="1">
        <v>42449</v>
      </c>
      <c r="E1645" t="s">
        <v>2120</v>
      </c>
      <c r="F1645" t="s">
        <v>287</v>
      </c>
      <c r="G1645" t="s">
        <v>288</v>
      </c>
      <c r="H1645" t="s">
        <v>10</v>
      </c>
      <c r="I1645" t="s">
        <v>2112</v>
      </c>
      <c r="J1645" t="s">
        <v>2110</v>
      </c>
      <c r="K1645">
        <v>1247.6400000000001</v>
      </c>
      <c r="L1645">
        <f t="shared" si="50"/>
        <v>124764.00000000001</v>
      </c>
      <c r="M1645">
        <f t="shared" si="51"/>
        <v>24952.800000000003</v>
      </c>
    </row>
    <row r="1646" spans="1:13" x14ac:dyDescent="0.3">
      <c r="A1646">
        <v>1645</v>
      </c>
      <c r="B1646" t="s">
        <v>1822</v>
      </c>
      <c r="C1646" s="1">
        <v>42448</v>
      </c>
      <c r="D1646" s="1">
        <v>42449</v>
      </c>
      <c r="E1646" t="s">
        <v>2120</v>
      </c>
      <c r="F1646" t="s">
        <v>287</v>
      </c>
      <c r="G1646" t="s">
        <v>288</v>
      </c>
      <c r="H1646" t="s">
        <v>10</v>
      </c>
      <c r="I1646" t="s">
        <v>2112</v>
      </c>
      <c r="J1646" t="s">
        <v>2111</v>
      </c>
      <c r="K1646">
        <v>3149.93</v>
      </c>
      <c r="L1646">
        <f t="shared" si="50"/>
        <v>314993</v>
      </c>
      <c r="M1646">
        <f t="shared" si="51"/>
        <v>62998.600000000006</v>
      </c>
    </row>
    <row r="1647" spans="1:13" x14ac:dyDescent="0.3">
      <c r="A1647">
        <v>1646</v>
      </c>
      <c r="B1647" t="s">
        <v>1822</v>
      </c>
      <c r="C1647" s="1">
        <v>42448</v>
      </c>
      <c r="D1647" s="1">
        <v>42449</v>
      </c>
      <c r="E1647" t="s">
        <v>2120</v>
      </c>
      <c r="F1647" t="s">
        <v>287</v>
      </c>
      <c r="G1647" t="s">
        <v>288</v>
      </c>
      <c r="H1647" t="s">
        <v>10</v>
      </c>
      <c r="I1647" t="s">
        <v>2112</v>
      </c>
      <c r="J1647" t="s">
        <v>2110</v>
      </c>
      <c r="K1647">
        <v>209.7</v>
      </c>
      <c r="L1647">
        <f t="shared" si="50"/>
        <v>20970</v>
      </c>
      <c r="M1647">
        <f t="shared" si="51"/>
        <v>4194</v>
      </c>
    </row>
    <row r="1648" spans="1:13" x14ac:dyDescent="0.3">
      <c r="A1648">
        <v>1647</v>
      </c>
      <c r="B1648" t="s">
        <v>1823</v>
      </c>
      <c r="C1648" s="1">
        <v>42675</v>
      </c>
      <c r="D1648" s="1">
        <v>42677</v>
      </c>
      <c r="E1648" t="s">
        <v>2120</v>
      </c>
      <c r="F1648" t="s">
        <v>284</v>
      </c>
      <c r="G1648" t="s">
        <v>285</v>
      </c>
      <c r="H1648" t="s">
        <v>26</v>
      </c>
      <c r="I1648" t="s">
        <v>2114</v>
      </c>
      <c r="J1648" t="s">
        <v>2111</v>
      </c>
      <c r="K1648">
        <v>35.36</v>
      </c>
      <c r="L1648">
        <f t="shared" si="50"/>
        <v>3536</v>
      </c>
      <c r="M1648">
        <f t="shared" si="51"/>
        <v>707.2</v>
      </c>
    </row>
    <row r="1649" spans="1:13" x14ac:dyDescent="0.3">
      <c r="A1649">
        <v>1648</v>
      </c>
      <c r="B1649" t="s">
        <v>1823</v>
      </c>
      <c r="C1649" s="1">
        <v>42675</v>
      </c>
      <c r="D1649" s="1">
        <v>42677</v>
      </c>
      <c r="E1649" t="s">
        <v>2120</v>
      </c>
      <c r="F1649" t="s">
        <v>284</v>
      </c>
      <c r="G1649" t="s">
        <v>285</v>
      </c>
      <c r="H1649" t="s">
        <v>26</v>
      </c>
      <c r="I1649" t="s">
        <v>2114</v>
      </c>
      <c r="J1649" t="s">
        <v>2110</v>
      </c>
      <c r="K1649">
        <v>3.1680000000000001</v>
      </c>
      <c r="L1649">
        <f t="shared" si="50"/>
        <v>316.8</v>
      </c>
      <c r="M1649">
        <f t="shared" si="51"/>
        <v>63.360000000000007</v>
      </c>
    </row>
    <row r="1650" spans="1:13" x14ac:dyDescent="0.3">
      <c r="A1650">
        <v>1649</v>
      </c>
      <c r="B1650" t="s">
        <v>1824</v>
      </c>
      <c r="C1650" s="1">
        <v>42639</v>
      </c>
      <c r="D1650" s="1">
        <v>42642</v>
      </c>
      <c r="E1650" t="s">
        <v>2119</v>
      </c>
      <c r="F1650" t="s">
        <v>730</v>
      </c>
      <c r="G1650" t="s">
        <v>731</v>
      </c>
      <c r="H1650" t="s">
        <v>6</v>
      </c>
      <c r="I1650" t="s">
        <v>2114</v>
      </c>
      <c r="J1650" t="s">
        <v>2110</v>
      </c>
      <c r="K1650">
        <v>121.104</v>
      </c>
      <c r="L1650">
        <f t="shared" si="50"/>
        <v>12110.4</v>
      </c>
      <c r="M1650">
        <f t="shared" si="51"/>
        <v>2422.08</v>
      </c>
    </row>
    <row r="1651" spans="1:13" x14ac:dyDescent="0.3">
      <c r="A1651">
        <v>1650</v>
      </c>
      <c r="B1651" t="s">
        <v>1824</v>
      </c>
      <c r="C1651" s="1">
        <v>42639</v>
      </c>
      <c r="D1651" s="1">
        <v>42642</v>
      </c>
      <c r="E1651" t="s">
        <v>2119</v>
      </c>
      <c r="F1651" t="s">
        <v>730</v>
      </c>
      <c r="G1651" t="s">
        <v>731</v>
      </c>
      <c r="H1651" t="s">
        <v>6</v>
      </c>
      <c r="I1651" t="s">
        <v>2114</v>
      </c>
      <c r="J1651" t="s">
        <v>2111</v>
      </c>
      <c r="K1651">
        <v>45.893999999999998</v>
      </c>
      <c r="L1651">
        <f t="shared" si="50"/>
        <v>4589.3999999999996</v>
      </c>
      <c r="M1651">
        <f t="shared" si="51"/>
        <v>917.88</v>
      </c>
    </row>
    <row r="1652" spans="1:13" x14ac:dyDescent="0.3">
      <c r="A1652">
        <v>1651</v>
      </c>
      <c r="B1652" t="s">
        <v>1825</v>
      </c>
      <c r="C1652" s="1">
        <v>42245</v>
      </c>
      <c r="D1652" s="1">
        <v>42245</v>
      </c>
      <c r="E1652" t="s">
        <v>2120</v>
      </c>
      <c r="F1652" t="s">
        <v>1826</v>
      </c>
      <c r="G1652" t="s">
        <v>1827</v>
      </c>
      <c r="H1652" t="s">
        <v>10</v>
      </c>
      <c r="I1652" t="s">
        <v>2112</v>
      </c>
      <c r="J1652" t="s">
        <v>2110</v>
      </c>
      <c r="K1652">
        <v>109.92</v>
      </c>
      <c r="L1652">
        <f t="shared" si="50"/>
        <v>10992</v>
      </c>
      <c r="M1652">
        <f t="shared" si="51"/>
        <v>2198.4</v>
      </c>
    </row>
    <row r="1653" spans="1:13" x14ac:dyDescent="0.3">
      <c r="A1653">
        <v>1652</v>
      </c>
      <c r="B1653" t="s">
        <v>1825</v>
      </c>
      <c r="C1653" s="1">
        <v>42245</v>
      </c>
      <c r="D1653" s="1">
        <v>42245</v>
      </c>
      <c r="E1653" t="s">
        <v>2120</v>
      </c>
      <c r="F1653" t="s">
        <v>1826</v>
      </c>
      <c r="G1653" t="s">
        <v>1827</v>
      </c>
      <c r="H1653" t="s">
        <v>10</v>
      </c>
      <c r="I1653" t="s">
        <v>2112</v>
      </c>
      <c r="J1653" t="s">
        <v>2110</v>
      </c>
      <c r="K1653">
        <v>13.36</v>
      </c>
      <c r="L1653">
        <f t="shared" si="50"/>
        <v>1336</v>
      </c>
      <c r="M1653">
        <f t="shared" si="51"/>
        <v>267.2</v>
      </c>
    </row>
    <row r="1654" spans="1:13" x14ac:dyDescent="0.3">
      <c r="A1654">
        <v>1653</v>
      </c>
      <c r="B1654" t="s">
        <v>1828</v>
      </c>
      <c r="C1654" s="1">
        <v>43422</v>
      </c>
      <c r="D1654" s="1">
        <v>43425</v>
      </c>
      <c r="E1654" t="s">
        <v>2120</v>
      </c>
      <c r="F1654" t="s">
        <v>1829</v>
      </c>
      <c r="G1654" t="s">
        <v>1830</v>
      </c>
      <c r="H1654" t="s">
        <v>6</v>
      </c>
      <c r="I1654" t="s">
        <v>2112</v>
      </c>
      <c r="J1654" t="s">
        <v>2110</v>
      </c>
      <c r="K1654">
        <v>169.68</v>
      </c>
      <c r="L1654">
        <f t="shared" si="50"/>
        <v>16968</v>
      </c>
      <c r="M1654">
        <f t="shared" si="51"/>
        <v>3393.6000000000004</v>
      </c>
    </row>
    <row r="1655" spans="1:13" x14ac:dyDescent="0.3">
      <c r="A1655">
        <v>1654</v>
      </c>
      <c r="B1655" t="s">
        <v>1828</v>
      </c>
      <c r="C1655" s="1">
        <v>43422</v>
      </c>
      <c r="D1655" s="1">
        <v>43425</v>
      </c>
      <c r="E1655" t="s">
        <v>2120</v>
      </c>
      <c r="F1655" t="s">
        <v>1829</v>
      </c>
      <c r="G1655" t="s">
        <v>1830</v>
      </c>
      <c r="H1655" t="s">
        <v>6</v>
      </c>
      <c r="I1655" t="s">
        <v>2112</v>
      </c>
      <c r="J1655" t="s">
        <v>2111</v>
      </c>
      <c r="K1655">
        <v>132.52000000000001</v>
      </c>
      <c r="L1655">
        <f t="shared" si="50"/>
        <v>13252.000000000002</v>
      </c>
      <c r="M1655">
        <f t="shared" si="51"/>
        <v>2650.4000000000005</v>
      </c>
    </row>
    <row r="1656" spans="1:13" x14ac:dyDescent="0.3">
      <c r="A1656">
        <v>1655</v>
      </c>
      <c r="B1656" t="s">
        <v>1828</v>
      </c>
      <c r="C1656" s="1">
        <v>43422</v>
      </c>
      <c r="D1656" s="1">
        <v>43425</v>
      </c>
      <c r="E1656" t="s">
        <v>2120</v>
      </c>
      <c r="F1656" t="s">
        <v>1829</v>
      </c>
      <c r="G1656" t="s">
        <v>1830</v>
      </c>
      <c r="H1656" t="s">
        <v>6</v>
      </c>
      <c r="I1656" t="s">
        <v>2112</v>
      </c>
      <c r="J1656" t="s">
        <v>2110</v>
      </c>
      <c r="K1656">
        <v>2.96</v>
      </c>
      <c r="L1656">
        <f t="shared" si="50"/>
        <v>296</v>
      </c>
      <c r="M1656">
        <f t="shared" si="51"/>
        <v>59.2</v>
      </c>
    </row>
    <row r="1657" spans="1:13" x14ac:dyDescent="0.3">
      <c r="A1657">
        <v>1656</v>
      </c>
      <c r="B1657" t="s">
        <v>1828</v>
      </c>
      <c r="C1657" s="1">
        <v>43422</v>
      </c>
      <c r="D1657" s="1">
        <v>43425</v>
      </c>
      <c r="E1657" t="s">
        <v>2120</v>
      </c>
      <c r="F1657" t="s">
        <v>1829</v>
      </c>
      <c r="G1657" t="s">
        <v>1830</v>
      </c>
      <c r="H1657" t="s">
        <v>6</v>
      </c>
      <c r="I1657" t="s">
        <v>2112</v>
      </c>
      <c r="J1657" t="s">
        <v>2110</v>
      </c>
      <c r="K1657">
        <v>8.4480000000000004</v>
      </c>
      <c r="L1657">
        <f t="shared" si="50"/>
        <v>844.80000000000007</v>
      </c>
      <c r="M1657">
        <f t="shared" si="51"/>
        <v>168.96000000000004</v>
      </c>
    </row>
    <row r="1658" spans="1:13" x14ac:dyDescent="0.3">
      <c r="A1658">
        <v>1657</v>
      </c>
      <c r="B1658" t="s">
        <v>1828</v>
      </c>
      <c r="C1658" s="1">
        <v>43422</v>
      </c>
      <c r="D1658" s="1">
        <v>43425</v>
      </c>
      <c r="E1658" t="s">
        <v>2120</v>
      </c>
      <c r="F1658" t="s">
        <v>1829</v>
      </c>
      <c r="G1658" t="s">
        <v>1830</v>
      </c>
      <c r="H1658" t="s">
        <v>6</v>
      </c>
      <c r="I1658" t="s">
        <v>2112</v>
      </c>
      <c r="J1658" t="s">
        <v>2110</v>
      </c>
      <c r="K1658">
        <v>95.94</v>
      </c>
      <c r="L1658">
        <f t="shared" si="50"/>
        <v>9594</v>
      </c>
      <c r="M1658">
        <f t="shared" si="51"/>
        <v>1918.8000000000002</v>
      </c>
    </row>
    <row r="1659" spans="1:13" x14ac:dyDescent="0.3">
      <c r="A1659">
        <v>1658</v>
      </c>
      <c r="B1659" t="s">
        <v>1831</v>
      </c>
      <c r="C1659" s="1">
        <v>42136</v>
      </c>
      <c r="D1659" s="1">
        <v>42139</v>
      </c>
      <c r="E1659" t="s">
        <v>2120</v>
      </c>
      <c r="F1659" t="s">
        <v>1095</v>
      </c>
      <c r="G1659" t="s">
        <v>1096</v>
      </c>
      <c r="H1659" t="s">
        <v>6</v>
      </c>
      <c r="I1659" t="s">
        <v>2117</v>
      </c>
      <c r="J1659" t="s">
        <v>2109</v>
      </c>
      <c r="K1659">
        <v>34.79</v>
      </c>
      <c r="L1659">
        <f t="shared" si="50"/>
        <v>3479</v>
      </c>
      <c r="M1659">
        <f t="shared" si="51"/>
        <v>695.80000000000007</v>
      </c>
    </row>
    <row r="1660" spans="1:13" x14ac:dyDescent="0.3">
      <c r="A1660">
        <v>1659</v>
      </c>
      <c r="B1660" t="s">
        <v>1832</v>
      </c>
      <c r="C1660" s="1">
        <v>43120</v>
      </c>
      <c r="D1660" s="1">
        <v>43126</v>
      </c>
      <c r="E1660" t="s">
        <v>2118</v>
      </c>
      <c r="F1660" t="s">
        <v>1833</v>
      </c>
      <c r="G1660" t="s">
        <v>1834</v>
      </c>
      <c r="H1660" t="s">
        <v>6</v>
      </c>
      <c r="I1660" t="s">
        <v>2112</v>
      </c>
      <c r="J1660" t="s">
        <v>2111</v>
      </c>
      <c r="K1660">
        <v>160.77600000000001</v>
      </c>
      <c r="L1660">
        <f t="shared" si="50"/>
        <v>16077.6</v>
      </c>
      <c r="M1660">
        <f t="shared" si="51"/>
        <v>3215.5200000000004</v>
      </c>
    </row>
    <row r="1661" spans="1:13" x14ac:dyDescent="0.3">
      <c r="A1661">
        <v>1660</v>
      </c>
      <c r="B1661" t="s">
        <v>1835</v>
      </c>
      <c r="C1661" s="1">
        <v>43403</v>
      </c>
      <c r="D1661" s="1">
        <v>43410</v>
      </c>
      <c r="E1661" t="s">
        <v>2118</v>
      </c>
      <c r="F1661" t="s">
        <v>1836</v>
      </c>
      <c r="G1661" t="s">
        <v>1837</v>
      </c>
      <c r="H1661" t="s">
        <v>6</v>
      </c>
      <c r="I1661" t="s">
        <v>2112</v>
      </c>
      <c r="J1661" t="s">
        <v>2110</v>
      </c>
      <c r="K1661">
        <v>88.751999999999995</v>
      </c>
      <c r="L1661">
        <f t="shared" si="50"/>
        <v>8875.1999999999989</v>
      </c>
      <c r="M1661">
        <f t="shared" si="51"/>
        <v>1775.04</v>
      </c>
    </row>
    <row r="1662" spans="1:13" x14ac:dyDescent="0.3">
      <c r="A1662">
        <v>1661</v>
      </c>
      <c r="B1662" t="s">
        <v>1835</v>
      </c>
      <c r="C1662" s="1">
        <v>43403</v>
      </c>
      <c r="D1662" s="1">
        <v>43410</v>
      </c>
      <c r="E1662" t="s">
        <v>2118</v>
      </c>
      <c r="F1662" t="s">
        <v>1836</v>
      </c>
      <c r="G1662" t="s">
        <v>1837</v>
      </c>
      <c r="H1662" t="s">
        <v>6</v>
      </c>
      <c r="I1662" t="s">
        <v>2112</v>
      </c>
      <c r="J1662" t="s">
        <v>2110</v>
      </c>
      <c r="K1662">
        <v>13.904</v>
      </c>
      <c r="L1662">
        <f t="shared" si="50"/>
        <v>1390.4</v>
      </c>
      <c r="M1662">
        <f t="shared" si="51"/>
        <v>278.08000000000004</v>
      </c>
    </row>
    <row r="1663" spans="1:13" x14ac:dyDescent="0.3">
      <c r="A1663">
        <v>1662</v>
      </c>
      <c r="B1663" t="s">
        <v>1838</v>
      </c>
      <c r="C1663" s="1">
        <v>43220</v>
      </c>
      <c r="D1663" s="1">
        <v>43226</v>
      </c>
      <c r="E1663" t="s">
        <v>2118</v>
      </c>
      <c r="F1663" t="s">
        <v>1467</v>
      </c>
      <c r="G1663" t="s">
        <v>1468</v>
      </c>
      <c r="H1663" t="s">
        <v>10</v>
      </c>
      <c r="I1663" t="s">
        <v>2114</v>
      </c>
      <c r="J1663" t="s">
        <v>2111</v>
      </c>
      <c r="K1663">
        <v>677.58</v>
      </c>
      <c r="L1663">
        <f t="shared" si="50"/>
        <v>67758</v>
      </c>
      <c r="M1663">
        <f t="shared" si="51"/>
        <v>13551.6</v>
      </c>
    </row>
    <row r="1664" spans="1:13" x14ac:dyDescent="0.3">
      <c r="A1664">
        <v>1663</v>
      </c>
      <c r="B1664" t="s">
        <v>1838</v>
      </c>
      <c r="C1664" s="1">
        <v>43220</v>
      </c>
      <c r="D1664" s="1">
        <v>43226</v>
      </c>
      <c r="E1664" t="s">
        <v>2118</v>
      </c>
      <c r="F1664" t="s">
        <v>1467</v>
      </c>
      <c r="G1664" t="s">
        <v>1468</v>
      </c>
      <c r="H1664" t="s">
        <v>10</v>
      </c>
      <c r="I1664" t="s">
        <v>2114</v>
      </c>
      <c r="J1664" t="s">
        <v>2110</v>
      </c>
      <c r="K1664">
        <v>13.896000000000001</v>
      </c>
      <c r="L1664">
        <f t="shared" si="50"/>
        <v>1389.6000000000001</v>
      </c>
      <c r="M1664">
        <f t="shared" si="51"/>
        <v>277.92</v>
      </c>
    </row>
    <row r="1665" spans="1:13" x14ac:dyDescent="0.3">
      <c r="A1665">
        <v>1664</v>
      </c>
      <c r="B1665" t="s">
        <v>1839</v>
      </c>
      <c r="C1665" s="1">
        <v>43063</v>
      </c>
      <c r="D1665" s="1">
        <v>43065</v>
      </c>
      <c r="E1665" t="s">
        <v>2119</v>
      </c>
      <c r="F1665" t="s">
        <v>1840</v>
      </c>
      <c r="G1665" t="s">
        <v>1841</v>
      </c>
      <c r="H1665" t="s">
        <v>6</v>
      </c>
      <c r="I1665" t="s">
        <v>2117</v>
      </c>
      <c r="J1665" t="s">
        <v>2110</v>
      </c>
      <c r="K1665">
        <v>41.92</v>
      </c>
      <c r="L1665">
        <f t="shared" si="50"/>
        <v>4192</v>
      </c>
      <c r="M1665">
        <f t="shared" si="51"/>
        <v>838.40000000000009</v>
      </c>
    </row>
    <row r="1666" spans="1:13" x14ac:dyDescent="0.3">
      <c r="A1666">
        <v>1665</v>
      </c>
      <c r="B1666" t="s">
        <v>1839</v>
      </c>
      <c r="C1666" s="1">
        <v>43063</v>
      </c>
      <c r="D1666" s="1">
        <v>43065</v>
      </c>
      <c r="E1666" t="s">
        <v>2119</v>
      </c>
      <c r="F1666" t="s">
        <v>1840</v>
      </c>
      <c r="G1666" t="s">
        <v>1841</v>
      </c>
      <c r="H1666" t="s">
        <v>6</v>
      </c>
      <c r="I1666" t="s">
        <v>2117</v>
      </c>
      <c r="J1666" t="s">
        <v>2111</v>
      </c>
      <c r="K1666">
        <v>297.57600000000002</v>
      </c>
      <c r="L1666">
        <f t="shared" ref="L1666:L1729" si="52">K1666*100</f>
        <v>29757.600000000002</v>
      </c>
      <c r="M1666">
        <f t="shared" si="51"/>
        <v>5951.52</v>
      </c>
    </row>
    <row r="1667" spans="1:13" x14ac:dyDescent="0.3">
      <c r="A1667">
        <v>1666</v>
      </c>
      <c r="B1667" t="s">
        <v>1839</v>
      </c>
      <c r="C1667" s="1">
        <v>43063</v>
      </c>
      <c r="D1667" s="1">
        <v>43065</v>
      </c>
      <c r="E1667" t="s">
        <v>2119</v>
      </c>
      <c r="F1667" t="s">
        <v>1840</v>
      </c>
      <c r="G1667" t="s">
        <v>1841</v>
      </c>
      <c r="H1667" t="s">
        <v>6</v>
      </c>
      <c r="I1667" t="s">
        <v>2117</v>
      </c>
      <c r="J1667" t="s">
        <v>2110</v>
      </c>
      <c r="K1667">
        <v>4.3440000000000003</v>
      </c>
      <c r="L1667">
        <f t="shared" si="52"/>
        <v>434.40000000000003</v>
      </c>
      <c r="M1667">
        <f t="shared" ref="M1667:M1730" si="53">L1667*0.2</f>
        <v>86.88000000000001</v>
      </c>
    </row>
    <row r="1668" spans="1:13" x14ac:dyDescent="0.3">
      <c r="A1668">
        <v>1667</v>
      </c>
      <c r="B1668" t="s">
        <v>1839</v>
      </c>
      <c r="C1668" s="1">
        <v>43063</v>
      </c>
      <c r="D1668" s="1">
        <v>43065</v>
      </c>
      <c r="E1668" t="s">
        <v>2119</v>
      </c>
      <c r="F1668" t="s">
        <v>1840</v>
      </c>
      <c r="G1668" t="s">
        <v>1841</v>
      </c>
      <c r="H1668" t="s">
        <v>6</v>
      </c>
      <c r="I1668" t="s">
        <v>2117</v>
      </c>
      <c r="J1668" t="s">
        <v>2111</v>
      </c>
      <c r="K1668">
        <v>94.992000000000004</v>
      </c>
      <c r="L1668">
        <f t="shared" si="52"/>
        <v>9499.2000000000007</v>
      </c>
      <c r="M1668">
        <f t="shared" si="53"/>
        <v>1899.8400000000001</v>
      </c>
    </row>
    <row r="1669" spans="1:13" x14ac:dyDescent="0.3">
      <c r="A1669">
        <v>1668</v>
      </c>
      <c r="B1669" t="s">
        <v>1839</v>
      </c>
      <c r="C1669" s="1">
        <v>43063</v>
      </c>
      <c r="D1669" s="1">
        <v>43065</v>
      </c>
      <c r="E1669" t="s">
        <v>2119</v>
      </c>
      <c r="F1669" t="s">
        <v>1840</v>
      </c>
      <c r="G1669" t="s">
        <v>1841</v>
      </c>
      <c r="H1669" t="s">
        <v>6</v>
      </c>
      <c r="I1669" t="s">
        <v>2117</v>
      </c>
      <c r="J1669" t="s">
        <v>2110</v>
      </c>
      <c r="K1669">
        <v>74.352000000000004</v>
      </c>
      <c r="L1669">
        <f t="shared" si="52"/>
        <v>7435.2000000000007</v>
      </c>
      <c r="M1669">
        <f t="shared" si="53"/>
        <v>1487.0400000000002</v>
      </c>
    </row>
    <row r="1670" spans="1:13" x14ac:dyDescent="0.3">
      <c r="A1670">
        <v>1669</v>
      </c>
      <c r="B1670" t="s">
        <v>1839</v>
      </c>
      <c r="C1670" s="1">
        <v>43063</v>
      </c>
      <c r="D1670" s="1">
        <v>43065</v>
      </c>
      <c r="E1670" t="s">
        <v>2119</v>
      </c>
      <c r="F1670" t="s">
        <v>1840</v>
      </c>
      <c r="G1670" t="s">
        <v>1841</v>
      </c>
      <c r="H1670" t="s">
        <v>6</v>
      </c>
      <c r="I1670" t="s">
        <v>2117</v>
      </c>
      <c r="J1670" t="s">
        <v>2110</v>
      </c>
      <c r="K1670">
        <v>14.04</v>
      </c>
      <c r="L1670">
        <f t="shared" si="52"/>
        <v>1404</v>
      </c>
      <c r="M1670">
        <f t="shared" si="53"/>
        <v>280.8</v>
      </c>
    </row>
    <row r="1671" spans="1:13" x14ac:dyDescent="0.3">
      <c r="A1671">
        <v>1670</v>
      </c>
      <c r="B1671" t="s">
        <v>1842</v>
      </c>
      <c r="C1671" s="1">
        <v>42379</v>
      </c>
      <c r="D1671" s="1">
        <v>42384</v>
      </c>
      <c r="E1671" t="s">
        <v>2118</v>
      </c>
      <c r="F1671" t="s">
        <v>1609</v>
      </c>
      <c r="G1671" t="s">
        <v>1610</v>
      </c>
      <c r="H1671" t="s">
        <v>6</v>
      </c>
      <c r="I1671" t="s">
        <v>2114</v>
      </c>
      <c r="J1671" t="s">
        <v>2109</v>
      </c>
      <c r="K1671">
        <v>1018.104</v>
      </c>
      <c r="L1671">
        <f t="shared" si="52"/>
        <v>101810.40000000001</v>
      </c>
      <c r="M1671">
        <f t="shared" si="53"/>
        <v>20362.080000000002</v>
      </c>
    </row>
    <row r="1672" spans="1:13" x14ac:dyDescent="0.3">
      <c r="A1672">
        <v>1671</v>
      </c>
      <c r="B1672" t="s">
        <v>1843</v>
      </c>
      <c r="C1672" s="1">
        <v>43392</v>
      </c>
      <c r="D1672" s="1">
        <v>43399</v>
      </c>
      <c r="E1672" t="s">
        <v>2118</v>
      </c>
      <c r="F1672" t="s">
        <v>1781</v>
      </c>
      <c r="G1672" t="s">
        <v>1782</v>
      </c>
      <c r="H1672" t="s">
        <v>6</v>
      </c>
      <c r="I1672" t="s">
        <v>2117</v>
      </c>
      <c r="J1672" t="s">
        <v>2111</v>
      </c>
      <c r="K1672">
        <v>16.68</v>
      </c>
      <c r="L1672">
        <f t="shared" si="52"/>
        <v>1668</v>
      </c>
      <c r="M1672">
        <f t="shared" si="53"/>
        <v>333.6</v>
      </c>
    </row>
    <row r="1673" spans="1:13" x14ac:dyDescent="0.3">
      <c r="A1673">
        <v>1672</v>
      </c>
      <c r="B1673" t="s">
        <v>1844</v>
      </c>
      <c r="C1673" s="1">
        <v>42816</v>
      </c>
      <c r="D1673" s="1">
        <v>42819</v>
      </c>
      <c r="E1673" t="s">
        <v>2120</v>
      </c>
      <c r="F1673" t="s">
        <v>1845</v>
      </c>
      <c r="G1673" t="s">
        <v>1846</v>
      </c>
      <c r="H1673" t="s">
        <v>10</v>
      </c>
      <c r="I1673" t="s">
        <v>2112</v>
      </c>
      <c r="J1673" t="s">
        <v>2111</v>
      </c>
      <c r="K1673">
        <v>58.58</v>
      </c>
      <c r="L1673">
        <f t="shared" si="52"/>
        <v>5858</v>
      </c>
      <c r="M1673">
        <f t="shared" si="53"/>
        <v>1171.6000000000001</v>
      </c>
    </row>
    <row r="1674" spans="1:13" x14ac:dyDescent="0.3">
      <c r="A1674">
        <v>1673</v>
      </c>
      <c r="B1674" t="s">
        <v>1847</v>
      </c>
      <c r="C1674" s="1">
        <v>43284</v>
      </c>
      <c r="D1674" s="1">
        <v>43288</v>
      </c>
      <c r="E1674" t="s">
        <v>2118</v>
      </c>
      <c r="F1674" t="s">
        <v>1206</v>
      </c>
      <c r="G1674" t="s">
        <v>1207</v>
      </c>
      <c r="H1674" t="s">
        <v>6</v>
      </c>
      <c r="I1674" t="s">
        <v>2117</v>
      </c>
      <c r="J1674" t="s">
        <v>2111</v>
      </c>
      <c r="K1674">
        <v>167.96799999999999</v>
      </c>
      <c r="L1674">
        <f t="shared" si="52"/>
        <v>16796.8</v>
      </c>
      <c r="M1674">
        <f t="shared" si="53"/>
        <v>3359.36</v>
      </c>
    </row>
    <row r="1675" spans="1:13" x14ac:dyDescent="0.3">
      <c r="A1675">
        <v>1674</v>
      </c>
      <c r="B1675" t="s">
        <v>1848</v>
      </c>
      <c r="C1675" s="1">
        <v>42715</v>
      </c>
      <c r="D1675" s="1">
        <v>42716</v>
      </c>
      <c r="E1675" t="s">
        <v>2120</v>
      </c>
      <c r="F1675" t="s">
        <v>1849</v>
      </c>
      <c r="G1675" t="s">
        <v>1850</v>
      </c>
      <c r="H1675" t="s">
        <v>6</v>
      </c>
      <c r="I1675" t="s">
        <v>2115</v>
      </c>
      <c r="J1675" t="s">
        <v>2110</v>
      </c>
      <c r="K1675">
        <v>196.62</v>
      </c>
      <c r="L1675">
        <f t="shared" si="52"/>
        <v>19662</v>
      </c>
      <c r="M1675">
        <f t="shared" si="53"/>
        <v>3932.4</v>
      </c>
    </row>
    <row r="1676" spans="1:13" x14ac:dyDescent="0.3">
      <c r="A1676">
        <v>1675</v>
      </c>
      <c r="B1676" t="s">
        <v>1851</v>
      </c>
      <c r="C1676" s="1">
        <v>42630</v>
      </c>
      <c r="D1676" s="1">
        <v>42634</v>
      </c>
      <c r="E1676" t="s">
        <v>2118</v>
      </c>
      <c r="F1676" t="s">
        <v>784</v>
      </c>
      <c r="G1676" t="s">
        <v>785</v>
      </c>
      <c r="H1676" t="s">
        <v>10</v>
      </c>
      <c r="I1676" t="s">
        <v>2117</v>
      </c>
      <c r="J1676" t="s">
        <v>2109</v>
      </c>
      <c r="K1676">
        <v>21.936</v>
      </c>
      <c r="L1676">
        <f t="shared" si="52"/>
        <v>2193.6</v>
      </c>
      <c r="M1676">
        <f t="shared" si="53"/>
        <v>438.72</v>
      </c>
    </row>
    <row r="1677" spans="1:13" x14ac:dyDescent="0.3">
      <c r="A1677">
        <v>1676</v>
      </c>
      <c r="B1677" t="s">
        <v>1851</v>
      </c>
      <c r="C1677" s="1">
        <v>42630</v>
      </c>
      <c r="D1677" s="1">
        <v>42634</v>
      </c>
      <c r="E1677" t="s">
        <v>2118</v>
      </c>
      <c r="F1677" t="s">
        <v>784</v>
      </c>
      <c r="G1677" t="s">
        <v>785</v>
      </c>
      <c r="H1677" t="s">
        <v>10</v>
      </c>
      <c r="I1677" t="s">
        <v>2117</v>
      </c>
      <c r="J1677" t="s">
        <v>2110</v>
      </c>
      <c r="K1677">
        <v>6.5880000000000001</v>
      </c>
      <c r="L1677">
        <f t="shared" si="52"/>
        <v>658.8</v>
      </c>
      <c r="M1677">
        <f t="shared" si="53"/>
        <v>131.76</v>
      </c>
    </row>
    <row r="1678" spans="1:13" x14ac:dyDescent="0.3">
      <c r="A1678">
        <v>1677</v>
      </c>
      <c r="B1678" t="s">
        <v>1852</v>
      </c>
      <c r="C1678" s="1">
        <v>42873</v>
      </c>
      <c r="D1678" s="1">
        <v>42879</v>
      </c>
      <c r="E1678" t="s">
        <v>2118</v>
      </c>
      <c r="F1678" t="s">
        <v>1853</v>
      </c>
      <c r="G1678" t="s">
        <v>1854</v>
      </c>
      <c r="H1678" t="s">
        <v>6</v>
      </c>
      <c r="I1678" t="s">
        <v>2112</v>
      </c>
      <c r="J1678" t="s">
        <v>2110</v>
      </c>
      <c r="K1678">
        <v>104.28</v>
      </c>
      <c r="L1678">
        <f t="shared" si="52"/>
        <v>10428</v>
      </c>
      <c r="M1678">
        <f t="shared" si="53"/>
        <v>2085.6</v>
      </c>
    </row>
    <row r="1679" spans="1:13" x14ac:dyDescent="0.3">
      <c r="A1679">
        <v>1678</v>
      </c>
      <c r="B1679" t="s">
        <v>1852</v>
      </c>
      <c r="C1679" s="1">
        <v>42873</v>
      </c>
      <c r="D1679" s="1">
        <v>42879</v>
      </c>
      <c r="E1679" t="s">
        <v>2118</v>
      </c>
      <c r="F1679" t="s">
        <v>1853</v>
      </c>
      <c r="G1679" t="s">
        <v>1854</v>
      </c>
      <c r="H1679" t="s">
        <v>6</v>
      </c>
      <c r="I1679" t="s">
        <v>2112</v>
      </c>
      <c r="J1679" t="s">
        <v>2110</v>
      </c>
      <c r="K1679">
        <v>17.940000000000001</v>
      </c>
      <c r="L1679">
        <f t="shared" si="52"/>
        <v>1794.0000000000002</v>
      </c>
      <c r="M1679">
        <f t="shared" si="53"/>
        <v>358.80000000000007</v>
      </c>
    </row>
    <row r="1680" spans="1:13" x14ac:dyDescent="0.3">
      <c r="A1680">
        <v>1679</v>
      </c>
      <c r="B1680" t="s">
        <v>1855</v>
      </c>
      <c r="C1680" s="1">
        <v>42254</v>
      </c>
      <c r="D1680" s="1">
        <v>42260</v>
      </c>
      <c r="E1680" t="s">
        <v>2118</v>
      </c>
      <c r="F1680" t="s">
        <v>357</v>
      </c>
      <c r="G1680" t="s">
        <v>358</v>
      </c>
      <c r="H1680" t="s">
        <v>10</v>
      </c>
      <c r="I1680" t="s">
        <v>2114</v>
      </c>
      <c r="J1680" t="s">
        <v>2110</v>
      </c>
      <c r="K1680">
        <v>64.784000000000006</v>
      </c>
      <c r="L1680">
        <f t="shared" si="52"/>
        <v>6478.4000000000005</v>
      </c>
      <c r="M1680">
        <f t="shared" si="53"/>
        <v>1295.6800000000003</v>
      </c>
    </row>
    <row r="1681" spans="1:13" x14ac:dyDescent="0.3">
      <c r="A1681">
        <v>1680</v>
      </c>
      <c r="B1681" t="s">
        <v>1855</v>
      </c>
      <c r="C1681" s="1">
        <v>42254</v>
      </c>
      <c r="D1681" s="1">
        <v>42260</v>
      </c>
      <c r="E1681" t="s">
        <v>2118</v>
      </c>
      <c r="F1681" t="s">
        <v>357</v>
      </c>
      <c r="G1681" t="s">
        <v>358</v>
      </c>
      <c r="H1681" t="s">
        <v>10</v>
      </c>
      <c r="I1681" t="s">
        <v>2114</v>
      </c>
      <c r="J1681" t="s">
        <v>2111</v>
      </c>
      <c r="K1681">
        <v>32.381999999999998</v>
      </c>
      <c r="L1681">
        <f t="shared" si="52"/>
        <v>3238.2</v>
      </c>
      <c r="M1681">
        <f t="shared" si="53"/>
        <v>647.64</v>
      </c>
    </row>
    <row r="1682" spans="1:13" x14ac:dyDescent="0.3">
      <c r="A1682">
        <v>1681</v>
      </c>
      <c r="B1682" t="s">
        <v>1855</v>
      </c>
      <c r="C1682" s="1">
        <v>42254</v>
      </c>
      <c r="D1682" s="1">
        <v>42260</v>
      </c>
      <c r="E1682" t="s">
        <v>2118</v>
      </c>
      <c r="F1682" t="s">
        <v>357</v>
      </c>
      <c r="G1682" t="s">
        <v>358</v>
      </c>
      <c r="H1682" t="s">
        <v>10</v>
      </c>
      <c r="I1682" t="s">
        <v>2114</v>
      </c>
      <c r="J1682" t="s">
        <v>2109</v>
      </c>
      <c r="K1682">
        <v>42.368000000000002</v>
      </c>
      <c r="L1682">
        <f t="shared" si="52"/>
        <v>4236.8</v>
      </c>
      <c r="M1682">
        <f t="shared" si="53"/>
        <v>847.36000000000013</v>
      </c>
    </row>
    <row r="1683" spans="1:13" x14ac:dyDescent="0.3">
      <c r="A1683">
        <v>1682</v>
      </c>
      <c r="B1683" t="s">
        <v>1855</v>
      </c>
      <c r="C1683" s="1">
        <v>42254</v>
      </c>
      <c r="D1683" s="1">
        <v>42260</v>
      </c>
      <c r="E1683" t="s">
        <v>2118</v>
      </c>
      <c r="F1683" t="s">
        <v>357</v>
      </c>
      <c r="G1683" t="s">
        <v>358</v>
      </c>
      <c r="H1683" t="s">
        <v>10</v>
      </c>
      <c r="I1683" t="s">
        <v>2114</v>
      </c>
      <c r="J1683" t="s">
        <v>2111</v>
      </c>
      <c r="K1683">
        <v>399.54</v>
      </c>
      <c r="L1683">
        <f t="shared" si="52"/>
        <v>39954</v>
      </c>
      <c r="M1683">
        <f t="shared" si="53"/>
        <v>7990.8</v>
      </c>
    </row>
    <row r="1684" spans="1:13" x14ac:dyDescent="0.3">
      <c r="A1684">
        <v>1683</v>
      </c>
      <c r="B1684" t="s">
        <v>1856</v>
      </c>
      <c r="C1684" s="1">
        <v>43007</v>
      </c>
      <c r="D1684" s="1">
        <v>43009</v>
      </c>
      <c r="E1684" t="s">
        <v>2119</v>
      </c>
      <c r="F1684" t="s">
        <v>1857</v>
      </c>
      <c r="G1684" t="s">
        <v>1858</v>
      </c>
      <c r="H1684" t="s">
        <v>6</v>
      </c>
      <c r="I1684" t="s">
        <v>2112</v>
      </c>
      <c r="J1684" t="s">
        <v>2110</v>
      </c>
      <c r="K1684">
        <v>18.97</v>
      </c>
      <c r="L1684">
        <f t="shared" si="52"/>
        <v>1897</v>
      </c>
      <c r="M1684">
        <f t="shared" si="53"/>
        <v>379.40000000000003</v>
      </c>
    </row>
    <row r="1685" spans="1:13" x14ac:dyDescent="0.3">
      <c r="A1685">
        <v>1684</v>
      </c>
      <c r="B1685" t="s">
        <v>1859</v>
      </c>
      <c r="C1685" s="1">
        <v>43046</v>
      </c>
      <c r="D1685" s="1">
        <v>43051</v>
      </c>
      <c r="E1685" t="s">
        <v>2118</v>
      </c>
      <c r="F1685" t="s">
        <v>366</v>
      </c>
      <c r="G1685" t="s">
        <v>367</v>
      </c>
      <c r="H1685" t="s">
        <v>10</v>
      </c>
      <c r="I1685" t="s">
        <v>2112</v>
      </c>
      <c r="J1685" t="s">
        <v>2109</v>
      </c>
      <c r="K1685">
        <v>14.82</v>
      </c>
      <c r="L1685">
        <f t="shared" si="52"/>
        <v>1482</v>
      </c>
      <c r="M1685">
        <f t="shared" si="53"/>
        <v>296.40000000000003</v>
      </c>
    </row>
    <row r="1686" spans="1:13" x14ac:dyDescent="0.3">
      <c r="A1686">
        <v>1685</v>
      </c>
      <c r="B1686" t="s">
        <v>1860</v>
      </c>
      <c r="C1686" s="1">
        <v>43214</v>
      </c>
      <c r="D1686" s="1">
        <v>43217</v>
      </c>
      <c r="E1686" t="s">
        <v>2120</v>
      </c>
      <c r="F1686" t="s">
        <v>1598</v>
      </c>
      <c r="G1686" t="s">
        <v>1599</v>
      </c>
      <c r="H1686" t="s">
        <v>10</v>
      </c>
      <c r="I1686" t="s">
        <v>2114</v>
      </c>
      <c r="J1686" t="s">
        <v>2110</v>
      </c>
      <c r="K1686">
        <v>99.28</v>
      </c>
      <c r="L1686">
        <f t="shared" si="52"/>
        <v>9928</v>
      </c>
      <c r="M1686">
        <f t="shared" si="53"/>
        <v>1985.6000000000001</v>
      </c>
    </row>
    <row r="1687" spans="1:13" x14ac:dyDescent="0.3">
      <c r="A1687">
        <v>1686</v>
      </c>
      <c r="B1687" t="s">
        <v>1860</v>
      </c>
      <c r="C1687" s="1">
        <v>43214</v>
      </c>
      <c r="D1687" s="1">
        <v>43217</v>
      </c>
      <c r="E1687" t="s">
        <v>2120</v>
      </c>
      <c r="F1687" t="s">
        <v>1598</v>
      </c>
      <c r="G1687" t="s">
        <v>1599</v>
      </c>
      <c r="H1687" t="s">
        <v>10</v>
      </c>
      <c r="I1687" t="s">
        <v>2114</v>
      </c>
      <c r="J1687" t="s">
        <v>2110</v>
      </c>
      <c r="K1687">
        <v>1.1879999999999999</v>
      </c>
      <c r="L1687">
        <f t="shared" si="52"/>
        <v>118.8</v>
      </c>
      <c r="M1687">
        <f t="shared" si="53"/>
        <v>23.76</v>
      </c>
    </row>
    <row r="1688" spans="1:13" x14ac:dyDescent="0.3">
      <c r="A1688">
        <v>1687</v>
      </c>
      <c r="B1688" t="s">
        <v>1860</v>
      </c>
      <c r="C1688" s="1">
        <v>43214</v>
      </c>
      <c r="D1688" s="1">
        <v>43217</v>
      </c>
      <c r="E1688" t="s">
        <v>2120</v>
      </c>
      <c r="F1688" t="s">
        <v>1598</v>
      </c>
      <c r="G1688" t="s">
        <v>1599</v>
      </c>
      <c r="H1688" t="s">
        <v>10</v>
      </c>
      <c r="I1688" t="s">
        <v>2114</v>
      </c>
      <c r="J1688" t="s">
        <v>2110</v>
      </c>
      <c r="K1688">
        <v>7.5179999999999998</v>
      </c>
      <c r="L1688">
        <f t="shared" si="52"/>
        <v>751.8</v>
      </c>
      <c r="M1688">
        <f t="shared" si="53"/>
        <v>150.35999999999999</v>
      </c>
    </row>
    <row r="1689" spans="1:13" x14ac:dyDescent="0.3">
      <c r="A1689">
        <v>1688</v>
      </c>
      <c r="B1689" t="s">
        <v>1861</v>
      </c>
      <c r="C1689" s="1">
        <v>43444</v>
      </c>
      <c r="D1689" s="1">
        <v>43446</v>
      </c>
      <c r="E1689" t="s">
        <v>2120</v>
      </c>
      <c r="F1689" t="s">
        <v>1760</v>
      </c>
      <c r="G1689" t="s">
        <v>1761</v>
      </c>
      <c r="H1689" t="s">
        <v>6</v>
      </c>
      <c r="I1689" t="s">
        <v>2114</v>
      </c>
      <c r="J1689" t="s">
        <v>2110</v>
      </c>
      <c r="K1689">
        <v>10.368</v>
      </c>
      <c r="L1689">
        <f t="shared" si="52"/>
        <v>1036.8</v>
      </c>
      <c r="M1689">
        <f t="shared" si="53"/>
        <v>207.36</v>
      </c>
    </row>
    <row r="1690" spans="1:13" x14ac:dyDescent="0.3">
      <c r="A1690">
        <v>1689</v>
      </c>
      <c r="B1690" t="s">
        <v>1861</v>
      </c>
      <c r="C1690" s="1">
        <v>43444</v>
      </c>
      <c r="D1690" s="1">
        <v>43446</v>
      </c>
      <c r="E1690" t="s">
        <v>2120</v>
      </c>
      <c r="F1690" t="s">
        <v>1760</v>
      </c>
      <c r="G1690" t="s">
        <v>1761</v>
      </c>
      <c r="H1690" t="s">
        <v>6</v>
      </c>
      <c r="I1690" t="s">
        <v>2114</v>
      </c>
      <c r="J1690" t="s">
        <v>2109</v>
      </c>
      <c r="K1690">
        <v>310.88</v>
      </c>
      <c r="L1690">
        <f t="shared" si="52"/>
        <v>31088</v>
      </c>
      <c r="M1690">
        <f t="shared" si="53"/>
        <v>6217.6</v>
      </c>
    </row>
    <row r="1691" spans="1:13" x14ac:dyDescent="0.3">
      <c r="A1691">
        <v>1690</v>
      </c>
      <c r="B1691" t="s">
        <v>1862</v>
      </c>
      <c r="C1691" s="1">
        <v>42232</v>
      </c>
      <c r="D1691" s="1">
        <v>42236</v>
      </c>
      <c r="E1691" t="s">
        <v>2118</v>
      </c>
      <c r="F1691" t="s">
        <v>187</v>
      </c>
      <c r="G1691" t="s">
        <v>188</v>
      </c>
      <c r="H1691" t="s">
        <v>6</v>
      </c>
      <c r="I1691" t="s">
        <v>2114</v>
      </c>
      <c r="J1691" t="s">
        <v>2109</v>
      </c>
      <c r="K1691">
        <v>853.09199999999998</v>
      </c>
      <c r="L1691">
        <f t="shared" si="52"/>
        <v>85309.2</v>
      </c>
      <c r="M1691">
        <f t="shared" si="53"/>
        <v>17061.84</v>
      </c>
    </row>
    <row r="1692" spans="1:13" x14ac:dyDescent="0.3">
      <c r="A1692">
        <v>1691</v>
      </c>
      <c r="B1692" t="s">
        <v>1863</v>
      </c>
      <c r="C1692" s="1">
        <v>43443</v>
      </c>
      <c r="D1692" s="1">
        <v>43449</v>
      </c>
      <c r="E1692" t="s">
        <v>2118</v>
      </c>
      <c r="F1692" t="s">
        <v>1864</v>
      </c>
      <c r="G1692" t="s">
        <v>1865</v>
      </c>
      <c r="H1692" t="s">
        <v>6</v>
      </c>
      <c r="I1692" t="s">
        <v>2117</v>
      </c>
      <c r="J1692" t="s">
        <v>2110</v>
      </c>
      <c r="K1692">
        <v>33.450000000000003</v>
      </c>
      <c r="L1692">
        <f t="shared" si="52"/>
        <v>3345.0000000000005</v>
      </c>
      <c r="M1692">
        <f t="shared" si="53"/>
        <v>669.00000000000011</v>
      </c>
    </row>
    <row r="1693" spans="1:13" x14ac:dyDescent="0.3">
      <c r="A1693">
        <v>1692</v>
      </c>
      <c r="B1693" t="s">
        <v>1863</v>
      </c>
      <c r="C1693" s="1">
        <v>43443</v>
      </c>
      <c r="D1693" s="1">
        <v>43449</v>
      </c>
      <c r="E1693" t="s">
        <v>2118</v>
      </c>
      <c r="F1693" t="s">
        <v>1864</v>
      </c>
      <c r="G1693" t="s">
        <v>1865</v>
      </c>
      <c r="H1693" t="s">
        <v>6</v>
      </c>
      <c r="I1693" t="s">
        <v>2117</v>
      </c>
      <c r="J1693" t="s">
        <v>2110</v>
      </c>
      <c r="K1693">
        <v>10.4</v>
      </c>
      <c r="L1693">
        <f t="shared" si="52"/>
        <v>1040</v>
      </c>
      <c r="M1693">
        <f t="shared" si="53"/>
        <v>208</v>
      </c>
    </row>
    <row r="1694" spans="1:13" x14ac:dyDescent="0.3">
      <c r="A1694">
        <v>1693</v>
      </c>
      <c r="B1694" t="s">
        <v>1866</v>
      </c>
      <c r="C1694" s="1">
        <v>42808</v>
      </c>
      <c r="D1694" s="1">
        <v>42813</v>
      </c>
      <c r="E1694" t="s">
        <v>2118</v>
      </c>
      <c r="F1694" t="s">
        <v>1867</v>
      </c>
      <c r="G1694" t="s">
        <v>1868</v>
      </c>
      <c r="H1694" t="s">
        <v>6</v>
      </c>
      <c r="I1694" t="s">
        <v>2114</v>
      </c>
      <c r="J1694" t="s">
        <v>2109</v>
      </c>
      <c r="K1694">
        <v>21.88</v>
      </c>
      <c r="L1694">
        <f t="shared" si="52"/>
        <v>2188</v>
      </c>
      <c r="M1694">
        <f t="shared" si="53"/>
        <v>437.6</v>
      </c>
    </row>
    <row r="1695" spans="1:13" x14ac:dyDescent="0.3">
      <c r="A1695">
        <v>1694</v>
      </c>
      <c r="B1695" t="s">
        <v>1869</v>
      </c>
      <c r="C1695" s="1">
        <v>42912</v>
      </c>
      <c r="D1695" s="1">
        <v>42915</v>
      </c>
      <c r="E1695" t="s">
        <v>2119</v>
      </c>
      <c r="F1695" t="s">
        <v>1512</v>
      </c>
      <c r="G1695" t="s">
        <v>1513</v>
      </c>
      <c r="H1695" t="s">
        <v>26</v>
      </c>
      <c r="I1695" t="s">
        <v>2117</v>
      </c>
      <c r="J1695" t="s">
        <v>2111</v>
      </c>
      <c r="K1695">
        <v>13.616</v>
      </c>
      <c r="L1695">
        <f t="shared" si="52"/>
        <v>1361.6</v>
      </c>
      <c r="M1695">
        <f t="shared" si="53"/>
        <v>272.32</v>
      </c>
    </row>
    <row r="1696" spans="1:13" x14ac:dyDescent="0.3">
      <c r="A1696">
        <v>1695</v>
      </c>
      <c r="B1696" t="s">
        <v>1870</v>
      </c>
      <c r="C1696" s="1">
        <v>42638</v>
      </c>
      <c r="D1696" s="1">
        <v>42641</v>
      </c>
      <c r="E1696" t="s">
        <v>2119</v>
      </c>
      <c r="F1696" t="s">
        <v>920</v>
      </c>
      <c r="G1696" t="s">
        <v>921</v>
      </c>
      <c r="H1696" t="s">
        <v>26</v>
      </c>
      <c r="I1696" t="s">
        <v>2114</v>
      </c>
      <c r="J1696" t="s">
        <v>2111</v>
      </c>
      <c r="K1696">
        <v>63.96</v>
      </c>
      <c r="L1696">
        <f t="shared" si="52"/>
        <v>6396</v>
      </c>
      <c r="M1696">
        <f t="shared" si="53"/>
        <v>1279.2</v>
      </c>
    </row>
    <row r="1697" spans="1:13" x14ac:dyDescent="0.3">
      <c r="A1697">
        <v>1696</v>
      </c>
      <c r="B1697" t="s">
        <v>1870</v>
      </c>
      <c r="C1697" s="1">
        <v>42638</v>
      </c>
      <c r="D1697" s="1">
        <v>42641</v>
      </c>
      <c r="E1697" t="s">
        <v>2119</v>
      </c>
      <c r="F1697" t="s">
        <v>920</v>
      </c>
      <c r="G1697" t="s">
        <v>921</v>
      </c>
      <c r="H1697" t="s">
        <v>26</v>
      </c>
      <c r="I1697" t="s">
        <v>2114</v>
      </c>
      <c r="J1697" t="s">
        <v>2110</v>
      </c>
      <c r="K1697">
        <v>14.46</v>
      </c>
      <c r="L1697">
        <f t="shared" si="52"/>
        <v>1446</v>
      </c>
      <c r="M1697">
        <f t="shared" si="53"/>
        <v>289.2</v>
      </c>
    </row>
    <row r="1698" spans="1:13" x14ac:dyDescent="0.3">
      <c r="A1698">
        <v>1697</v>
      </c>
      <c r="B1698" t="s">
        <v>1870</v>
      </c>
      <c r="C1698" s="1">
        <v>42638</v>
      </c>
      <c r="D1698" s="1">
        <v>42641</v>
      </c>
      <c r="E1698" t="s">
        <v>2119</v>
      </c>
      <c r="F1698" t="s">
        <v>920</v>
      </c>
      <c r="G1698" t="s">
        <v>921</v>
      </c>
      <c r="H1698" t="s">
        <v>26</v>
      </c>
      <c r="I1698" t="s">
        <v>2114</v>
      </c>
      <c r="J1698" t="s">
        <v>2111</v>
      </c>
      <c r="K1698">
        <v>104.98</v>
      </c>
      <c r="L1698">
        <f t="shared" si="52"/>
        <v>10498</v>
      </c>
      <c r="M1698">
        <f t="shared" si="53"/>
        <v>2099.6</v>
      </c>
    </row>
    <row r="1699" spans="1:13" x14ac:dyDescent="0.3">
      <c r="A1699">
        <v>1698</v>
      </c>
      <c r="B1699" t="s">
        <v>1871</v>
      </c>
      <c r="C1699" s="1">
        <v>42731</v>
      </c>
      <c r="D1699" s="1">
        <v>42735</v>
      </c>
      <c r="E1699" t="s">
        <v>2118</v>
      </c>
      <c r="F1699" t="s">
        <v>476</v>
      </c>
      <c r="G1699" t="s">
        <v>477</v>
      </c>
      <c r="H1699" t="s">
        <v>6</v>
      </c>
      <c r="I1699" t="s">
        <v>2112</v>
      </c>
      <c r="J1699" t="s">
        <v>2110</v>
      </c>
      <c r="K1699">
        <v>106.96</v>
      </c>
      <c r="L1699">
        <f t="shared" si="52"/>
        <v>10696</v>
      </c>
      <c r="M1699">
        <f t="shared" si="53"/>
        <v>2139.2000000000003</v>
      </c>
    </row>
    <row r="1700" spans="1:13" x14ac:dyDescent="0.3">
      <c r="A1700">
        <v>1699</v>
      </c>
      <c r="B1700" t="s">
        <v>1871</v>
      </c>
      <c r="C1700" s="1">
        <v>42731</v>
      </c>
      <c r="D1700" s="1">
        <v>42735</v>
      </c>
      <c r="E1700" t="s">
        <v>2118</v>
      </c>
      <c r="F1700" t="s">
        <v>476</v>
      </c>
      <c r="G1700" t="s">
        <v>477</v>
      </c>
      <c r="H1700" t="s">
        <v>6</v>
      </c>
      <c r="I1700" t="s">
        <v>2112</v>
      </c>
      <c r="J1700" t="s">
        <v>2110</v>
      </c>
      <c r="K1700">
        <v>21.56</v>
      </c>
      <c r="L1700">
        <f t="shared" si="52"/>
        <v>2156</v>
      </c>
      <c r="M1700">
        <f t="shared" si="53"/>
        <v>431.20000000000005</v>
      </c>
    </row>
    <row r="1701" spans="1:13" x14ac:dyDescent="0.3">
      <c r="A1701">
        <v>1700</v>
      </c>
      <c r="B1701" t="s">
        <v>1872</v>
      </c>
      <c r="C1701" s="1">
        <v>42158</v>
      </c>
      <c r="D1701" s="1">
        <v>42162</v>
      </c>
      <c r="E1701" t="s">
        <v>2119</v>
      </c>
      <c r="F1701" t="s">
        <v>178</v>
      </c>
      <c r="G1701" t="s">
        <v>179</v>
      </c>
      <c r="H1701" t="s">
        <v>6</v>
      </c>
      <c r="I1701" t="s">
        <v>2112</v>
      </c>
      <c r="J1701" t="s">
        <v>2109</v>
      </c>
      <c r="K1701">
        <v>515.88</v>
      </c>
      <c r="L1701">
        <f t="shared" si="52"/>
        <v>51588</v>
      </c>
      <c r="M1701">
        <f t="shared" si="53"/>
        <v>10317.6</v>
      </c>
    </row>
    <row r="1702" spans="1:13" x14ac:dyDescent="0.3">
      <c r="A1702">
        <v>1701</v>
      </c>
      <c r="B1702" t="s">
        <v>1873</v>
      </c>
      <c r="C1702" s="1">
        <v>42564</v>
      </c>
      <c r="D1702" s="1">
        <v>42566</v>
      </c>
      <c r="E1702" t="s">
        <v>2119</v>
      </c>
      <c r="F1702" t="s">
        <v>1539</v>
      </c>
      <c r="G1702" t="s">
        <v>1540</v>
      </c>
      <c r="H1702" t="s">
        <v>6</v>
      </c>
      <c r="I1702" t="s">
        <v>2114</v>
      </c>
      <c r="J1702" t="s">
        <v>2110</v>
      </c>
      <c r="K1702">
        <v>11.808</v>
      </c>
      <c r="L1702">
        <f t="shared" si="52"/>
        <v>1180.8</v>
      </c>
      <c r="M1702">
        <f t="shared" si="53"/>
        <v>236.16</v>
      </c>
    </row>
    <row r="1703" spans="1:13" x14ac:dyDescent="0.3">
      <c r="A1703">
        <v>1702</v>
      </c>
      <c r="B1703" t="s">
        <v>1873</v>
      </c>
      <c r="C1703" s="1">
        <v>42564</v>
      </c>
      <c r="D1703" s="1">
        <v>42566</v>
      </c>
      <c r="E1703" t="s">
        <v>2119</v>
      </c>
      <c r="F1703" t="s">
        <v>1539</v>
      </c>
      <c r="G1703" t="s">
        <v>1540</v>
      </c>
      <c r="H1703" t="s">
        <v>6</v>
      </c>
      <c r="I1703" t="s">
        <v>2114</v>
      </c>
      <c r="J1703" t="s">
        <v>2109</v>
      </c>
      <c r="K1703">
        <v>1931.04</v>
      </c>
      <c r="L1703">
        <f t="shared" si="52"/>
        <v>193104</v>
      </c>
      <c r="M1703">
        <f t="shared" si="53"/>
        <v>38620.800000000003</v>
      </c>
    </row>
    <row r="1704" spans="1:13" x14ac:dyDescent="0.3">
      <c r="A1704">
        <v>1703</v>
      </c>
      <c r="B1704" t="s">
        <v>1873</v>
      </c>
      <c r="C1704" s="1">
        <v>42564</v>
      </c>
      <c r="D1704" s="1">
        <v>42566</v>
      </c>
      <c r="E1704" t="s">
        <v>2119</v>
      </c>
      <c r="F1704" t="s">
        <v>1539</v>
      </c>
      <c r="G1704" t="s">
        <v>1540</v>
      </c>
      <c r="H1704" t="s">
        <v>6</v>
      </c>
      <c r="I1704" t="s">
        <v>2114</v>
      </c>
      <c r="J1704" t="s">
        <v>2110</v>
      </c>
      <c r="K1704">
        <v>9.9600000000000009</v>
      </c>
      <c r="L1704">
        <f t="shared" si="52"/>
        <v>996.00000000000011</v>
      </c>
      <c r="M1704">
        <f t="shared" si="53"/>
        <v>199.20000000000005</v>
      </c>
    </row>
    <row r="1705" spans="1:13" x14ac:dyDescent="0.3">
      <c r="A1705">
        <v>1704</v>
      </c>
      <c r="B1705" t="s">
        <v>1874</v>
      </c>
      <c r="C1705" s="1">
        <v>42037</v>
      </c>
      <c r="D1705" s="1">
        <v>42041</v>
      </c>
      <c r="E1705" t="s">
        <v>2118</v>
      </c>
      <c r="F1705" t="s">
        <v>1875</v>
      </c>
      <c r="G1705" t="s">
        <v>1876</v>
      </c>
      <c r="H1705" t="s">
        <v>26</v>
      </c>
      <c r="I1705" t="s">
        <v>2112</v>
      </c>
      <c r="J1705" t="s">
        <v>2110</v>
      </c>
      <c r="K1705">
        <v>12.35</v>
      </c>
      <c r="L1705">
        <f t="shared" si="52"/>
        <v>1235</v>
      </c>
      <c r="M1705">
        <f t="shared" si="53"/>
        <v>247</v>
      </c>
    </row>
    <row r="1706" spans="1:13" x14ac:dyDescent="0.3">
      <c r="A1706">
        <v>1705</v>
      </c>
      <c r="B1706" t="s">
        <v>1877</v>
      </c>
      <c r="C1706" s="1">
        <v>42802</v>
      </c>
      <c r="D1706" s="1">
        <v>42802</v>
      </c>
      <c r="E1706" t="s">
        <v>2120</v>
      </c>
      <c r="F1706" t="s">
        <v>1012</v>
      </c>
      <c r="G1706" t="s">
        <v>1013</v>
      </c>
      <c r="H1706" t="s">
        <v>6</v>
      </c>
      <c r="I1706" t="s">
        <v>2112</v>
      </c>
      <c r="J1706" t="s">
        <v>2110</v>
      </c>
      <c r="K1706">
        <v>9.702</v>
      </c>
      <c r="L1706">
        <f t="shared" si="52"/>
        <v>970.2</v>
      </c>
      <c r="M1706">
        <f t="shared" si="53"/>
        <v>194.04000000000002</v>
      </c>
    </row>
    <row r="1707" spans="1:13" x14ac:dyDescent="0.3">
      <c r="A1707">
        <v>1706</v>
      </c>
      <c r="B1707" t="s">
        <v>1878</v>
      </c>
      <c r="C1707" s="1">
        <v>42696</v>
      </c>
      <c r="D1707" s="1">
        <v>42700</v>
      </c>
      <c r="E1707" t="s">
        <v>2118</v>
      </c>
      <c r="F1707" t="s">
        <v>21</v>
      </c>
      <c r="G1707" t="s">
        <v>22</v>
      </c>
      <c r="H1707" t="s">
        <v>6</v>
      </c>
      <c r="I1707" t="s">
        <v>2114</v>
      </c>
      <c r="J1707" t="s">
        <v>2110</v>
      </c>
      <c r="K1707">
        <v>11.61</v>
      </c>
      <c r="L1707">
        <f t="shared" si="52"/>
        <v>1161</v>
      </c>
      <c r="M1707">
        <f t="shared" si="53"/>
        <v>232.20000000000002</v>
      </c>
    </row>
    <row r="1708" spans="1:13" x14ac:dyDescent="0.3">
      <c r="A1708">
        <v>1707</v>
      </c>
      <c r="B1708" t="s">
        <v>1879</v>
      </c>
      <c r="C1708" s="1">
        <v>43403</v>
      </c>
      <c r="D1708" s="1">
        <v>43409</v>
      </c>
      <c r="E1708" t="s">
        <v>2118</v>
      </c>
      <c r="F1708" t="s">
        <v>1880</v>
      </c>
      <c r="G1708" t="s">
        <v>1881</v>
      </c>
      <c r="H1708" t="s">
        <v>6</v>
      </c>
      <c r="I1708" t="s">
        <v>2112</v>
      </c>
      <c r="J1708" t="s">
        <v>2110</v>
      </c>
      <c r="K1708">
        <v>43.86</v>
      </c>
      <c r="L1708">
        <f t="shared" si="52"/>
        <v>4386</v>
      </c>
      <c r="M1708">
        <f t="shared" si="53"/>
        <v>877.2</v>
      </c>
    </row>
    <row r="1709" spans="1:13" x14ac:dyDescent="0.3">
      <c r="A1709">
        <v>1708</v>
      </c>
      <c r="B1709" t="s">
        <v>1879</v>
      </c>
      <c r="C1709" s="1">
        <v>43403</v>
      </c>
      <c r="D1709" s="1">
        <v>43409</v>
      </c>
      <c r="E1709" t="s">
        <v>2118</v>
      </c>
      <c r="F1709" t="s">
        <v>1880</v>
      </c>
      <c r="G1709" t="s">
        <v>1881</v>
      </c>
      <c r="H1709" t="s">
        <v>6</v>
      </c>
      <c r="I1709" t="s">
        <v>2112</v>
      </c>
      <c r="J1709" t="s">
        <v>2111</v>
      </c>
      <c r="K1709">
        <v>148.47999999999999</v>
      </c>
      <c r="L1709">
        <f t="shared" si="52"/>
        <v>14847.999999999998</v>
      </c>
      <c r="M1709">
        <f t="shared" si="53"/>
        <v>2969.6</v>
      </c>
    </row>
    <row r="1710" spans="1:13" x14ac:dyDescent="0.3">
      <c r="A1710">
        <v>1709</v>
      </c>
      <c r="B1710" t="s">
        <v>1879</v>
      </c>
      <c r="C1710" s="1">
        <v>43403</v>
      </c>
      <c r="D1710" s="1">
        <v>43409</v>
      </c>
      <c r="E1710" t="s">
        <v>2118</v>
      </c>
      <c r="F1710" t="s">
        <v>1880</v>
      </c>
      <c r="G1710" t="s">
        <v>1881</v>
      </c>
      <c r="H1710" t="s">
        <v>6</v>
      </c>
      <c r="I1710" t="s">
        <v>2112</v>
      </c>
      <c r="J1710" t="s">
        <v>2110</v>
      </c>
      <c r="K1710">
        <v>7.42</v>
      </c>
      <c r="L1710">
        <f t="shared" si="52"/>
        <v>742</v>
      </c>
      <c r="M1710">
        <f t="shared" si="53"/>
        <v>148.4</v>
      </c>
    </row>
    <row r="1711" spans="1:13" x14ac:dyDescent="0.3">
      <c r="A1711">
        <v>1710</v>
      </c>
      <c r="B1711" t="s">
        <v>1879</v>
      </c>
      <c r="C1711" s="1">
        <v>43403</v>
      </c>
      <c r="D1711" s="1">
        <v>43409</v>
      </c>
      <c r="E1711" t="s">
        <v>2118</v>
      </c>
      <c r="F1711" t="s">
        <v>1880</v>
      </c>
      <c r="G1711" t="s">
        <v>1881</v>
      </c>
      <c r="H1711" t="s">
        <v>6</v>
      </c>
      <c r="I1711" t="s">
        <v>2112</v>
      </c>
      <c r="J1711" t="s">
        <v>2109</v>
      </c>
      <c r="K1711">
        <v>71.992000000000004</v>
      </c>
      <c r="L1711">
        <f t="shared" si="52"/>
        <v>7199.2000000000007</v>
      </c>
      <c r="M1711">
        <f t="shared" si="53"/>
        <v>1439.8400000000001</v>
      </c>
    </row>
    <row r="1712" spans="1:13" x14ac:dyDescent="0.3">
      <c r="A1712">
        <v>1711</v>
      </c>
      <c r="B1712" t="s">
        <v>1879</v>
      </c>
      <c r="C1712" s="1">
        <v>43403</v>
      </c>
      <c r="D1712" s="1">
        <v>43409</v>
      </c>
      <c r="E1712" t="s">
        <v>2118</v>
      </c>
      <c r="F1712" t="s">
        <v>1880</v>
      </c>
      <c r="G1712" t="s">
        <v>1881</v>
      </c>
      <c r="H1712" t="s">
        <v>6</v>
      </c>
      <c r="I1712" t="s">
        <v>2112</v>
      </c>
      <c r="J1712" t="s">
        <v>2110</v>
      </c>
      <c r="K1712">
        <v>19.899999999999999</v>
      </c>
      <c r="L1712">
        <f t="shared" si="52"/>
        <v>1989.9999999999998</v>
      </c>
      <c r="M1712">
        <f t="shared" si="53"/>
        <v>398</v>
      </c>
    </row>
    <row r="1713" spans="1:13" x14ac:dyDescent="0.3">
      <c r="A1713">
        <v>1712</v>
      </c>
      <c r="B1713" t="s">
        <v>1879</v>
      </c>
      <c r="C1713" s="1">
        <v>43403</v>
      </c>
      <c r="D1713" s="1">
        <v>43409</v>
      </c>
      <c r="E1713" t="s">
        <v>2118</v>
      </c>
      <c r="F1713" t="s">
        <v>1880</v>
      </c>
      <c r="G1713" t="s">
        <v>1881</v>
      </c>
      <c r="H1713" t="s">
        <v>6</v>
      </c>
      <c r="I1713" t="s">
        <v>2112</v>
      </c>
      <c r="J1713" t="s">
        <v>2110</v>
      </c>
      <c r="K1713">
        <v>1702.12</v>
      </c>
      <c r="L1713">
        <f t="shared" si="52"/>
        <v>170212</v>
      </c>
      <c r="M1713">
        <f t="shared" si="53"/>
        <v>34042.400000000001</v>
      </c>
    </row>
    <row r="1714" spans="1:13" x14ac:dyDescent="0.3">
      <c r="A1714">
        <v>1713</v>
      </c>
      <c r="B1714" t="s">
        <v>1882</v>
      </c>
      <c r="C1714" s="1">
        <v>42399</v>
      </c>
      <c r="D1714" s="1">
        <v>42404</v>
      </c>
      <c r="E1714" t="s">
        <v>2118</v>
      </c>
      <c r="F1714" t="s">
        <v>598</v>
      </c>
      <c r="G1714" t="s">
        <v>599</v>
      </c>
      <c r="H1714" t="s">
        <v>6</v>
      </c>
      <c r="I1714" t="s">
        <v>2117</v>
      </c>
      <c r="J1714" t="s">
        <v>2110</v>
      </c>
      <c r="K1714">
        <v>14.304</v>
      </c>
      <c r="L1714">
        <f t="shared" si="52"/>
        <v>1430.4</v>
      </c>
      <c r="M1714">
        <f t="shared" si="53"/>
        <v>286.08000000000004</v>
      </c>
    </row>
    <row r="1715" spans="1:13" x14ac:dyDescent="0.3">
      <c r="A1715">
        <v>1714</v>
      </c>
      <c r="B1715" t="s">
        <v>1883</v>
      </c>
      <c r="C1715" s="1">
        <v>43351</v>
      </c>
      <c r="D1715" s="1">
        <v>43356</v>
      </c>
      <c r="E1715" t="s">
        <v>2119</v>
      </c>
      <c r="F1715" t="s">
        <v>1836</v>
      </c>
      <c r="G1715" t="s">
        <v>1837</v>
      </c>
      <c r="H1715" t="s">
        <v>6</v>
      </c>
      <c r="I1715" t="s">
        <v>2117</v>
      </c>
      <c r="J1715" t="s">
        <v>2109</v>
      </c>
      <c r="K1715">
        <v>765.625</v>
      </c>
      <c r="L1715">
        <f t="shared" si="52"/>
        <v>76562.5</v>
      </c>
      <c r="M1715">
        <f t="shared" si="53"/>
        <v>15312.5</v>
      </c>
    </row>
    <row r="1716" spans="1:13" x14ac:dyDescent="0.3">
      <c r="A1716">
        <v>1715</v>
      </c>
      <c r="B1716" t="s">
        <v>1884</v>
      </c>
      <c r="C1716" s="1">
        <v>43380</v>
      </c>
      <c r="D1716" s="1">
        <v>43386</v>
      </c>
      <c r="E1716" t="s">
        <v>2118</v>
      </c>
      <c r="F1716" t="s">
        <v>938</v>
      </c>
      <c r="G1716" t="s">
        <v>939</v>
      </c>
      <c r="H1716" t="s">
        <v>6</v>
      </c>
      <c r="I1716" t="s">
        <v>2112</v>
      </c>
      <c r="J1716" t="s">
        <v>2109</v>
      </c>
      <c r="K1716">
        <v>307.666</v>
      </c>
      <c r="L1716">
        <f t="shared" si="52"/>
        <v>30766.6</v>
      </c>
      <c r="M1716">
        <f t="shared" si="53"/>
        <v>6153.32</v>
      </c>
    </row>
    <row r="1717" spans="1:13" x14ac:dyDescent="0.3">
      <c r="A1717">
        <v>1716</v>
      </c>
      <c r="B1717" t="s">
        <v>1885</v>
      </c>
      <c r="C1717" s="1">
        <v>42855</v>
      </c>
      <c r="D1717" s="1">
        <v>42859</v>
      </c>
      <c r="E1717" t="s">
        <v>2118</v>
      </c>
      <c r="F1717" t="s">
        <v>808</v>
      </c>
      <c r="G1717" t="s">
        <v>809</v>
      </c>
      <c r="H1717" t="s">
        <v>6</v>
      </c>
      <c r="I1717" t="s">
        <v>2114</v>
      </c>
      <c r="J1717" t="s">
        <v>2110</v>
      </c>
      <c r="K1717">
        <v>7.7119999999999997</v>
      </c>
      <c r="L1717">
        <f t="shared" si="52"/>
        <v>771.19999999999993</v>
      </c>
      <c r="M1717">
        <f t="shared" si="53"/>
        <v>154.24</v>
      </c>
    </row>
    <row r="1718" spans="1:13" x14ac:dyDescent="0.3">
      <c r="A1718">
        <v>1717</v>
      </c>
      <c r="B1718" t="s">
        <v>1886</v>
      </c>
      <c r="C1718" s="1">
        <v>42874</v>
      </c>
      <c r="D1718" s="1">
        <v>42879</v>
      </c>
      <c r="E1718" t="s">
        <v>2118</v>
      </c>
      <c r="F1718" t="s">
        <v>647</v>
      </c>
      <c r="G1718" t="s">
        <v>648</v>
      </c>
      <c r="H1718" t="s">
        <v>6</v>
      </c>
      <c r="I1718" t="s">
        <v>2114</v>
      </c>
      <c r="J1718" t="s">
        <v>2110</v>
      </c>
      <c r="K1718">
        <v>242.9</v>
      </c>
      <c r="L1718">
        <f t="shared" si="52"/>
        <v>24290</v>
      </c>
      <c r="M1718">
        <f t="shared" si="53"/>
        <v>4858</v>
      </c>
    </row>
    <row r="1719" spans="1:13" x14ac:dyDescent="0.3">
      <c r="A1719">
        <v>1718</v>
      </c>
      <c r="B1719" t="s">
        <v>1886</v>
      </c>
      <c r="C1719" s="1">
        <v>42874</v>
      </c>
      <c r="D1719" s="1">
        <v>42879</v>
      </c>
      <c r="E1719" t="s">
        <v>2118</v>
      </c>
      <c r="F1719" t="s">
        <v>647</v>
      </c>
      <c r="G1719" t="s">
        <v>648</v>
      </c>
      <c r="H1719" t="s">
        <v>6</v>
      </c>
      <c r="I1719" t="s">
        <v>2114</v>
      </c>
      <c r="J1719" t="s">
        <v>2110</v>
      </c>
      <c r="K1719">
        <v>454.9</v>
      </c>
      <c r="L1719">
        <f t="shared" si="52"/>
        <v>45490</v>
      </c>
      <c r="M1719">
        <f t="shared" si="53"/>
        <v>9098</v>
      </c>
    </row>
    <row r="1720" spans="1:13" x14ac:dyDescent="0.3">
      <c r="A1720">
        <v>1719</v>
      </c>
      <c r="B1720" t="s">
        <v>1886</v>
      </c>
      <c r="C1720" s="1">
        <v>42874</v>
      </c>
      <c r="D1720" s="1">
        <v>42879</v>
      </c>
      <c r="E1720" t="s">
        <v>2118</v>
      </c>
      <c r="F1720" t="s">
        <v>647</v>
      </c>
      <c r="G1720" t="s">
        <v>648</v>
      </c>
      <c r="H1720" t="s">
        <v>6</v>
      </c>
      <c r="I1720" t="s">
        <v>2114</v>
      </c>
      <c r="J1720" t="s">
        <v>2109</v>
      </c>
      <c r="K1720">
        <v>35.92</v>
      </c>
      <c r="L1720">
        <f t="shared" si="52"/>
        <v>3592</v>
      </c>
      <c r="M1720">
        <f t="shared" si="53"/>
        <v>718.40000000000009</v>
      </c>
    </row>
    <row r="1721" spans="1:13" x14ac:dyDescent="0.3">
      <c r="A1721">
        <v>1720</v>
      </c>
      <c r="B1721" t="s">
        <v>1886</v>
      </c>
      <c r="C1721" s="1">
        <v>42874</v>
      </c>
      <c r="D1721" s="1">
        <v>42879</v>
      </c>
      <c r="E1721" t="s">
        <v>2118</v>
      </c>
      <c r="F1721" t="s">
        <v>647</v>
      </c>
      <c r="G1721" t="s">
        <v>648</v>
      </c>
      <c r="H1721" t="s">
        <v>6</v>
      </c>
      <c r="I1721" t="s">
        <v>2114</v>
      </c>
      <c r="J1721" t="s">
        <v>2109</v>
      </c>
      <c r="K1721">
        <v>39.76</v>
      </c>
      <c r="L1721">
        <f t="shared" si="52"/>
        <v>3976</v>
      </c>
      <c r="M1721">
        <f t="shared" si="53"/>
        <v>795.2</v>
      </c>
    </row>
    <row r="1722" spans="1:13" x14ac:dyDescent="0.3">
      <c r="A1722">
        <v>1721</v>
      </c>
      <c r="B1722" t="s">
        <v>1886</v>
      </c>
      <c r="C1722" s="1">
        <v>42874</v>
      </c>
      <c r="D1722" s="1">
        <v>42879</v>
      </c>
      <c r="E1722" t="s">
        <v>2118</v>
      </c>
      <c r="F1722" t="s">
        <v>647</v>
      </c>
      <c r="G1722" t="s">
        <v>648</v>
      </c>
      <c r="H1722" t="s">
        <v>6</v>
      </c>
      <c r="I1722" t="s">
        <v>2114</v>
      </c>
      <c r="J1722" t="s">
        <v>2110</v>
      </c>
      <c r="K1722">
        <v>47.744</v>
      </c>
      <c r="L1722">
        <f t="shared" si="52"/>
        <v>4774.3999999999996</v>
      </c>
      <c r="M1722">
        <f t="shared" si="53"/>
        <v>954.88</v>
      </c>
    </row>
    <row r="1723" spans="1:13" x14ac:dyDescent="0.3">
      <c r="A1723">
        <v>1722</v>
      </c>
      <c r="B1723" t="s">
        <v>1887</v>
      </c>
      <c r="C1723" s="1">
        <v>42724</v>
      </c>
      <c r="D1723" s="1">
        <v>42729</v>
      </c>
      <c r="E1723" t="s">
        <v>2118</v>
      </c>
      <c r="F1723" t="s">
        <v>142</v>
      </c>
      <c r="G1723" t="s">
        <v>143</v>
      </c>
      <c r="H1723" t="s">
        <v>6</v>
      </c>
      <c r="I1723" t="s">
        <v>2117</v>
      </c>
      <c r="J1723" t="s">
        <v>2111</v>
      </c>
      <c r="K1723">
        <v>159.98400000000001</v>
      </c>
      <c r="L1723">
        <f t="shared" si="52"/>
        <v>15998.400000000001</v>
      </c>
      <c r="M1723">
        <f t="shared" si="53"/>
        <v>3199.6800000000003</v>
      </c>
    </row>
    <row r="1724" spans="1:13" x14ac:dyDescent="0.3">
      <c r="A1724">
        <v>1723</v>
      </c>
      <c r="B1724" t="s">
        <v>1887</v>
      </c>
      <c r="C1724" s="1">
        <v>42724</v>
      </c>
      <c r="D1724" s="1">
        <v>42729</v>
      </c>
      <c r="E1724" t="s">
        <v>2118</v>
      </c>
      <c r="F1724" t="s">
        <v>142</v>
      </c>
      <c r="G1724" t="s">
        <v>143</v>
      </c>
      <c r="H1724" t="s">
        <v>6</v>
      </c>
      <c r="I1724" t="s">
        <v>2117</v>
      </c>
      <c r="J1724" t="s">
        <v>2111</v>
      </c>
      <c r="K1724">
        <v>255.96799999999999</v>
      </c>
      <c r="L1724">
        <f t="shared" si="52"/>
        <v>25596.799999999999</v>
      </c>
      <c r="M1724">
        <f t="shared" si="53"/>
        <v>5119.3600000000006</v>
      </c>
    </row>
    <row r="1725" spans="1:13" x14ac:dyDescent="0.3">
      <c r="A1725">
        <v>1724</v>
      </c>
      <c r="B1725" t="s">
        <v>1887</v>
      </c>
      <c r="C1725" s="1">
        <v>42724</v>
      </c>
      <c r="D1725" s="1">
        <v>42729</v>
      </c>
      <c r="E1725" t="s">
        <v>2118</v>
      </c>
      <c r="F1725" t="s">
        <v>142</v>
      </c>
      <c r="G1725" t="s">
        <v>143</v>
      </c>
      <c r="H1725" t="s">
        <v>6</v>
      </c>
      <c r="I1725" t="s">
        <v>2117</v>
      </c>
      <c r="J1725" t="s">
        <v>2109</v>
      </c>
      <c r="K1725">
        <v>359.05799999999999</v>
      </c>
      <c r="L1725">
        <f t="shared" si="52"/>
        <v>35905.800000000003</v>
      </c>
      <c r="M1725">
        <f t="shared" si="53"/>
        <v>7181.1600000000008</v>
      </c>
    </row>
    <row r="1726" spans="1:13" x14ac:dyDescent="0.3">
      <c r="A1726">
        <v>1725</v>
      </c>
      <c r="B1726" t="s">
        <v>1888</v>
      </c>
      <c r="C1726" s="1">
        <v>42723</v>
      </c>
      <c r="D1726" s="1">
        <v>42724</v>
      </c>
      <c r="E1726" t="s">
        <v>2120</v>
      </c>
      <c r="F1726" t="s">
        <v>874</v>
      </c>
      <c r="G1726" t="s">
        <v>875</v>
      </c>
      <c r="H1726" t="s">
        <v>6</v>
      </c>
      <c r="I1726" t="s">
        <v>2114</v>
      </c>
      <c r="J1726" t="s">
        <v>2110</v>
      </c>
      <c r="K1726">
        <v>434.35199999999998</v>
      </c>
      <c r="L1726">
        <f t="shared" si="52"/>
        <v>43435.199999999997</v>
      </c>
      <c r="M1726">
        <f t="shared" si="53"/>
        <v>8687.0399999999991</v>
      </c>
    </row>
    <row r="1727" spans="1:13" x14ac:dyDescent="0.3">
      <c r="A1727">
        <v>1726</v>
      </c>
      <c r="B1727" t="s">
        <v>1888</v>
      </c>
      <c r="C1727" s="1">
        <v>42723</v>
      </c>
      <c r="D1727" s="1">
        <v>42724</v>
      </c>
      <c r="E1727" t="s">
        <v>2120</v>
      </c>
      <c r="F1727" t="s">
        <v>874</v>
      </c>
      <c r="G1727" t="s">
        <v>875</v>
      </c>
      <c r="H1727" t="s">
        <v>6</v>
      </c>
      <c r="I1727" t="s">
        <v>2114</v>
      </c>
      <c r="J1727" t="s">
        <v>2110</v>
      </c>
      <c r="K1727">
        <v>3.552</v>
      </c>
      <c r="L1727">
        <f t="shared" si="52"/>
        <v>355.2</v>
      </c>
      <c r="M1727">
        <f t="shared" si="53"/>
        <v>71.040000000000006</v>
      </c>
    </row>
    <row r="1728" spans="1:13" x14ac:dyDescent="0.3">
      <c r="A1728">
        <v>1727</v>
      </c>
      <c r="B1728" t="s">
        <v>1888</v>
      </c>
      <c r="C1728" s="1">
        <v>42723</v>
      </c>
      <c r="D1728" s="1">
        <v>42724</v>
      </c>
      <c r="E1728" t="s">
        <v>2120</v>
      </c>
      <c r="F1728" t="s">
        <v>874</v>
      </c>
      <c r="G1728" t="s">
        <v>875</v>
      </c>
      <c r="H1728" t="s">
        <v>6</v>
      </c>
      <c r="I1728" t="s">
        <v>2114</v>
      </c>
      <c r="J1728" t="s">
        <v>2110</v>
      </c>
      <c r="K1728">
        <v>88.831999999999994</v>
      </c>
      <c r="L1728">
        <f t="shared" si="52"/>
        <v>8883.1999999999989</v>
      </c>
      <c r="M1728">
        <f t="shared" si="53"/>
        <v>1776.6399999999999</v>
      </c>
    </row>
    <row r="1729" spans="1:13" x14ac:dyDescent="0.3">
      <c r="A1729">
        <v>1728</v>
      </c>
      <c r="B1729" t="s">
        <v>1889</v>
      </c>
      <c r="C1729" s="1">
        <v>43219</v>
      </c>
      <c r="D1729" s="1">
        <v>43224</v>
      </c>
      <c r="E1729" t="s">
        <v>2119</v>
      </c>
      <c r="F1729" t="s">
        <v>1890</v>
      </c>
      <c r="G1729" t="s">
        <v>1891</v>
      </c>
      <c r="H1729" t="s">
        <v>10</v>
      </c>
      <c r="I1729" t="s">
        <v>2114</v>
      </c>
      <c r="J1729" t="s">
        <v>2109</v>
      </c>
      <c r="K1729">
        <v>1048.3499999999999</v>
      </c>
      <c r="L1729">
        <f t="shared" si="52"/>
        <v>104834.99999999999</v>
      </c>
      <c r="M1729">
        <f t="shared" si="53"/>
        <v>20967</v>
      </c>
    </row>
    <row r="1730" spans="1:13" x14ac:dyDescent="0.3">
      <c r="A1730">
        <v>1729</v>
      </c>
      <c r="B1730" t="s">
        <v>1892</v>
      </c>
      <c r="C1730" s="1">
        <v>42773</v>
      </c>
      <c r="D1730" s="1">
        <v>42773</v>
      </c>
      <c r="E1730" t="s">
        <v>2120</v>
      </c>
      <c r="F1730" t="s">
        <v>781</v>
      </c>
      <c r="G1730" t="s">
        <v>782</v>
      </c>
      <c r="H1730" t="s">
        <v>6</v>
      </c>
      <c r="I1730" t="s">
        <v>2115</v>
      </c>
      <c r="J1730" t="s">
        <v>2111</v>
      </c>
      <c r="K1730">
        <v>100</v>
      </c>
      <c r="L1730">
        <f t="shared" ref="L1730:L1793" si="54">K1730*100</f>
        <v>10000</v>
      </c>
      <c r="M1730">
        <f t="shared" si="53"/>
        <v>2000</v>
      </c>
    </row>
    <row r="1731" spans="1:13" x14ac:dyDescent="0.3">
      <c r="A1731">
        <v>1730</v>
      </c>
      <c r="B1731" t="s">
        <v>1892</v>
      </c>
      <c r="C1731" s="1">
        <v>42773</v>
      </c>
      <c r="D1731" s="1">
        <v>42773</v>
      </c>
      <c r="E1731" t="s">
        <v>2120</v>
      </c>
      <c r="F1731" t="s">
        <v>781</v>
      </c>
      <c r="G1731" t="s">
        <v>782</v>
      </c>
      <c r="H1731" t="s">
        <v>6</v>
      </c>
      <c r="I1731" t="s">
        <v>2115</v>
      </c>
      <c r="J1731" t="s">
        <v>2110</v>
      </c>
      <c r="K1731">
        <v>7.83</v>
      </c>
      <c r="L1731">
        <f t="shared" si="54"/>
        <v>783</v>
      </c>
      <c r="M1731">
        <f t="shared" ref="M1731:M1794" si="55">L1731*0.2</f>
        <v>156.60000000000002</v>
      </c>
    </row>
    <row r="1732" spans="1:13" x14ac:dyDescent="0.3">
      <c r="A1732">
        <v>1731</v>
      </c>
      <c r="B1732" t="s">
        <v>1893</v>
      </c>
      <c r="C1732" s="1">
        <v>42275</v>
      </c>
      <c r="D1732" s="1">
        <v>42280</v>
      </c>
      <c r="E1732" t="s">
        <v>2118</v>
      </c>
      <c r="F1732" t="s">
        <v>1641</v>
      </c>
      <c r="G1732" t="s">
        <v>1642</v>
      </c>
      <c r="H1732" t="s">
        <v>10</v>
      </c>
      <c r="I1732" t="s">
        <v>2115</v>
      </c>
      <c r="J1732" t="s">
        <v>2110</v>
      </c>
      <c r="K1732">
        <v>96.256</v>
      </c>
      <c r="L1732">
        <f t="shared" si="54"/>
        <v>9625.6</v>
      </c>
      <c r="M1732">
        <f t="shared" si="55"/>
        <v>1925.1200000000001</v>
      </c>
    </row>
    <row r="1733" spans="1:13" x14ac:dyDescent="0.3">
      <c r="A1733">
        <v>1732</v>
      </c>
      <c r="B1733" t="s">
        <v>1893</v>
      </c>
      <c r="C1733" s="1">
        <v>42275</v>
      </c>
      <c r="D1733" s="1">
        <v>42280</v>
      </c>
      <c r="E1733" t="s">
        <v>2118</v>
      </c>
      <c r="F1733" t="s">
        <v>1641</v>
      </c>
      <c r="G1733" t="s">
        <v>1642</v>
      </c>
      <c r="H1733" t="s">
        <v>10</v>
      </c>
      <c r="I1733" t="s">
        <v>2115</v>
      </c>
      <c r="J1733" t="s">
        <v>2110</v>
      </c>
      <c r="K1733">
        <v>10.688000000000001</v>
      </c>
      <c r="L1733">
        <f t="shared" si="54"/>
        <v>1068.8</v>
      </c>
      <c r="M1733">
        <f t="shared" si="55"/>
        <v>213.76</v>
      </c>
    </row>
    <row r="1734" spans="1:13" x14ac:dyDescent="0.3">
      <c r="A1734">
        <v>1733</v>
      </c>
      <c r="B1734" t="s">
        <v>1894</v>
      </c>
      <c r="C1734" s="1">
        <v>42926</v>
      </c>
      <c r="D1734" s="1">
        <v>42930</v>
      </c>
      <c r="E1734" t="s">
        <v>2118</v>
      </c>
      <c r="F1734" t="s">
        <v>339</v>
      </c>
      <c r="G1734" t="s">
        <v>340</v>
      </c>
      <c r="H1734" t="s">
        <v>6</v>
      </c>
      <c r="I1734" t="s">
        <v>2117</v>
      </c>
      <c r="J1734" t="s">
        <v>2110</v>
      </c>
      <c r="K1734">
        <v>338.04</v>
      </c>
      <c r="L1734">
        <f t="shared" si="54"/>
        <v>33804</v>
      </c>
      <c r="M1734">
        <f t="shared" si="55"/>
        <v>6760.8</v>
      </c>
    </row>
    <row r="1735" spans="1:13" x14ac:dyDescent="0.3">
      <c r="A1735">
        <v>1734</v>
      </c>
      <c r="B1735" t="s">
        <v>1894</v>
      </c>
      <c r="C1735" s="1">
        <v>42926</v>
      </c>
      <c r="D1735" s="1">
        <v>42930</v>
      </c>
      <c r="E1735" t="s">
        <v>2118</v>
      </c>
      <c r="F1735" t="s">
        <v>339</v>
      </c>
      <c r="G1735" t="s">
        <v>340</v>
      </c>
      <c r="H1735" t="s">
        <v>6</v>
      </c>
      <c r="I1735" t="s">
        <v>2117</v>
      </c>
      <c r="J1735" t="s">
        <v>2110</v>
      </c>
      <c r="K1735">
        <v>154.24</v>
      </c>
      <c r="L1735">
        <f t="shared" si="54"/>
        <v>15424</v>
      </c>
      <c r="M1735">
        <f t="shared" si="55"/>
        <v>3084.8</v>
      </c>
    </row>
    <row r="1736" spans="1:13" x14ac:dyDescent="0.3">
      <c r="A1736">
        <v>1735</v>
      </c>
      <c r="B1736" t="s">
        <v>1895</v>
      </c>
      <c r="C1736" s="1">
        <v>43310</v>
      </c>
      <c r="D1736" s="1">
        <v>43313</v>
      </c>
      <c r="E1736" t="s">
        <v>2119</v>
      </c>
      <c r="F1736" t="s">
        <v>519</v>
      </c>
      <c r="G1736" t="s">
        <v>520</v>
      </c>
      <c r="H1736" t="s">
        <v>6</v>
      </c>
      <c r="I1736" t="s">
        <v>2115</v>
      </c>
      <c r="J1736" t="s">
        <v>2110</v>
      </c>
      <c r="K1736">
        <v>34.847999999999999</v>
      </c>
      <c r="L1736">
        <f t="shared" si="54"/>
        <v>3484.7999999999997</v>
      </c>
      <c r="M1736">
        <f t="shared" si="55"/>
        <v>696.96</v>
      </c>
    </row>
    <row r="1737" spans="1:13" x14ac:dyDescent="0.3">
      <c r="A1737">
        <v>1736</v>
      </c>
      <c r="B1737" t="s">
        <v>1895</v>
      </c>
      <c r="C1737" s="1">
        <v>43310</v>
      </c>
      <c r="D1737" s="1">
        <v>43313</v>
      </c>
      <c r="E1737" t="s">
        <v>2119</v>
      </c>
      <c r="F1737" t="s">
        <v>519</v>
      </c>
      <c r="G1737" t="s">
        <v>520</v>
      </c>
      <c r="H1737" t="s">
        <v>6</v>
      </c>
      <c r="I1737" t="s">
        <v>2115</v>
      </c>
      <c r="J1737" t="s">
        <v>2111</v>
      </c>
      <c r="K1737">
        <v>22</v>
      </c>
      <c r="L1737">
        <f t="shared" si="54"/>
        <v>2200</v>
      </c>
      <c r="M1737">
        <f t="shared" si="55"/>
        <v>440</v>
      </c>
    </row>
    <row r="1738" spans="1:13" x14ac:dyDescent="0.3">
      <c r="A1738">
        <v>1737</v>
      </c>
      <c r="B1738" t="s">
        <v>1895</v>
      </c>
      <c r="C1738" s="1">
        <v>43310</v>
      </c>
      <c r="D1738" s="1">
        <v>43313</v>
      </c>
      <c r="E1738" t="s">
        <v>2119</v>
      </c>
      <c r="F1738" t="s">
        <v>519</v>
      </c>
      <c r="G1738" t="s">
        <v>520</v>
      </c>
      <c r="H1738" t="s">
        <v>6</v>
      </c>
      <c r="I1738" t="s">
        <v>2115</v>
      </c>
      <c r="J1738" t="s">
        <v>2110</v>
      </c>
      <c r="K1738">
        <v>4.3680000000000003</v>
      </c>
      <c r="L1738">
        <f t="shared" si="54"/>
        <v>436.8</v>
      </c>
      <c r="M1738">
        <f t="shared" si="55"/>
        <v>87.360000000000014</v>
      </c>
    </row>
    <row r="1739" spans="1:13" x14ac:dyDescent="0.3">
      <c r="A1739">
        <v>1738</v>
      </c>
      <c r="B1739" t="s">
        <v>1896</v>
      </c>
      <c r="C1739" s="1">
        <v>42616</v>
      </c>
      <c r="D1739" s="1">
        <v>42622</v>
      </c>
      <c r="E1739" t="s">
        <v>2118</v>
      </c>
      <c r="F1739" t="s">
        <v>330</v>
      </c>
      <c r="G1739" t="s">
        <v>331</v>
      </c>
      <c r="H1739" t="s">
        <v>10</v>
      </c>
      <c r="I1739" t="s">
        <v>2112</v>
      </c>
      <c r="J1739" t="s">
        <v>2110</v>
      </c>
      <c r="K1739">
        <v>31.44</v>
      </c>
      <c r="L1739">
        <f t="shared" si="54"/>
        <v>3144</v>
      </c>
      <c r="M1739">
        <f t="shared" si="55"/>
        <v>628.80000000000007</v>
      </c>
    </row>
    <row r="1740" spans="1:13" x14ac:dyDescent="0.3">
      <c r="A1740">
        <v>1739</v>
      </c>
      <c r="B1740" t="s">
        <v>1896</v>
      </c>
      <c r="C1740" s="1">
        <v>42616</v>
      </c>
      <c r="D1740" s="1">
        <v>42622</v>
      </c>
      <c r="E1740" t="s">
        <v>2118</v>
      </c>
      <c r="F1740" t="s">
        <v>330</v>
      </c>
      <c r="G1740" t="s">
        <v>331</v>
      </c>
      <c r="H1740" t="s">
        <v>10</v>
      </c>
      <c r="I1740" t="s">
        <v>2112</v>
      </c>
      <c r="J1740" t="s">
        <v>2111</v>
      </c>
      <c r="K1740">
        <v>17.899999999999999</v>
      </c>
      <c r="L1740">
        <f t="shared" si="54"/>
        <v>1789.9999999999998</v>
      </c>
      <c r="M1740">
        <f t="shared" si="55"/>
        <v>358</v>
      </c>
    </row>
    <row r="1741" spans="1:13" x14ac:dyDescent="0.3">
      <c r="A1741">
        <v>1740</v>
      </c>
      <c r="B1741" t="s">
        <v>1896</v>
      </c>
      <c r="C1741" s="1">
        <v>42616</v>
      </c>
      <c r="D1741" s="1">
        <v>42622</v>
      </c>
      <c r="E1741" t="s">
        <v>2118</v>
      </c>
      <c r="F1741" t="s">
        <v>330</v>
      </c>
      <c r="G1741" t="s">
        <v>331</v>
      </c>
      <c r="H1741" t="s">
        <v>10</v>
      </c>
      <c r="I1741" t="s">
        <v>2112</v>
      </c>
      <c r="J1741" t="s">
        <v>2111</v>
      </c>
      <c r="K1741">
        <v>129.44999999999999</v>
      </c>
      <c r="L1741">
        <f t="shared" si="54"/>
        <v>12944.999999999998</v>
      </c>
      <c r="M1741">
        <f t="shared" si="55"/>
        <v>2589</v>
      </c>
    </row>
    <row r="1742" spans="1:13" x14ac:dyDescent="0.3">
      <c r="A1742">
        <v>1741</v>
      </c>
      <c r="B1742" t="s">
        <v>1897</v>
      </c>
      <c r="C1742" s="1">
        <v>42225</v>
      </c>
      <c r="D1742" s="1">
        <v>42232</v>
      </c>
      <c r="E1742" t="s">
        <v>2118</v>
      </c>
      <c r="F1742" t="s">
        <v>1898</v>
      </c>
      <c r="G1742" t="s">
        <v>1899</v>
      </c>
      <c r="H1742" t="s">
        <v>26</v>
      </c>
      <c r="I1742" t="s">
        <v>2112</v>
      </c>
      <c r="J1742" t="s">
        <v>2110</v>
      </c>
      <c r="K1742">
        <v>20.88</v>
      </c>
      <c r="L1742">
        <f t="shared" si="54"/>
        <v>2088</v>
      </c>
      <c r="M1742">
        <f t="shared" si="55"/>
        <v>417.6</v>
      </c>
    </row>
    <row r="1743" spans="1:13" x14ac:dyDescent="0.3">
      <c r="A1743">
        <v>1742</v>
      </c>
      <c r="B1743" t="s">
        <v>1900</v>
      </c>
      <c r="C1743" s="1">
        <v>43403</v>
      </c>
      <c r="D1743" s="1">
        <v>43407</v>
      </c>
      <c r="E1743" t="s">
        <v>2118</v>
      </c>
      <c r="F1743" t="s">
        <v>1766</v>
      </c>
      <c r="G1743" t="s">
        <v>1767</v>
      </c>
      <c r="H1743" t="s">
        <v>6</v>
      </c>
      <c r="I1743" t="s">
        <v>2114</v>
      </c>
      <c r="J1743" t="s">
        <v>2110</v>
      </c>
      <c r="K1743">
        <v>20.736000000000001</v>
      </c>
      <c r="L1743">
        <f t="shared" si="54"/>
        <v>2073.6</v>
      </c>
      <c r="M1743">
        <f t="shared" si="55"/>
        <v>414.72</v>
      </c>
    </row>
    <row r="1744" spans="1:13" x14ac:dyDescent="0.3">
      <c r="A1744">
        <v>1743</v>
      </c>
      <c r="B1744" t="s">
        <v>1900</v>
      </c>
      <c r="C1744" s="1">
        <v>43403</v>
      </c>
      <c r="D1744" s="1">
        <v>43407</v>
      </c>
      <c r="E1744" t="s">
        <v>2118</v>
      </c>
      <c r="F1744" t="s">
        <v>1766</v>
      </c>
      <c r="G1744" t="s">
        <v>1767</v>
      </c>
      <c r="H1744" t="s">
        <v>6</v>
      </c>
      <c r="I1744" t="s">
        <v>2114</v>
      </c>
      <c r="J1744" t="s">
        <v>2109</v>
      </c>
      <c r="K1744">
        <v>7.1680000000000001</v>
      </c>
      <c r="L1744">
        <f t="shared" si="54"/>
        <v>716.80000000000007</v>
      </c>
      <c r="M1744">
        <f t="shared" si="55"/>
        <v>143.36000000000001</v>
      </c>
    </row>
    <row r="1745" spans="1:13" x14ac:dyDescent="0.3">
      <c r="A1745">
        <v>1744</v>
      </c>
      <c r="B1745" t="s">
        <v>1900</v>
      </c>
      <c r="C1745" s="1">
        <v>43403</v>
      </c>
      <c r="D1745" s="1">
        <v>43407</v>
      </c>
      <c r="E1745" t="s">
        <v>2118</v>
      </c>
      <c r="F1745" t="s">
        <v>1766</v>
      </c>
      <c r="G1745" t="s">
        <v>1767</v>
      </c>
      <c r="H1745" t="s">
        <v>6</v>
      </c>
      <c r="I1745" t="s">
        <v>2114</v>
      </c>
      <c r="J1745" t="s">
        <v>2110</v>
      </c>
      <c r="K1745">
        <v>11.167999999999999</v>
      </c>
      <c r="L1745">
        <f t="shared" si="54"/>
        <v>1116.8</v>
      </c>
      <c r="M1745">
        <f t="shared" si="55"/>
        <v>223.36</v>
      </c>
    </row>
    <row r="1746" spans="1:13" x14ac:dyDescent="0.3">
      <c r="A1746">
        <v>1745</v>
      </c>
      <c r="B1746" t="s">
        <v>1900</v>
      </c>
      <c r="C1746" s="1">
        <v>43403</v>
      </c>
      <c r="D1746" s="1">
        <v>43407</v>
      </c>
      <c r="E1746" t="s">
        <v>2118</v>
      </c>
      <c r="F1746" t="s">
        <v>1766</v>
      </c>
      <c r="G1746" t="s">
        <v>1767</v>
      </c>
      <c r="H1746" t="s">
        <v>6</v>
      </c>
      <c r="I1746" t="s">
        <v>2114</v>
      </c>
      <c r="J1746" t="s">
        <v>2111</v>
      </c>
      <c r="K1746">
        <v>442.4</v>
      </c>
      <c r="L1746">
        <f t="shared" si="54"/>
        <v>44240</v>
      </c>
      <c r="M1746">
        <f t="shared" si="55"/>
        <v>8848</v>
      </c>
    </row>
    <row r="1747" spans="1:13" x14ac:dyDescent="0.3">
      <c r="A1747">
        <v>1746</v>
      </c>
      <c r="B1747" t="s">
        <v>1901</v>
      </c>
      <c r="C1747" s="1">
        <v>42161</v>
      </c>
      <c r="D1747" s="1">
        <v>42164</v>
      </c>
      <c r="E1747" t="s">
        <v>2120</v>
      </c>
      <c r="F1747" t="s">
        <v>966</v>
      </c>
      <c r="G1747" t="s">
        <v>967</v>
      </c>
      <c r="H1747" t="s">
        <v>6</v>
      </c>
      <c r="I1747" t="s">
        <v>2114</v>
      </c>
      <c r="J1747" t="s">
        <v>2110</v>
      </c>
      <c r="K1747">
        <v>13.36</v>
      </c>
      <c r="L1747">
        <f t="shared" si="54"/>
        <v>1336</v>
      </c>
      <c r="M1747">
        <f t="shared" si="55"/>
        <v>267.2</v>
      </c>
    </row>
    <row r="1748" spans="1:13" x14ac:dyDescent="0.3">
      <c r="A1748">
        <v>1747</v>
      </c>
      <c r="B1748" t="s">
        <v>1902</v>
      </c>
      <c r="C1748" s="1">
        <v>42960</v>
      </c>
      <c r="D1748" s="1">
        <v>42964</v>
      </c>
      <c r="E1748" t="s">
        <v>2119</v>
      </c>
      <c r="F1748" t="s">
        <v>611</v>
      </c>
      <c r="G1748" t="s">
        <v>612</v>
      </c>
      <c r="H1748" t="s">
        <v>6</v>
      </c>
      <c r="I1748" t="s">
        <v>2115</v>
      </c>
      <c r="J1748" t="s">
        <v>2110</v>
      </c>
      <c r="K1748">
        <v>11.231999999999999</v>
      </c>
      <c r="L1748">
        <f t="shared" si="54"/>
        <v>1123.1999999999998</v>
      </c>
      <c r="M1748">
        <f t="shared" si="55"/>
        <v>224.64</v>
      </c>
    </row>
    <row r="1749" spans="1:13" x14ac:dyDescent="0.3">
      <c r="A1749">
        <v>1748</v>
      </c>
      <c r="B1749" t="s">
        <v>1902</v>
      </c>
      <c r="C1749" s="1">
        <v>42960</v>
      </c>
      <c r="D1749" s="1">
        <v>42964</v>
      </c>
      <c r="E1749" t="s">
        <v>2119</v>
      </c>
      <c r="F1749" t="s">
        <v>611</v>
      </c>
      <c r="G1749" t="s">
        <v>612</v>
      </c>
      <c r="H1749" t="s">
        <v>6</v>
      </c>
      <c r="I1749" t="s">
        <v>2115</v>
      </c>
      <c r="J1749" t="s">
        <v>2110</v>
      </c>
      <c r="K1749">
        <v>10.272</v>
      </c>
      <c r="L1749">
        <f t="shared" si="54"/>
        <v>1027.2</v>
      </c>
      <c r="M1749">
        <f t="shared" si="55"/>
        <v>205.44000000000003</v>
      </c>
    </row>
    <row r="1750" spans="1:13" x14ac:dyDescent="0.3">
      <c r="A1750">
        <v>1749</v>
      </c>
      <c r="B1750" t="s">
        <v>1903</v>
      </c>
      <c r="C1750" s="1">
        <v>42119</v>
      </c>
      <c r="D1750" s="1">
        <v>42123</v>
      </c>
      <c r="E1750" t="s">
        <v>2118</v>
      </c>
      <c r="F1750" t="s">
        <v>1904</v>
      </c>
      <c r="G1750" t="s">
        <v>1905</v>
      </c>
      <c r="H1750" t="s">
        <v>26</v>
      </c>
      <c r="I1750" t="s">
        <v>2117</v>
      </c>
      <c r="J1750" t="s">
        <v>2110</v>
      </c>
      <c r="K1750">
        <v>10.368</v>
      </c>
      <c r="L1750">
        <f t="shared" si="54"/>
        <v>1036.8</v>
      </c>
      <c r="M1750">
        <f t="shared" si="55"/>
        <v>207.36</v>
      </c>
    </row>
    <row r="1751" spans="1:13" x14ac:dyDescent="0.3">
      <c r="A1751">
        <v>1750</v>
      </c>
      <c r="B1751" t="s">
        <v>1903</v>
      </c>
      <c r="C1751" s="1">
        <v>42119</v>
      </c>
      <c r="D1751" s="1">
        <v>42123</v>
      </c>
      <c r="E1751" t="s">
        <v>2118</v>
      </c>
      <c r="F1751" t="s">
        <v>1904</v>
      </c>
      <c r="G1751" t="s">
        <v>1905</v>
      </c>
      <c r="H1751" t="s">
        <v>26</v>
      </c>
      <c r="I1751" t="s">
        <v>2117</v>
      </c>
      <c r="J1751" t="s">
        <v>2110</v>
      </c>
      <c r="K1751">
        <v>6.24</v>
      </c>
      <c r="L1751">
        <f t="shared" si="54"/>
        <v>624</v>
      </c>
      <c r="M1751">
        <f t="shared" si="55"/>
        <v>124.80000000000001</v>
      </c>
    </row>
    <row r="1752" spans="1:13" x14ac:dyDescent="0.3">
      <c r="A1752">
        <v>1751</v>
      </c>
      <c r="B1752" t="s">
        <v>1906</v>
      </c>
      <c r="C1752" s="1">
        <v>42696</v>
      </c>
      <c r="D1752" s="1">
        <v>42701</v>
      </c>
      <c r="E1752" t="s">
        <v>2118</v>
      </c>
      <c r="F1752" t="s">
        <v>787</v>
      </c>
      <c r="G1752" t="s">
        <v>788</v>
      </c>
      <c r="H1752" t="s">
        <v>26</v>
      </c>
      <c r="I1752" t="s">
        <v>2117</v>
      </c>
      <c r="J1752" t="s">
        <v>2109</v>
      </c>
      <c r="K1752">
        <v>206.96199999999999</v>
      </c>
      <c r="L1752">
        <f t="shared" si="54"/>
        <v>20696.199999999997</v>
      </c>
      <c r="M1752">
        <f t="shared" si="55"/>
        <v>4139.24</v>
      </c>
    </row>
    <row r="1753" spans="1:13" x14ac:dyDescent="0.3">
      <c r="A1753">
        <v>1752</v>
      </c>
      <c r="B1753" t="s">
        <v>1907</v>
      </c>
      <c r="C1753" s="1">
        <v>43387</v>
      </c>
      <c r="D1753" s="1">
        <v>43390</v>
      </c>
      <c r="E1753" t="s">
        <v>2120</v>
      </c>
      <c r="F1753" t="s">
        <v>1908</v>
      </c>
      <c r="G1753" t="s">
        <v>1909</v>
      </c>
      <c r="H1753" t="s">
        <v>6</v>
      </c>
      <c r="I1753" t="s">
        <v>2112</v>
      </c>
      <c r="J1753" t="s">
        <v>2109</v>
      </c>
      <c r="K1753">
        <v>9.4600000000000009</v>
      </c>
      <c r="L1753">
        <f t="shared" si="54"/>
        <v>946.00000000000011</v>
      </c>
      <c r="M1753">
        <f t="shared" si="55"/>
        <v>189.20000000000005</v>
      </c>
    </row>
    <row r="1754" spans="1:13" x14ac:dyDescent="0.3">
      <c r="A1754">
        <v>1753</v>
      </c>
      <c r="B1754" t="s">
        <v>1910</v>
      </c>
      <c r="C1754" s="1">
        <v>43436</v>
      </c>
      <c r="D1754" s="1">
        <v>43439</v>
      </c>
      <c r="E1754" t="s">
        <v>2120</v>
      </c>
      <c r="F1754" t="s">
        <v>311</v>
      </c>
      <c r="G1754" t="s">
        <v>312</v>
      </c>
      <c r="H1754" t="s">
        <v>10</v>
      </c>
      <c r="I1754" t="s">
        <v>2112</v>
      </c>
      <c r="J1754" t="s">
        <v>2110</v>
      </c>
      <c r="K1754">
        <v>559.62</v>
      </c>
      <c r="L1754">
        <f t="shared" si="54"/>
        <v>55962</v>
      </c>
      <c r="M1754">
        <f t="shared" si="55"/>
        <v>11192.400000000001</v>
      </c>
    </row>
    <row r="1755" spans="1:13" x14ac:dyDescent="0.3">
      <c r="A1755">
        <v>1754</v>
      </c>
      <c r="B1755" t="s">
        <v>1910</v>
      </c>
      <c r="C1755" s="1">
        <v>43436</v>
      </c>
      <c r="D1755" s="1">
        <v>43439</v>
      </c>
      <c r="E1755" t="s">
        <v>2120</v>
      </c>
      <c r="F1755" t="s">
        <v>311</v>
      </c>
      <c r="G1755" t="s">
        <v>312</v>
      </c>
      <c r="H1755" t="s">
        <v>10</v>
      </c>
      <c r="I1755" t="s">
        <v>2112</v>
      </c>
      <c r="J1755" t="s">
        <v>2110</v>
      </c>
      <c r="K1755">
        <v>109.92</v>
      </c>
      <c r="L1755">
        <f t="shared" si="54"/>
        <v>10992</v>
      </c>
      <c r="M1755">
        <f t="shared" si="55"/>
        <v>2198.4</v>
      </c>
    </row>
    <row r="1756" spans="1:13" x14ac:dyDescent="0.3">
      <c r="A1756">
        <v>1755</v>
      </c>
      <c r="B1756" t="s">
        <v>1910</v>
      </c>
      <c r="C1756" s="1">
        <v>43436</v>
      </c>
      <c r="D1756" s="1">
        <v>43439</v>
      </c>
      <c r="E1756" t="s">
        <v>2120</v>
      </c>
      <c r="F1756" t="s">
        <v>311</v>
      </c>
      <c r="G1756" t="s">
        <v>312</v>
      </c>
      <c r="H1756" t="s">
        <v>10</v>
      </c>
      <c r="I1756" t="s">
        <v>2112</v>
      </c>
      <c r="J1756" t="s">
        <v>2110</v>
      </c>
      <c r="K1756">
        <v>8.56</v>
      </c>
      <c r="L1756">
        <f t="shared" si="54"/>
        <v>856</v>
      </c>
      <c r="M1756">
        <f t="shared" si="55"/>
        <v>171.20000000000002</v>
      </c>
    </row>
    <row r="1757" spans="1:13" x14ac:dyDescent="0.3">
      <c r="A1757">
        <v>1756</v>
      </c>
      <c r="B1757" t="s">
        <v>1911</v>
      </c>
      <c r="C1757" s="1">
        <v>42712</v>
      </c>
      <c r="D1757" s="1">
        <v>42715</v>
      </c>
      <c r="E1757" t="s">
        <v>2119</v>
      </c>
      <c r="F1757" t="s">
        <v>1769</v>
      </c>
      <c r="G1757" t="s">
        <v>1770</v>
      </c>
      <c r="H1757" t="s">
        <v>26</v>
      </c>
      <c r="I1757" t="s">
        <v>2117</v>
      </c>
      <c r="J1757" t="s">
        <v>2110</v>
      </c>
      <c r="K1757">
        <v>360.71199999999999</v>
      </c>
      <c r="L1757">
        <f t="shared" si="54"/>
        <v>36071.199999999997</v>
      </c>
      <c r="M1757">
        <f t="shared" si="55"/>
        <v>7214.24</v>
      </c>
    </row>
    <row r="1758" spans="1:13" x14ac:dyDescent="0.3">
      <c r="A1758">
        <v>1757</v>
      </c>
      <c r="B1758" t="s">
        <v>1911</v>
      </c>
      <c r="C1758" s="1">
        <v>42712</v>
      </c>
      <c r="D1758" s="1">
        <v>42715</v>
      </c>
      <c r="E1758" t="s">
        <v>2119</v>
      </c>
      <c r="F1758" t="s">
        <v>1769</v>
      </c>
      <c r="G1758" t="s">
        <v>1770</v>
      </c>
      <c r="H1758" t="s">
        <v>26</v>
      </c>
      <c r="I1758" t="s">
        <v>2117</v>
      </c>
      <c r="J1758" t="s">
        <v>2111</v>
      </c>
      <c r="K1758">
        <v>1718.4</v>
      </c>
      <c r="L1758">
        <f t="shared" si="54"/>
        <v>171840</v>
      </c>
      <c r="M1758">
        <f t="shared" si="55"/>
        <v>34368</v>
      </c>
    </row>
    <row r="1759" spans="1:13" x14ac:dyDescent="0.3">
      <c r="A1759">
        <v>1758</v>
      </c>
      <c r="B1759" t="s">
        <v>1912</v>
      </c>
      <c r="C1759" s="1">
        <v>42564</v>
      </c>
      <c r="D1759" s="1">
        <v>42566</v>
      </c>
      <c r="E1759" t="s">
        <v>2120</v>
      </c>
      <c r="F1759" t="s">
        <v>1198</v>
      </c>
      <c r="G1759" t="s">
        <v>1199</v>
      </c>
      <c r="H1759" t="s">
        <v>26</v>
      </c>
      <c r="I1759" t="s">
        <v>2117</v>
      </c>
      <c r="J1759" t="s">
        <v>2110</v>
      </c>
      <c r="K1759">
        <v>41.567999999999998</v>
      </c>
      <c r="L1759">
        <f t="shared" si="54"/>
        <v>4156.8</v>
      </c>
      <c r="M1759">
        <f t="shared" si="55"/>
        <v>831.36000000000013</v>
      </c>
    </row>
    <row r="1760" spans="1:13" x14ac:dyDescent="0.3">
      <c r="A1760">
        <v>1759</v>
      </c>
      <c r="B1760" t="s">
        <v>1913</v>
      </c>
      <c r="C1760" s="1">
        <v>42135</v>
      </c>
      <c r="D1760" s="1">
        <v>42141</v>
      </c>
      <c r="E1760" t="s">
        <v>2118</v>
      </c>
      <c r="F1760" t="s">
        <v>1914</v>
      </c>
      <c r="G1760" t="s">
        <v>1915</v>
      </c>
      <c r="H1760" t="s">
        <v>6</v>
      </c>
      <c r="I1760" t="s">
        <v>2117</v>
      </c>
      <c r="J1760" t="s">
        <v>2111</v>
      </c>
      <c r="K1760">
        <v>46.863999999999997</v>
      </c>
      <c r="L1760">
        <f t="shared" si="54"/>
        <v>4686.3999999999996</v>
      </c>
      <c r="M1760">
        <f t="shared" si="55"/>
        <v>937.28</v>
      </c>
    </row>
    <row r="1761" spans="1:13" x14ac:dyDescent="0.3">
      <c r="A1761">
        <v>1760</v>
      </c>
      <c r="B1761" t="s">
        <v>1916</v>
      </c>
      <c r="C1761" s="1">
        <v>42009</v>
      </c>
      <c r="D1761" s="1">
        <v>42016</v>
      </c>
      <c r="E1761" t="s">
        <v>2118</v>
      </c>
      <c r="F1761" t="s">
        <v>1637</v>
      </c>
      <c r="G1761" t="s">
        <v>1638</v>
      </c>
      <c r="H1761" t="s">
        <v>6</v>
      </c>
      <c r="I1761" t="s">
        <v>2114</v>
      </c>
      <c r="J1761" t="s">
        <v>2110</v>
      </c>
      <c r="K1761">
        <v>19.536000000000001</v>
      </c>
      <c r="L1761">
        <f t="shared" si="54"/>
        <v>1953.6000000000001</v>
      </c>
      <c r="M1761">
        <f t="shared" si="55"/>
        <v>390.72</v>
      </c>
    </row>
    <row r="1762" spans="1:13" x14ac:dyDescent="0.3">
      <c r="A1762">
        <v>1761</v>
      </c>
      <c r="B1762" t="s">
        <v>1917</v>
      </c>
      <c r="C1762" s="1">
        <v>42618</v>
      </c>
      <c r="D1762" s="1">
        <v>42622</v>
      </c>
      <c r="E1762" t="s">
        <v>2118</v>
      </c>
      <c r="F1762" t="s">
        <v>476</v>
      </c>
      <c r="G1762" t="s">
        <v>477</v>
      </c>
      <c r="H1762" t="s">
        <v>6</v>
      </c>
      <c r="I1762" t="s">
        <v>2112</v>
      </c>
      <c r="J1762" t="s">
        <v>2109</v>
      </c>
      <c r="K1762">
        <v>411.33199999999999</v>
      </c>
      <c r="L1762">
        <f t="shared" si="54"/>
        <v>41133.199999999997</v>
      </c>
      <c r="M1762">
        <f t="shared" si="55"/>
        <v>8226.64</v>
      </c>
    </row>
    <row r="1763" spans="1:13" x14ac:dyDescent="0.3">
      <c r="A1763">
        <v>1762</v>
      </c>
      <c r="B1763" t="s">
        <v>1917</v>
      </c>
      <c r="C1763" s="1">
        <v>42618</v>
      </c>
      <c r="D1763" s="1">
        <v>42622</v>
      </c>
      <c r="E1763" t="s">
        <v>2118</v>
      </c>
      <c r="F1763" t="s">
        <v>476</v>
      </c>
      <c r="G1763" t="s">
        <v>477</v>
      </c>
      <c r="H1763" t="s">
        <v>6</v>
      </c>
      <c r="I1763" t="s">
        <v>2112</v>
      </c>
      <c r="J1763" t="s">
        <v>2110</v>
      </c>
      <c r="K1763">
        <v>28.751999999999999</v>
      </c>
      <c r="L1763">
        <f t="shared" si="54"/>
        <v>2875.2</v>
      </c>
      <c r="M1763">
        <f t="shared" si="55"/>
        <v>575.04</v>
      </c>
    </row>
    <row r="1764" spans="1:13" x14ac:dyDescent="0.3">
      <c r="A1764">
        <v>1763</v>
      </c>
      <c r="B1764" t="s">
        <v>1917</v>
      </c>
      <c r="C1764" s="1">
        <v>42618</v>
      </c>
      <c r="D1764" s="1">
        <v>42622</v>
      </c>
      <c r="E1764" t="s">
        <v>2118</v>
      </c>
      <c r="F1764" t="s">
        <v>476</v>
      </c>
      <c r="G1764" t="s">
        <v>477</v>
      </c>
      <c r="H1764" t="s">
        <v>6</v>
      </c>
      <c r="I1764" t="s">
        <v>2112</v>
      </c>
      <c r="J1764" t="s">
        <v>2109</v>
      </c>
      <c r="K1764">
        <v>293.19900000000001</v>
      </c>
      <c r="L1764">
        <f t="shared" si="54"/>
        <v>29319.9</v>
      </c>
      <c r="M1764">
        <f t="shared" si="55"/>
        <v>5863.9800000000005</v>
      </c>
    </row>
    <row r="1765" spans="1:13" x14ac:dyDescent="0.3">
      <c r="A1765">
        <v>1764</v>
      </c>
      <c r="B1765" t="s">
        <v>1918</v>
      </c>
      <c r="C1765" s="1">
        <v>42951</v>
      </c>
      <c r="D1765" s="1">
        <v>42955</v>
      </c>
      <c r="E1765" t="s">
        <v>2118</v>
      </c>
      <c r="F1765" t="s">
        <v>1919</v>
      </c>
      <c r="G1765" t="s">
        <v>1920</v>
      </c>
      <c r="H1765" t="s">
        <v>26</v>
      </c>
      <c r="I1765" t="s">
        <v>2115</v>
      </c>
      <c r="J1765" t="s">
        <v>2110</v>
      </c>
      <c r="K1765">
        <v>35.06</v>
      </c>
      <c r="L1765">
        <f t="shared" si="54"/>
        <v>3506</v>
      </c>
      <c r="M1765">
        <f t="shared" si="55"/>
        <v>701.2</v>
      </c>
    </row>
    <row r="1766" spans="1:13" x14ac:dyDescent="0.3">
      <c r="A1766">
        <v>1765</v>
      </c>
      <c r="B1766" t="s">
        <v>1918</v>
      </c>
      <c r="C1766" s="1">
        <v>42951</v>
      </c>
      <c r="D1766" s="1">
        <v>42955</v>
      </c>
      <c r="E1766" t="s">
        <v>2118</v>
      </c>
      <c r="F1766" t="s">
        <v>1919</v>
      </c>
      <c r="G1766" t="s">
        <v>1920</v>
      </c>
      <c r="H1766" t="s">
        <v>26</v>
      </c>
      <c r="I1766" t="s">
        <v>2115</v>
      </c>
      <c r="J1766" t="s">
        <v>2110</v>
      </c>
      <c r="K1766">
        <v>4.13</v>
      </c>
      <c r="L1766">
        <f t="shared" si="54"/>
        <v>413</v>
      </c>
      <c r="M1766">
        <f t="shared" si="55"/>
        <v>82.600000000000009</v>
      </c>
    </row>
    <row r="1767" spans="1:13" x14ac:dyDescent="0.3">
      <c r="A1767">
        <v>1766</v>
      </c>
      <c r="B1767" t="s">
        <v>1918</v>
      </c>
      <c r="C1767" s="1">
        <v>42951</v>
      </c>
      <c r="D1767" s="1">
        <v>42955</v>
      </c>
      <c r="E1767" t="s">
        <v>2118</v>
      </c>
      <c r="F1767" t="s">
        <v>1919</v>
      </c>
      <c r="G1767" t="s">
        <v>1920</v>
      </c>
      <c r="H1767" t="s">
        <v>26</v>
      </c>
      <c r="I1767" t="s">
        <v>2115</v>
      </c>
      <c r="J1767" t="s">
        <v>2109</v>
      </c>
      <c r="K1767">
        <v>109.8</v>
      </c>
      <c r="L1767">
        <f t="shared" si="54"/>
        <v>10980</v>
      </c>
      <c r="M1767">
        <f t="shared" si="55"/>
        <v>2196</v>
      </c>
    </row>
    <row r="1768" spans="1:13" x14ac:dyDescent="0.3">
      <c r="A1768">
        <v>1767</v>
      </c>
      <c r="B1768" t="s">
        <v>1918</v>
      </c>
      <c r="C1768" s="1">
        <v>42951</v>
      </c>
      <c r="D1768" s="1">
        <v>42955</v>
      </c>
      <c r="E1768" t="s">
        <v>2118</v>
      </c>
      <c r="F1768" t="s">
        <v>1919</v>
      </c>
      <c r="G1768" t="s">
        <v>1920</v>
      </c>
      <c r="H1768" t="s">
        <v>26</v>
      </c>
      <c r="I1768" t="s">
        <v>2115</v>
      </c>
      <c r="J1768" t="s">
        <v>2110</v>
      </c>
      <c r="K1768">
        <v>9.82</v>
      </c>
      <c r="L1768">
        <f t="shared" si="54"/>
        <v>982</v>
      </c>
      <c r="M1768">
        <f t="shared" si="55"/>
        <v>196.4</v>
      </c>
    </row>
    <row r="1769" spans="1:13" x14ac:dyDescent="0.3">
      <c r="A1769">
        <v>1768</v>
      </c>
      <c r="B1769" t="s">
        <v>1921</v>
      </c>
      <c r="C1769" s="1">
        <v>42085</v>
      </c>
      <c r="D1769" s="1">
        <v>42089</v>
      </c>
      <c r="E1769" t="s">
        <v>2118</v>
      </c>
      <c r="F1769" t="s">
        <v>1922</v>
      </c>
      <c r="G1769" t="s">
        <v>1923</v>
      </c>
      <c r="H1769" t="s">
        <v>6</v>
      </c>
      <c r="I1769" t="s">
        <v>2115</v>
      </c>
      <c r="J1769" t="s">
        <v>2110</v>
      </c>
      <c r="K1769">
        <v>7.6440000000000001</v>
      </c>
      <c r="L1769">
        <f t="shared" si="54"/>
        <v>764.4</v>
      </c>
      <c r="M1769">
        <f t="shared" si="55"/>
        <v>152.88</v>
      </c>
    </row>
    <row r="1770" spans="1:13" x14ac:dyDescent="0.3">
      <c r="A1770">
        <v>1769</v>
      </c>
      <c r="B1770" t="s">
        <v>1921</v>
      </c>
      <c r="C1770" s="1">
        <v>42085</v>
      </c>
      <c r="D1770" s="1">
        <v>42089</v>
      </c>
      <c r="E1770" t="s">
        <v>2118</v>
      </c>
      <c r="F1770" t="s">
        <v>1922</v>
      </c>
      <c r="G1770" t="s">
        <v>1923</v>
      </c>
      <c r="H1770" t="s">
        <v>6</v>
      </c>
      <c r="I1770" t="s">
        <v>2115</v>
      </c>
      <c r="J1770" t="s">
        <v>2110</v>
      </c>
      <c r="K1770">
        <v>51.465000000000003</v>
      </c>
      <c r="L1770">
        <f t="shared" si="54"/>
        <v>5146.5</v>
      </c>
      <c r="M1770">
        <f t="shared" si="55"/>
        <v>1029.3</v>
      </c>
    </row>
    <row r="1771" spans="1:13" x14ac:dyDescent="0.3">
      <c r="A1771">
        <v>1770</v>
      </c>
      <c r="B1771" t="s">
        <v>1924</v>
      </c>
      <c r="C1771" s="1">
        <v>43161</v>
      </c>
      <c r="D1771" s="1">
        <v>43167</v>
      </c>
      <c r="E1771" t="s">
        <v>2118</v>
      </c>
      <c r="F1771" t="s">
        <v>111</v>
      </c>
      <c r="G1771" t="s">
        <v>112</v>
      </c>
      <c r="H1771" t="s">
        <v>10</v>
      </c>
      <c r="I1771" t="s">
        <v>2117</v>
      </c>
      <c r="J1771" t="s">
        <v>2110</v>
      </c>
      <c r="K1771">
        <v>6.976</v>
      </c>
      <c r="L1771">
        <f t="shared" si="54"/>
        <v>697.6</v>
      </c>
      <c r="M1771">
        <f t="shared" si="55"/>
        <v>139.52000000000001</v>
      </c>
    </row>
    <row r="1772" spans="1:13" x14ac:dyDescent="0.3">
      <c r="A1772">
        <v>1771</v>
      </c>
      <c r="B1772" t="s">
        <v>1924</v>
      </c>
      <c r="C1772" s="1">
        <v>43161</v>
      </c>
      <c r="D1772" s="1">
        <v>43167</v>
      </c>
      <c r="E1772" t="s">
        <v>2118</v>
      </c>
      <c r="F1772" t="s">
        <v>111</v>
      </c>
      <c r="G1772" t="s">
        <v>112</v>
      </c>
      <c r="H1772" t="s">
        <v>10</v>
      </c>
      <c r="I1772" t="s">
        <v>2117</v>
      </c>
      <c r="J1772" t="s">
        <v>2110</v>
      </c>
      <c r="K1772">
        <v>12.222</v>
      </c>
      <c r="L1772">
        <f t="shared" si="54"/>
        <v>1222.2</v>
      </c>
      <c r="M1772">
        <f t="shared" si="55"/>
        <v>244.44000000000003</v>
      </c>
    </row>
    <row r="1773" spans="1:13" x14ac:dyDescent="0.3">
      <c r="A1773">
        <v>1772</v>
      </c>
      <c r="B1773" t="s">
        <v>1925</v>
      </c>
      <c r="C1773" s="1">
        <v>43066</v>
      </c>
      <c r="D1773" s="1">
        <v>43068</v>
      </c>
      <c r="E1773" t="s">
        <v>2119</v>
      </c>
      <c r="F1773" t="s">
        <v>175</v>
      </c>
      <c r="G1773" t="s">
        <v>176</v>
      </c>
      <c r="H1773" t="s">
        <v>10</v>
      </c>
      <c r="I1773" t="s">
        <v>2117</v>
      </c>
      <c r="J1773" t="s">
        <v>2110</v>
      </c>
      <c r="K1773">
        <v>97.983999999999995</v>
      </c>
      <c r="L1773">
        <f t="shared" si="54"/>
        <v>9798.4</v>
      </c>
      <c r="M1773">
        <f t="shared" si="55"/>
        <v>1959.68</v>
      </c>
    </row>
    <row r="1774" spans="1:13" x14ac:dyDescent="0.3">
      <c r="A1774">
        <v>1773</v>
      </c>
      <c r="B1774" t="s">
        <v>1925</v>
      </c>
      <c r="C1774" s="1">
        <v>43066</v>
      </c>
      <c r="D1774" s="1">
        <v>43068</v>
      </c>
      <c r="E1774" t="s">
        <v>2119</v>
      </c>
      <c r="F1774" t="s">
        <v>175</v>
      </c>
      <c r="G1774" t="s">
        <v>176</v>
      </c>
      <c r="H1774" t="s">
        <v>10</v>
      </c>
      <c r="I1774" t="s">
        <v>2117</v>
      </c>
      <c r="J1774" t="s">
        <v>2111</v>
      </c>
      <c r="K1774">
        <v>62.4</v>
      </c>
      <c r="L1774">
        <f t="shared" si="54"/>
        <v>6240</v>
      </c>
      <c r="M1774">
        <f t="shared" si="55"/>
        <v>1248</v>
      </c>
    </row>
    <row r="1775" spans="1:13" x14ac:dyDescent="0.3">
      <c r="A1775">
        <v>1774</v>
      </c>
      <c r="B1775" t="s">
        <v>1926</v>
      </c>
      <c r="C1775" s="1">
        <v>42122</v>
      </c>
      <c r="D1775" s="1">
        <v>42127</v>
      </c>
      <c r="E1775" t="s">
        <v>2118</v>
      </c>
      <c r="F1775" t="s">
        <v>1778</v>
      </c>
      <c r="G1775" t="s">
        <v>1779</v>
      </c>
      <c r="H1775" t="s">
        <v>10</v>
      </c>
      <c r="I1775" t="s">
        <v>2114</v>
      </c>
      <c r="J1775" t="s">
        <v>2110</v>
      </c>
      <c r="K1775">
        <v>20.86</v>
      </c>
      <c r="L1775">
        <f t="shared" si="54"/>
        <v>2086</v>
      </c>
      <c r="M1775">
        <f t="shared" si="55"/>
        <v>417.20000000000005</v>
      </c>
    </row>
    <row r="1776" spans="1:13" x14ac:dyDescent="0.3">
      <c r="A1776">
        <v>1775</v>
      </c>
      <c r="B1776" t="s">
        <v>1926</v>
      </c>
      <c r="C1776" s="1">
        <v>42122</v>
      </c>
      <c r="D1776" s="1">
        <v>42127</v>
      </c>
      <c r="E1776" t="s">
        <v>2118</v>
      </c>
      <c r="F1776" t="s">
        <v>1778</v>
      </c>
      <c r="G1776" t="s">
        <v>1779</v>
      </c>
      <c r="H1776" t="s">
        <v>10</v>
      </c>
      <c r="I1776" t="s">
        <v>2114</v>
      </c>
      <c r="J1776" t="s">
        <v>2110</v>
      </c>
      <c r="K1776">
        <v>497.61</v>
      </c>
      <c r="L1776">
        <f t="shared" si="54"/>
        <v>49761</v>
      </c>
      <c r="M1776">
        <f t="shared" si="55"/>
        <v>9952.2000000000007</v>
      </c>
    </row>
    <row r="1777" spans="1:13" x14ac:dyDescent="0.3">
      <c r="A1777">
        <v>1776</v>
      </c>
      <c r="B1777" t="s">
        <v>1926</v>
      </c>
      <c r="C1777" s="1">
        <v>42122</v>
      </c>
      <c r="D1777" s="1">
        <v>42127</v>
      </c>
      <c r="E1777" t="s">
        <v>2118</v>
      </c>
      <c r="F1777" t="s">
        <v>1778</v>
      </c>
      <c r="G1777" t="s">
        <v>1779</v>
      </c>
      <c r="H1777" t="s">
        <v>10</v>
      </c>
      <c r="I1777" t="s">
        <v>2114</v>
      </c>
      <c r="J1777" t="s">
        <v>2110</v>
      </c>
      <c r="K1777">
        <v>5.34</v>
      </c>
      <c r="L1777">
        <f t="shared" si="54"/>
        <v>534</v>
      </c>
      <c r="M1777">
        <f t="shared" si="55"/>
        <v>106.80000000000001</v>
      </c>
    </row>
    <row r="1778" spans="1:13" x14ac:dyDescent="0.3">
      <c r="A1778">
        <v>1777</v>
      </c>
      <c r="B1778" t="s">
        <v>1926</v>
      </c>
      <c r="C1778" s="1">
        <v>42122</v>
      </c>
      <c r="D1778" s="1">
        <v>42127</v>
      </c>
      <c r="E1778" t="s">
        <v>2118</v>
      </c>
      <c r="F1778" t="s">
        <v>1778</v>
      </c>
      <c r="G1778" t="s">
        <v>1779</v>
      </c>
      <c r="H1778" t="s">
        <v>10</v>
      </c>
      <c r="I1778" t="s">
        <v>2114</v>
      </c>
      <c r="J1778" t="s">
        <v>2110</v>
      </c>
      <c r="K1778">
        <v>3.15</v>
      </c>
      <c r="L1778">
        <f t="shared" si="54"/>
        <v>315</v>
      </c>
      <c r="M1778">
        <f t="shared" si="55"/>
        <v>63</v>
      </c>
    </row>
    <row r="1779" spans="1:13" x14ac:dyDescent="0.3">
      <c r="A1779">
        <v>1778</v>
      </c>
      <c r="B1779" t="s">
        <v>1927</v>
      </c>
      <c r="C1779" s="1">
        <v>42698</v>
      </c>
      <c r="D1779" s="1">
        <v>42702</v>
      </c>
      <c r="E1779" t="s">
        <v>2118</v>
      </c>
      <c r="F1779" t="s">
        <v>79</v>
      </c>
      <c r="G1779" t="s">
        <v>80</v>
      </c>
      <c r="H1779" t="s">
        <v>6</v>
      </c>
      <c r="I1779" t="s">
        <v>2112</v>
      </c>
      <c r="J1779" t="s">
        <v>2110</v>
      </c>
      <c r="K1779">
        <v>368.91</v>
      </c>
      <c r="L1779">
        <f t="shared" si="54"/>
        <v>36891</v>
      </c>
      <c r="M1779">
        <f t="shared" si="55"/>
        <v>7378.2000000000007</v>
      </c>
    </row>
    <row r="1780" spans="1:13" x14ac:dyDescent="0.3">
      <c r="A1780">
        <v>1779</v>
      </c>
      <c r="B1780" t="s">
        <v>1927</v>
      </c>
      <c r="C1780" s="1">
        <v>42698</v>
      </c>
      <c r="D1780" s="1">
        <v>42702</v>
      </c>
      <c r="E1780" t="s">
        <v>2118</v>
      </c>
      <c r="F1780" t="s">
        <v>79</v>
      </c>
      <c r="G1780" t="s">
        <v>80</v>
      </c>
      <c r="H1780" t="s">
        <v>6</v>
      </c>
      <c r="I1780" t="s">
        <v>2112</v>
      </c>
      <c r="J1780" t="s">
        <v>2110</v>
      </c>
      <c r="K1780">
        <v>14.7</v>
      </c>
      <c r="L1780">
        <f t="shared" si="54"/>
        <v>1470</v>
      </c>
      <c r="M1780">
        <f t="shared" si="55"/>
        <v>294</v>
      </c>
    </row>
    <row r="1781" spans="1:13" x14ac:dyDescent="0.3">
      <c r="A1781">
        <v>1780</v>
      </c>
      <c r="B1781" t="s">
        <v>1928</v>
      </c>
      <c r="C1781" s="1">
        <v>43050</v>
      </c>
      <c r="D1781" s="1">
        <v>43055</v>
      </c>
      <c r="E1781" t="s">
        <v>2118</v>
      </c>
      <c r="F1781" t="s">
        <v>1445</v>
      </c>
      <c r="G1781" t="s">
        <v>1446</v>
      </c>
      <c r="H1781" t="s">
        <v>6</v>
      </c>
      <c r="I1781" t="s">
        <v>2114</v>
      </c>
      <c r="J1781" t="s">
        <v>2111</v>
      </c>
      <c r="K1781">
        <v>59.97</v>
      </c>
      <c r="L1781">
        <f t="shared" si="54"/>
        <v>5997</v>
      </c>
      <c r="M1781">
        <f t="shared" si="55"/>
        <v>1199.4000000000001</v>
      </c>
    </row>
    <row r="1782" spans="1:13" x14ac:dyDescent="0.3">
      <c r="A1782">
        <v>1781</v>
      </c>
      <c r="B1782" t="s">
        <v>1928</v>
      </c>
      <c r="C1782" s="1">
        <v>43050</v>
      </c>
      <c r="D1782" s="1">
        <v>43055</v>
      </c>
      <c r="E1782" t="s">
        <v>2118</v>
      </c>
      <c r="F1782" t="s">
        <v>1445</v>
      </c>
      <c r="G1782" t="s">
        <v>1446</v>
      </c>
      <c r="H1782" t="s">
        <v>6</v>
      </c>
      <c r="I1782" t="s">
        <v>2114</v>
      </c>
      <c r="J1782" t="s">
        <v>2110</v>
      </c>
      <c r="K1782">
        <v>83.36</v>
      </c>
      <c r="L1782">
        <f t="shared" si="54"/>
        <v>8336</v>
      </c>
      <c r="M1782">
        <f t="shared" si="55"/>
        <v>1667.2</v>
      </c>
    </row>
    <row r="1783" spans="1:13" x14ac:dyDescent="0.3">
      <c r="A1783">
        <v>1782</v>
      </c>
      <c r="B1783" t="s">
        <v>1929</v>
      </c>
      <c r="C1783" s="1">
        <v>42560</v>
      </c>
      <c r="D1783" s="1">
        <v>42564</v>
      </c>
      <c r="E1783" t="s">
        <v>2118</v>
      </c>
      <c r="F1783" t="s">
        <v>366</v>
      </c>
      <c r="G1783" t="s">
        <v>367</v>
      </c>
      <c r="H1783" t="s">
        <v>10</v>
      </c>
      <c r="I1783" t="s">
        <v>2114</v>
      </c>
      <c r="J1783" t="s">
        <v>2110</v>
      </c>
      <c r="K1783">
        <v>6.58</v>
      </c>
      <c r="L1783">
        <f t="shared" si="54"/>
        <v>658</v>
      </c>
      <c r="M1783">
        <f t="shared" si="55"/>
        <v>131.6</v>
      </c>
    </row>
    <row r="1784" spans="1:13" x14ac:dyDescent="0.3">
      <c r="A1784">
        <v>1783</v>
      </c>
      <c r="B1784" t="s">
        <v>1929</v>
      </c>
      <c r="C1784" s="1">
        <v>42560</v>
      </c>
      <c r="D1784" s="1">
        <v>42564</v>
      </c>
      <c r="E1784" t="s">
        <v>2118</v>
      </c>
      <c r="F1784" t="s">
        <v>366</v>
      </c>
      <c r="G1784" t="s">
        <v>367</v>
      </c>
      <c r="H1784" t="s">
        <v>10</v>
      </c>
      <c r="I1784" t="s">
        <v>2114</v>
      </c>
      <c r="J1784" t="s">
        <v>2110</v>
      </c>
      <c r="K1784">
        <v>122.94</v>
      </c>
      <c r="L1784">
        <f t="shared" si="54"/>
        <v>12294</v>
      </c>
      <c r="M1784">
        <f t="shared" si="55"/>
        <v>2458.8000000000002</v>
      </c>
    </row>
    <row r="1785" spans="1:13" x14ac:dyDescent="0.3">
      <c r="A1785">
        <v>1784</v>
      </c>
      <c r="B1785" t="s">
        <v>1930</v>
      </c>
      <c r="C1785" s="1">
        <v>43365</v>
      </c>
      <c r="D1785" s="1">
        <v>43369</v>
      </c>
      <c r="E1785" t="s">
        <v>2118</v>
      </c>
      <c r="F1785" t="s">
        <v>1931</v>
      </c>
      <c r="G1785" t="s">
        <v>1932</v>
      </c>
      <c r="H1785" t="s">
        <v>10</v>
      </c>
      <c r="I1785" t="s">
        <v>2117</v>
      </c>
      <c r="J1785" t="s">
        <v>2110</v>
      </c>
      <c r="K1785">
        <v>219.84</v>
      </c>
      <c r="L1785">
        <f t="shared" si="54"/>
        <v>21984</v>
      </c>
      <c r="M1785">
        <f t="shared" si="55"/>
        <v>4396.8</v>
      </c>
    </row>
    <row r="1786" spans="1:13" x14ac:dyDescent="0.3">
      <c r="A1786">
        <v>1785</v>
      </c>
      <c r="B1786" t="s">
        <v>1930</v>
      </c>
      <c r="C1786" s="1">
        <v>43365</v>
      </c>
      <c r="D1786" s="1">
        <v>43369</v>
      </c>
      <c r="E1786" t="s">
        <v>2118</v>
      </c>
      <c r="F1786" t="s">
        <v>1931</v>
      </c>
      <c r="G1786" t="s">
        <v>1932</v>
      </c>
      <c r="H1786" t="s">
        <v>10</v>
      </c>
      <c r="I1786" t="s">
        <v>2117</v>
      </c>
      <c r="J1786" t="s">
        <v>2111</v>
      </c>
      <c r="K1786">
        <v>98.16</v>
      </c>
      <c r="L1786">
        <f t="shared" si="54"/>
        <v>9816</v>
      </c>
      <c r="M1786">
        <f t="shared" si="55"/>
        <v>1963.2</v>
      </c>
    </row>
    <row r="1787" spans="1:13" x14ac:dyDescent="0.3">
      <c r="A1787">
        <v>1786</v>
      </c>
      <c r="B1787" t="s">
        <v>1930</v>
      </c>
      <c r="C1787" s="1">
        <v>43365</v>
      </c>
      <c r="D1787" s="1">
        <v>43369</v>
      </c>
      <c r="E1787" t="s">
        <v>2118</v>
      </c>
      <c r="F1787" t="s">
        <v>1931</v>
      </c>
      <c r="G1787" t="s">
        <v>1932</v>
      </c>
      <c r="H1787" t="s">
        <v>10</v>
      </c>
      <c r="I1787" t="s">
        <v>2117</v>
      </c>
      <c r="J1787" t="s">
        <v>2110</v>
      </c>
      <c r="K1787">
        <v>33.04</v>
      </c>
      <c r="L1787">
        <f t="shared" si="54"/>
        <v>3304</v>
      </c>
      <c r="M1787">
        <f t="shared" si="55"/>
        <v>660.80000000000007</v>
      </c>
    </row>
    <row r="1788" spans="1:13" x14ac:dyDescent="0.3">
      <c r="A1788">
        <v>1787</v>
      </c>
      <c r="B1788" t="s">
        <v>1930</v>
      </c>
      <c r="C1788" s="1">
        <v>43365</v>
      </c>
      <c r="D1788" s="1">
        <v>43369</v>
      </c>
      <c r="E1788" t="s">
        <v>2118</v>
      </c>
      <c r="F1788" t="s">
        <v>1931</v>
      </c>
      <c r="G1788" t="s">
        <v>1932</v>
      </c>
      <c r="H1788" t="s">
        <v>10</v>
      </c>
      <c r="I1788" t="s">
        <v>2117</v>
      </c>
      <c r="J1788" t="s">
        <v>2111</v>
      </c>
      <c r="K1788">
        <v>86.97</v>
      </c>
      <c r="L1788">
        <f t="shared" si="54"/>
        <v>8697</v>
      </c>
      <c r="M1788">
        <f t="shared" si="55"/>
        <v>1739.4</v>
      </c>
    </row>
    <row r="1789" spans="1:13" x14ac:dyDescent="0.3">
      <c r="A1789">
        <v>1788</v>
      </c>
      <c r="B1789" t="s">
        <v>1933</v>
      </c>
      <c r="C1789" s="1">
        <v>42415</v>
      </c>
      <c r="D1789" s="1">
        <v>42419</v>
      </c>
      <c r="E1789" t="s">
        <v>2118</v>
      </c>
      <c r="F1789" t="s">
        <v>1934</v>
      </c>
      <c r="G1789" t="s">
        <v>1935</v>
      </c>
      <c r="H1789" t="s">
        <v>10</v>
      </c>
      <c r="I1789" t="s">
        <v>2117</v>
      </c>
      <c r="J1789" t="s">
        <v>2111</v>
      </c>
      <c r="K1789">
        <v>134.97</v>
      </c>
      <c r="L1789">
        <f t="shared" si="54"/>
        <v>13497</v>
      </c>
      <c r="M1789">
        <f t="shared" si="55"/>
        <v>2699.4</v>
      </c>
    </row>
    <row r="1790" spans="1:13" x14ac:dyDescent="0.3">
      <c r="A1790">
        <v>1789</v>
      </c>
      <c r="B1790" t="s">
        <v>1933</v>
      </c>
      <c r="C1790" s="1">
        <v>42415</v>
      </c>
      <c r="D1790" s="1">
        <v>42419</v>
      </c>
      <c r="E1790" t="s">
        <v>2118</v>
      </c>
      <c r="F1790" t="s">
        <v>1934</v>
      </c>
      <c r="G1790" t="s">
        <v>1935</v>
      </c>
      <c r="H1790" t="s">
        <v>10</v>
      </c>
      <c r="I1790" t="s">
        <v>2117</v>
      </c>
      <c r="J1790" t="s">
        <v>2111</v>
      </c>
      <c r="K1790">
        <v>699.98</v>
      </c>
      <c r="L1790">
        <f t="shared" si="54"/>
        <v>69998</v>
      </c>
      <c r="M1790">
        <f t="shared" si="55"/>
        <v>13999.6</v>
      </c>
    </row>
    <row r="1791" spans="1:13" x14ac:dyDescent="0.3">
      <c r="A1791">
        <v>1790</v>
      </c>
      <c r="B1791" t="s">
        <v>1933</v>
      </c>
      <c r="C1791" s="1">
        <v>42415</v>
      </c>
      <c r="D1791" s="1">
        <v>42419</v>
      </c>
      <c r="E1791" t="s">
        <v>2118</v>
      </c>
      <c r="F1791" t="s">
        <v>1934</v>
      </c>
      <c r="G1791" t="s">
        <v>1935</v>
      </c>
      <c r="H1791" t="s">
        <v>10</v>
      </c>
      <c r="I1791" t="s">
        <v>2117</v>
      </c>
      <c r="J1791" t="s">
        <v>2111</v>
      </c>
      <c r="K1791">
        <v>139.94999999999999</v>
      </c>
      <c r="L1791">
        <f t="shared" si="54"/>
        <v>13994.999999999998</v>
      </c>
      <c r="M1791">
        <f t="shared" si="55"/>
        <v>2799</v>
      </c>
    </row>
    <row r="1792" spans="1:13" x14ac:dyDescent="0.3">
      <c r="A1792">
        <v>1791</v>
      </c>
      <c r="B1792" t="s">
        <v>1936</v>
      </c>
      <c r="C1792" s="1">
        <v>42277</v>
      </c>
      <c r="D1792" s="1">
        <v>42281</v>
      </c>
      <c r="E1792" t="s">
        <v>2118</v>
      </c>
      <c r="F1792" t="s">
        <v>485</v>
      </c>
      <c r="G1792" t="s">
        <v>486</v>
      </c>
      <c r="H1792" t="s">
        <v>6</v>
      </c>
      <c r="I1792" t="s">
        <v>2114</v>
      </c>
      <c r="J1792" t="s">
        <v>2110</v>
      </c>
      <c r="K1792">
        <v>48.94</v>
      </c>
      <c r="L1792">
        <f t="shared" si="54"/>
        <v>4894</v>
      </c>
      <c r="M1792">
        <f t="shared" si="55"/>
        <v>978.80000000000007</v>
      </c>
    </row>
    <row r="1793" spans="1:13" x14ac:dyDescent="0.3">
      <c r="A1793">
        <v>1792</v>
      </c>
      <c r="B1793" t="s">
        <v>1937</v>
      </c>
      <c r="C1793" s="1">
        <v>42339</v>
      </c>
      <c r="D1793" s="1">
        <v>42341</v>
      </c>
      <c r="E1793" t="s">
        <v>2120</v>
      </c>
      <c r="F1793" t="s">
        <v>840</v>
      </c>
      <c r="G1793" t="s">
        <v>841</v>
      </c>
      <c r="H1793" t="s">
        <v>6</v>
      </c>
      <c r="I1793" t="s">
        <v>2117</v>
      </c>
      <c r="J1793" t="s">
        <v>2109</v>
      </c>
      <c r="K1793">
        <v>2807.84</v>
      </c>
      <c r="L1793">
        <f t="shared" si="54"/>
        <v>280784</v>
      </c>
      <c r="M1793">
        <f t="shared" si="55"/>
        <v>56156.800000000003</v>
      </c>
    </row>
    <row r="1794" spans="1:13" x14ac:dyDescent="0.3">
      <c r="A1794">
        <v>1793</v>
      </c>
      <c r="B1794" t="s">
        <v>1937</v>
      </c>
      <c r="C1794" s="1">
        <v>42339</v>
      </c>
      <c r="D1794" s="1">
        <v>42341</v>
      </c>
      <c r="E1794" t="s">
        <v>2120</v>
      </c>
      <c r="F1794" t="s">
        <v>840</v>
      </c>
      <c r="G1794" t="s">
        <v>841</v>
      </c>
      <c r="H1794" t="s">
        <v>6</v>
      </c>
      <c r="I1794" t="s">
        <v>2117</v>
      </c>
      <c r="J1794" t="s">
        <v>2110</v>
      </c>
      <c r="K1794">
        <v>46.64</v>
      </c>
      <c r="L1794">
        <f t="shared" ref="L1794:L1857" si="56">K1794*100</f>
        <v>4664</v>
      </c>
      <c r="M1794">
        <f t="shared" si="55"/>
        <v>932.80000000000007</v>
      </c>
    </row>
    <row r="1795" spans="1:13" x14ac:dyDescent="0.3">
      <c r="A1795">
        <v>1794</v>
      </c>
      <c r="B1795" t="s">
        <v>1938</v>
      </c>
      <c r="C1795" s="1">
        <v>42346</v>
      </c>
      <c r="D1795" s="1">
        <v>42351</v>
      </c>
      <c r="E1795" t="s">
        <v>2118</v>
      </c>
      <c r="F1795" t="s">
        <v>1939</v>
      </c>
      <c r="G1795" t="s">
        <v>1940</v>
      </c>
      <c r="H1795" t="s">
        <v>10</v>
      </c>
      <c r="I1795" t="s">
        <v>2117</v>
      </c>
      <c r="J1795" t="s">
        <v>2110</v>
      </c>
      <c r="K1795">
        <v>60.415999999999997</v>
      </c>
      <c r="L1795">
        <f t="shared" si="56"/>
        <v>6041.5999999999995</v>
      </c>
      <c r="M1795">
        <f t="shared" ref="M1795:M1858" si="57">L1795*0.2</f>
        <v>1208.32</v>
      </c>
    </row>
    <row r="1796" spans="1:13" x14ac:dyDescent="0.3">
      <c r="A1796">
        <v>1795</v>
      </c>
      <c r="B1796" t="s">
        <v>1941</v>
      </c>
      <c r="C1796" s="1">
        <v>42983</v>
      </c>
      <c r="D1796" s="1">
        <v>42988</v>
      </c>
      <c r="E1796" t="s">
        <v>2118</v>
      </c>
      <c r="F1796" t="s">
        <v>1942</v>
      </c>
      <c r="G1796" t="s">
        <v>1943</v>
      </c>
      <c r="H1796" t="s">
        <v>26</v>
      </c>
      <c r="I1796" t="s">
        <v>2117</v>
      </c>
      <c r="J1796" t="s">
        <v>2110</v>
      </c>
      <c r="K1796">
        <v>107.94</v>
      </c>
      <c r="L1796">
        <f t="shared" si="56"/>
        <v>10794</v>
      </c>
      <c r="M1796">
        <f t="shared" si="57"/>
        <v>2158.8000000000002</v>
      </c>
    </row>
    <row r="1797" spans="1:13" x14ac:dyDescent="0.3">
      <c r="A1797">
        <v>1796</v>
      </c>
      <c r="B1797" t="s">
        <v>1944</v>
      </c>
      <c r="C1797" s="1">
        <v>43339</v>
      </c>
      <c r="D1797" s="1">
        <v>43342</v>
      </c>
      <c r="E1797" t="s">
        <v>2120</v>
      </c>
      <c r="F1797" t="s">
        <v>904</v>
      </c>
      <c r="G1797" t="s">
        <v>905</v>
      </c>
      <c r="H1797" t="s">
        <v>26</v>
      </c>
      <c r="I1797" t="s">
        <v>2114</v>
      </c>
      <c r="J1797" t="s">
        <v>2110</v>
      </c>
      <c r="K1797">
        <v>63.84</v>
      </c>
      <c r="L1797">
        <f t="shared" si="56"/>
        <v>6384</v>
      </c>
      <c r="M1797">
        <f t="shared" si="57"/>
        <v>1276.8000000000002</v>
      </c>
    </row>
    <row r="1798" spans="1:13" x14ac:dyDescent="0.3">
      <c r="A1798">
        <v>1797</v>
      </c>
      <c r="B1798" t="s">
        <v>1944</v>
      </c>
      <c r="C1798" s="1">
        <v>43339</v>
      </c>
      <c r="D1798" s="1">
        <v>43342</v>
      </c>
      <c r="E1798" t="s">
        <v>2120</v>
      </c>
      <c r="F1798" t="s">
        <v>904</v>
      </c>
      <c r="G1798" t="s">
        <v>905</v>
      </c>
      <c r="H1798" t="s">
        <v>26</v>
      </c>
      <c r="I1798" t="s">
        <v>2114</v>
      </c>
      <c r="J1798" t="s">
        <v>2111</v>
      </c>
      <c r="K1798">
        <v>347.97</v>
      </c>
      <c r="L1798">
        <f t="shared" si="56"/>
        <v>34797</v>
      </c>
      <c r="M1798">
        <f t="shared" si="57"/>
        <v>6959.4000000000005</v>
      </c>
    </row>
    <row r="1799" spans="1:13" x14ac:dyDescent="0.3">
      <c r="A1799">
        <v>1798</v>
      </c>
      <c r="B1799" t="s">
        <v>1944</v>
      </c>
      <c r="C1799" s="1">
        <v>43339</v>
      </c>
      <c r="D1799" s="1">
        <v>43342</v>
      </c>
      <c r="E1799" t="s">
        <v>2120</v>
      </c>
      <c r="F1799" t="s">
        <v>904</v>
      </c>
      <c r="G1799" t="s">
        <v>905</v>
      </c>
      <c r="H1799" t="s">
        <v>26</v>
      </c>
      <c r="I1799" t="s">
        <v>2114</v>
      </c>
      <c r="J1799" t="s">
        <v>2110</v>
      </c>
      <c r="K1799">
        <v>37.008000000000003</v>
      </c>
      <c r="L1799">
        <f t="shared" si="56"/>
        <v>3700.8</v>
      </c>
      <c r="M1799">
        <f t="shared" si="57"/>
        <v>740.16000000000008</v>
      </c>
    </row>
    <row r="1800" spans="1:13" x14ac:dyDescent="0.3">
      <c r="A1800">
        <v>1799</v>
      </c>
      <c r="B1800" t="s">
        <v>1945</v>
      </c>
      <c r="C1800" s="1">
        <v>42923</v>
      </c>
      <c r="D1800" s="1">
        <v>42927</v>
      </c>
      <c r="E1800" t="s">
        <v>2118</v>
      </c>
      <c r="F1800" t="s">
        <v>1914</v>
      </c>
      <c r="G1800" t="s">
        <v>1915</v>
      </c>
      <c r="H1800" t="s">
        <v>6</v>
      </c>
      <c r="I1800" t="s">
        <v>2112</v>
      </c>
      <c r="J1800" t="s">
        <v>2109</v>
      </c>
      <c r="K1800">
        <v>215.65</v>
      </c>
      <c r="L1800">
        <f t="shared" si="56"/>
        <v>21565</v>
      </c>
      <c r="M1800">
        <f t="shared" si="57"/>
        <v>4313</v>
      </c>
    </row>
    <row r="1801" spans="1:13" x14ac:dyDescent="0.3">
      <c r="A1801">
        <v>1800</v>
      </c>
      <c r="B1801" t="s">
        <v>1946</v>
      </c>
      <c r="C1801" s="1">
        <v>42955</v>
      </c>
      <c r="D1801" s="1">
        <v>42957</v>
      </c>
      <c r="E1801" t="s">
        <v>2119</v>
      </c>
      <c r="F1801" t="s">
        <v>1947</v>
      </c>
      <c r="G1801" t="s">
        <v>1948</v>
      </c>
      <c r="H1801" t="s">
        <v>6</v>
      </c>
      <c r="I1801" t="s">
        <v>2117</v>
      </c>
      <c r="J1801" t="s">
        <v>2110</v>
      </c>
      <c r="K1801">
        <v>11.167999999999999</v>
      </c>
      <c r="L1801">
        <f t="shared" si="56"/>
        <v>1116.8</v>
      </c>
      <c r="M1801">
        <f t="shared" si="57"/>
        <v>223.36</v>
      </c>
    </row>
    <row r="1802" spans="1:13" x14ac:dyDescent="0.3">
      <c r="A1802">
        <v>1801</v>
      </c>
      <c r="B1802" t="s">
        <v>1946</v>
      </c>
      <c r="C1802" s="1">
        <v>42955</v>
      </c>
      <c r="D1802" s="1">
        <v>42957</v>
      </c>
      <c r="E1802" t="s">
        <v>2119</v>
      </c>
      <c r="F1802" t="s">
        <v>1947</v>
      </c>
      <c r="G1802" t="s">
        <v>1948</v>
      </c>
      <c r="H1802" t="s">
        <v>6</v>
      </c>
      <c r="I1802" t="s">
        <v>2117</v>
      </c>
      <c r="J1802" t="s">
        <v>2110</v>
      </c>
      <c r="K1802">
        <v>53.951999999999998</v>
      </c>
      <c r="L1802">
        <f t="shared" si="56"/>
        <v>5395.2</v>
      </c>
      <c r="M1802">
        <f t="shared" si="57"/>
        <v>1079.04</v>
      </c>
    </row>
    <row r="1803" spans="1:13" x14ac:dyDescent="0.3">
      <c r="A1803">
        <v>1802</v>
      </c>
      <c r="B1803" t="s">
        <v>1949</v>
      </c>
      <c r="C1803" s="1">
        <v>43052</v>
      </c>
      <c r="D1803" s="1">
        <v>43058</v>
      </c>
      <c r="E1803" t="s">
        <v>2118</v>
      </c>
      <c r="F1803" t="s">
        <v>694</v>
      </c>
      <c r="G1803" t="s">
        <v>695</v>
      </c>
      <c r="H1803" t="s">
        <v>26</v>
      </c>
      <c r="I1803" t="s">
        <v>2112</v>
      </c>
      <c r="J1803" t="s">
        <v>2109</v>
      </c>
      <c r="K1803">
        <v>4.18</v>
      </c>
      <c r="L1803">
        <f t="shared" si="56"/>
        <v>418</v>
      </c>
      <c r="M1803">
        <f t="shared" si="57"/>
        <v>83.600000000000009</v>
      </c>
    </row>
    <row r="1804" spans="1:13" x14ac:dyDescent="0.3">
      <c r="A1804">
        <v>1803</v>
      </c>
      <c r="B1804" t="s">
        <v>1950</v>
      </c>
      <c r="C1804" s="1">
        <v>43365</v>
      </c>
      <c r="D1804" s="1">
        <v>43369</v>
      </c>
      <c r="E1804" t="s">
        <v>2119</v>
      </c>
      <c r="F1804" t="s">
        <v>1162</v>
      </c>
      <c r="G1804" t="s">
        <v>1163</v>
      </c>
      <c r="H1804" t="s">
        <v>6</v>
      </c>
      <c r="I1804" t="s">
        <v>2114</v>
      </c>
      <c r="J1804" t="s">
        <v>2110</v>
      </c>
      <c r="K1804">
        <v>5.6070000000000002</v>
      </c>
      <c r="L1804">
        <f t="shared" si="56"/>
        <v>560.70000000000005</v>
      </c>
      <c r="M1804">
        <f t="shared" si="57"/>
        <v>112.14000000000001</v>
      </c>
    </row>
    <row r="1805" spans="1:13" x14ac:dyDescent="0.3">
      <c r="A1805">
        <v>1804</v>
      </c>
      <c r="B1805" t="s">
        <v>1950</v>
      </c>
      <c r="C1805" s="1">
        <v>43365</v>
      </c>
      <c r="D1805" s="1">
        <v>43369</v>
      </c>
      <c r="E1805" t="s">
        <v>2119</v>
      </c>
      <c r="F1805" t="s">
        <v>1162</v>
      </c>
      <c r="G1805" t="s">
        <v>1163</v>
      </c>
      <c r="H1805" t="s">
        <v>6</v>
      </c>
      <c r="I1805" t="s">
        <v>2114</v>
      </c>
      <c r="J1805" t="s">
        <v>2110</v>
      </c>
      <c r="K1805">
        <v>4663.7359999999999</v>
      </c>
      <c r="L1805">
        <f t="shared" si="56"/>
        <v>466373.6</v>
      </c>
      <c r="M1805">
        <f t="shared" si="57"/>
        <v>93274.72</v>
      </c>
    </row>
    <row r="1806" spans="1:13" x14ac:dyDescent="0.3">
      <c r="A1806">
        <v>1805</v>
      </c>
      <c r="B1806" t="s">
        <v>1950</v>
      </c>
      <c r="C1806" s="1">
        <v>43365</v>
      </c>
      <c r="D1806" s="1">
        <v>43369</v>
      </c>
      <c r="E1806" t="s">
        <v>2119</v>
      </c>
      <c r="F1806" t="s">
        <v>1162</v>
      </c>
      <c r="G1806" t="s">
        <v>1163</v>
      </c>
      <c r="H1806" t="s">
        <v>6</v>
      </c>
      <c r="I1806" t="s">
        <v>2114</v>
      </c>
      <c r="J1806" t="s">
        <v>2111</v>
      </c>
      <c r="K1806">
        <v>79.983999999999995</v>
      </c>
      <c r="L1806">
        <f t="shared" si="56"/>
        <v>7998.4</v>
      </c>
      <c r="M1806">
        <f t="shared" si="57"/>
        <v>1599.68</v>
      </c>
    </row>
    <row r="1807" spans="1:13" x14ac:dyDescent="0.3">
      <c r="A1807">
        <v>1806</v>
      </c>
      <c r="B1807" t="s">
        <v>1951</v>
      </c>
      <c r="C1807" s="1">
        <v>43094</v>
      </c>
      <c r="D1807" s="1">
        <v>43097</v>
      </c>
      <c r="E1807" t="s">
        <v>2120</v>
      </c>
      <c r="F1807" t="s">
        <v>427</v>
      </c>
      <c r="G1807" t="s">
        <v>428</v>
      </c>
      <c r="H1807" t="s">
        <v>10</v>
      </c>
      <c r="I1807" t="s">
        <v>2112</v>
      </c>
      <c r="J1807" t="s">
        <v>2111</v>
      </c>
      <c r="K1807">
        <v>2575.944</v>
      </c>
      <c r="L1807">
        <f t="shared" si="56"/>
        <v>257594.4</v>
      </c>
      <c r="M1807">
        <f t="shared" si="57"/>
        <v>51518.880000000005</v>
      </c>
    </row>
    <row r="1808" spans="1:13" x14ac:dyDescent="0.3">
      <c r="A1808">
        <v>1807</v>
      </c>
      <c r="B1808" t="s">
        <v>1951</v>
      </c>
      <c r="C1808" s="1">
        <v>43094</v>
      </c>
      <c r="D1808" s="1">
        <v>43097</v>
      </c>
      <c r="E1808" t="s">
        <v>2120</v>
      </c>
      <c r="F1808" t="s">
        <v>427</v>
      </c>
      <c r="G1808" t="s">
        <v>428</v>
      </c>
      <c r="H1808" t="s">
        <v>10</v>
      </c>
      <c r="I1808" t="s">
        <v>2112</v>
      </c>
      <c r="J1808" t="s">
        <v>2110</v>
      </c>
      <c r="K1808">
        <v>45.36</v>
      </c>
      <c r="L1808">
        <f t="shared" si="56"/>
        <v>4536</v>
      </c>
      <c r="M1808">
        <f t="shared" si="57"/>
        <v>907.2</v>
      </c>
    </row>
    <row r="1809" spans="1:13" x14ac:dyDescent="0.3">
      <c r="A1809">
        <v>1808</v>
      </c>
      <c r="B1809" t="s">
        <v>1951</v>
      </c>
      <c r="C1809" s="1">
        <v>43094</v>
      </c>
      <c r="D1809" s="1">
        <v>43097</v>
      </c>
      <c r="E1809" t="s">
        <v>2120</v>
      </c>
      <c r="F1809" t="s">
        <v>427</v>
      </c>
      <c r="G1809" t="s">
        <v>428</v>
      </c>
      <c r="H1809" t="s">
        <v>10</v>
      </c>
      <c r="I1809" t="s">
        <v>2112</v>
      </c>
      <c r="J1809" t="s">
        <v>2111</v>
      </c>
      <c r="K1809">
        <v>254.24</v>
      </c>
      <c r="L1809">
        <f t="shared" si="56"/>
        <v>25424</v>
      </c>
      <c r="M1809">
        <f t="shared" si="57"/>
        <v>5084.8</v>
      </c>
    </row>
    <row r="1810" spans="1:13" x14ac:dyDescent="0.3">
      <c r="A1810">
        <v>1809</v>
      </c>
      <c r="B1810" t="s">
        <v>1952</v>
      </c>
      <c r="C1810" s="1">
        <v>42777</v>
      </c>
      <c r="D1810" s="1">
        <v>42779</v>
      </c>
      <c r="E1810" t="s">
        <v>2120</v>
      </c>
      <c r="F1810" t="s">
        <v>1953</v>
      </c>
      <c r="G1810" t="s">
        <v>1954</v>
      </c>
      <c r="H1810" t="s">
        <v>10</v>
      </c>
      <c r="I1810" t="s">
        <v>2117</v>
      </c>
      <c r="J1810" t="s">
        <v>2111</v>
      </c>
      <c r="K1810">
        <v>69.930000000000007</v>
      </c>
      <c r="L1810">
        <f t="shared" si="56"/>
        <v>6993.0000000000009</v>
      </c>
      <c r="M1810">
        <f t="shared" si="57"/>
        <v>1398.6000000000004</v>
      </c>
    </row>
    <row r="1811" spans="1:13" x14ac:dyDescent="0.3">
      <c r="A1811">
        <v>1810</v>
      </c>
      <c r="B1811" t="s">
        <v>1955</v>
      </c>
      <c r="C1811" s="1">
        <v>43031</v>
      </c>
      <c r="D1811" s="1">
        <v>43037</v>
      </c>
      <c r="E1811" t="s">
        <v>2118</v>
      </c>
      <c r="F1811" t="s">
        <v>299</v>
      </c>
      <c r="G1811" t="s">
        <v>300</v>
      </c>
      <c r="H1811" t="s">
        <v>10</v>
      </c>
      <c r="I1811" t="s">
        <v>2117</v>
      </c>
      <c r="J1811" t="s">
        <v>2109</v>
      </c>
      <c r="K1811">
        <v>16.155999999999999</v>
      </c>
      <c r="L1811">
        <f t="shared" si="56"/>
        <v>1615.6</v>
      </c>
      <c r="M1811">
        <f t="shared" si="57"/>
        <v>323.12</v>
      </c>
    </row>
    <row r="1812" spans="1:13" x14ac:dyDescent="0.3">
      <c r="A1812">
        <v>1811</v>
      </c>
      <c r="B1812" t="s">
        <v>1955</v>
      </c>
      <c r="C1812" s="1">
        <v>43031</v>
      </c>
      <c r="D1812" s="1">
        <v>43037</v>
      </c>
      <c r="E1812" t="s">
        <v>2118</v>
      </c>
      <c r="F1812" t="s">
        <v>299</v>
      </c>
      <c r="G1812" t="s">
        <v>300</v>
      </c>
      <c r="H1812" t="s">
        <v>10</v>
      </c>
      <c r="I1812" t="s">
        <v>2117</v>
      </c>
      <c r="J1812" t="s">
        <v>2110</v>
      </c>
      <c r="K1812">
        <v>54.816000000000003</v>
      </c>
      <c r="L1812">
        <f t="shared" si="56"/>
        <v>5481.6</v>
      </c>
      <c r="M1812">
        <f t="shared" si="57"/>
        <v>1096.3200000000002</v>
      </c>
    </row>
    <row r="1813" spans="1:13" x14ac:dyDescent="0.3">
      <c r="A1813">
        <v>1812</v>
      </c>
      <c r="B1813" t="s">
        <v>1956</v>
      </c>
      <c r="C1813" s="1">
        <v>42164</v>
      </c>
      <c r="D1813" s="1">
        <v>42166</v>
      </c>
      <c r="E1813" t="s">
        <v>2119</v>
      </c>
      <c r="F1813" t="s">
        <v>1289</v>
      </c>
      <c r="G1813" t="s">
        <v>1290</v>
      </c>
      <c r="H1813" t="s">
        <v>6</v>
      </c>
      <c r="I1813" t="s">
        <v>2115</v>
      </c>
      <c r="J1813" t="s">
        <v>2109</v>
      </c>
      <c r="K1813">
        <v>1441.3</v>
      </c>
      <c r="L1813">
        <f t="shared" si="56"/>
        <v>144130</v>
      </c>
      <c r="M1813">
        <f t="shared" si="57"/>
        <v>28826</v>
      </c>
    </row>
    <row r="1814" spans="1:13" x14ac:dyDescent="0.3">
      <c r="A1814">
        <v>1813</v>
      </c>
      <c r="B1814" t="s">
        <v>1957</v>
      </c>
      <c r="C1814" s="1">
        <v>43424</v>
      </c>
      <c r="D1814" s="1">
        <v>43430</v>
      </c>
      <c r="E1814" t="s">
        <v>2118</v>
      </c>
      <c r="F1814" t="s">
        <v>1958</v>
      </c>
      <c r="G1814" t="s">
        <v>1959</v>
      </c>
      <c r="H1814" t="s">
        <v>6</v>
      </c>
      <c r="I1814" t="s">
        <v>2114</v>
      </c>
      <c r="J1814" t="s">
        <v>2109</v>
      </c>
      <c r="K1814">
        <v>77.599999999999994</v>
      </c>
      <c r="L1814">
        <f t="shared" si="56"/>
        <v>7759.9999999999991</v>
      </c>
      <c r="M1814">
        <f t="shared" si="57"/>
        <v>1552</v>
      </c>
    </row>
    <row r="1815" spans="1:13" x14ac:dyDescent="0.3">
      <c r="A1815">
        <v>1814</v>
      </c>
      <c r="B1815" t="s">
        <v>1957</v>
      </c>
      <c r="C1815" s="1">
        <v>43424</v>
      </c>
      <c r="D1815" s="1">
        <v>43430</v>
      </c>
      <c r="E1815" t="s">
        <v>2118</v>
      </c>
      <c r="F1815" t="s">
        <v>1958</v>
      </c>
      <c r="G1815" t="s">
        <v>1959</v>
      </c>
      <c r="H1815" t="s">
        <v>6</v>
      </c>
      <c r="I1815" t="s">
        <v>2114</v>
      </c>
      <c r="J1815" t="s">
        <v>2109</v>
      </c>
      <c r="K1815">
        <v>4.6559999999999997</v>
      </c>
      <c r="L1815">
        <f t="shared" si="56"/>
        <v>465.59999999999997</v>
      </c>
      <c r="M1815">
        <f t="shared" si="57"/>
        <v>93.12</v>
      </c>
    </row>
    <row r="1816" spans="1:13" x14ac:dyDescent="0.3">
      <c r="A1816">
        <v>1815</v>
      </c>
      <c r="B1816" t="s">
        <v>1960</v>
      </c>
      <c r="C1816" s="1">
        <v>42627</v>
      </c>
      <c r="D1816" s="1">
        <v>42631</v>
      </c>
      <c r="E1816" t="s">
        <v>2118</v>
      </c>
      <c r="F1816" t="s">
        <v>1393</v>
      </c>
      <c r="G1816" t="s">
        <v>1394</v>
      </c>
      <c r="H1816" t="s">
        <v>10</v>
      </c>
      <c r="I1816" t="s">
        <v>2112</v>
      </c>
      <c r="J1816" t="s">
        <v>2109</v>
      </c>
      <c r="K1816">
        <v>170.136</v>
      </c>
      <c r="L1816">
        <f t="shared" si="56"/>
        <v>17013.599999999999</v>
      </c>
      <c r="M1816">
        <f t="shared" si="57"/>
        <v>3402.72</v>
      </c>
    </row>
    <row r="1817" spans="1:13" x14ac:dyDescent="0.3">
      <c r="A1817">
        <v>1816</v>
      </c>
      <c r="B1817" t="s">
        <v>1961</v>
      </c>
      <c r="C1817" s="1">
        <v>42525</v>
      </c>
      <c r="D1817" s="1">
        <v>42525</v>
      </c>
      <c r="E1817" t="s">
        <v>2120</v>
      </c>
      <c r="F1817" t="s">
        <v>1079</v>
      </c>
      <c r="G1817" t="s">
        <v>1080</v>
      </c>
      <c r="H1817" t="s">
        <v>6</v>
      </c>
      <c r="I1817" t="s">
        <v>2112</v>
      </c>
      <c r="J1817" t="s">
        <v>2110</v>
      </c>
      <c r="K1817">
        <v>7.38</v>
      </c>
      <c r="L1817">
        <f t="shared" si="56"/>
        <v>738</v>
      </c>
      <c r="M1817">
        <f t="shared" si="57"/>
        <v>147.6</v>
      </c>
    </row>
    <row r="1818" spans="1:13" x14ac:dyDescent="0.3">
      <c r="A1818">
        <v>1817</v>
      </c>
      <c r="B1818" t="s">
        <v>1961</v>
      </c>
      <c r="C1818" s="1">
        <v>42525</v>
      </c>
      <c r="D1818" s="1">
        <v>42525</v>
      </c>
      <c r="E1818" t="s">
        <v>2120</v>
      </c>
      <c r="F1818" t="s">
        <v>1079</v>
      </c>
      <c r="G1818" t="s">
        <v>1080</v>
      </c>
      <c r="H1818" t="s">
        <v>6</v>
      </c>
      <c r="I1818" t="s">
        <v>2112</v>
      </c>
      <c r="J1818" t="s">
        <v>2110</v>
      </c>
      <c r="K1818">
        <v>9.26</v>
      </c>
      <c r="L1818">
        <f t="shared" si="56"/>
        <v>926</v>
      </c>
      <c r="M1818">
        <f t="shared" si="57"/>
        <v>185.20000000000002</v>
      </c>
    </row>
    <row r="1819" spans="1:13" x14ac:dyDescent="0.3">
      <c r="A1819">
        <v>1818</v>
      </c>
      <c r="B1819" t="s">
        <v>1962</v>
      </c>
      <c r="C1819" s="1">
        <v>42717</v>
      </c>
      <c r="D1819" s="1">
        <v>42719</v>
      </c>
      <c r="E1819" t="s">
        <v>2119</v>
      </c>
      <c r="F1819" t="s">
        <v>1489</v>
      </c>
      <c r="G1819" t="s">
        <v>1490</v>
      </c>
      <c r="H1819" t="s">
        <v>6</v>
      </c>
      <c r="I1819" t="s">
        <v>2112</v>
      </c>
      <c r="J1819" t="s">
        <v>2110</v>
      </c>
      <c r="K1819">
        <v>9.9600000000000009</v>
      </c>
      <c r="L1819">
        <f t="shared" si="56"/>
        <v>996.00000000000011</v>
      </c>
      <c r="M1819">
        <f t="shared" si="57"/>
        <v>199.20000000000005</v>
      </c>
    </row>
    <row r="1820" spans="1:13" x14ac:dyDescent="0.3">
      <c r="A1820">
        <v>1819</v>
      </c>
      <c r="B1820" t="s">
        <v>1963</v>
      </c>
      <c r="C1820" s="1">
        <v>42149</v>
      </c>
      <c r="D1820" s="1">
        <v>42153</v>
      </c>
      <c r="E1820" t="s">
        <v>2118</v>
      </c>
      <c r="F1820" t="s">
        <v>1964</v>
      </c>
      <c r="G1820" t="s">
        <v>1965</v>
      </c>
      <c r="H1820" t="s">
        <v>6</v>
      </c>
      <c r="I1820" t="s">
        <v>2117</v>
      </c>
      <c r="J1820" t="s">
        <v>2110</v>
      </c>
      <c r="K1820">
        <v>75.599999999999994</v>
      </c>
      <c r="L1820">
        <f t="shared" si="56"/>
        <v>7559.9999999999991</v>
      </c>
      <c r="M1820">
        <f t="shared" si="57"/>
        <v>1512</v>
      </c>
    </row>
    <row r="1821" spans="1:13" x14ac:dyDescent="0.3">
      <c r="A1821">
        <v>1820</v>
      </c>
      <c r="B1821" t="s">
        <v>1963</v>
      </c>
      <c r="C1821" s="1">
        <v>42149</v>
      </c>
      <c r="D1821" s="1">
        <v>42153</v>
      </c>
      <c r="E1821" t="s">
        <v>2118</v>
      </c>
      <c r="F1821" t="s">
        <v>1964</v>
      </c>
      <c r="G1821" t="s">
        <v>1965</v>
      </c>
      <c r="H1821" t="s">
        <v>6</v>
      </c>
      <c r="I1821" t="s">
        <v>2117</v>
      </c>
      <c r="J1821" t="s">
        <v>2109</v>
      </c>
      <c r="K1821">
        <v>29.32</v>
      </c>
      <c r="L1821">
        <f t="shared" si="56"/>
        <v>2932</v>
      </c>
      <c r="M1821">
        <f t="shared" si="57"/>
        <v>586.4</v>
      </c>
    </row>
    <row r="1822" spans="1:13" x14ac:dyDescent="0.3">
      <c r="A1822">
        <v>1821</v>
      </c>
      <c r="B1822" t="s">
        <v>1966</v>
      </c>
      <c r="C1822" s="1">
        <v>42782</v>
      </c>
      <c r="D1822" s="1">
        <v>42786</v>
      </c>
      <c r="E1822" t="s">
        <v>2118</v>
      </c>
      <c r="F1822" t="s">
        <v>326</v>
      </c>
      <c r="G1822" t="s">
        <v>327</v>
      </c>
      <c r="H1822" t="s">
        <v>10</v>
      </c>
      <c r="I1822" t="s">
        <v>2117</v>
      </c>
      <c r="J1822" t="s">
        <v>2110</v>
      </c>
      <c r="K1822">
        <v>92.063999999999993</v>
      </c>
      <c r="L1822">
        <f t="shared" si="56"/>
        <v>9206.4</v>
      </c>
      <c r="M1822">
        <f t="shared" si="57"/>
        <v>1841.28</v>
      </c>
    </row>
    <row r="1823" spans="1:13" x14ac:dyDescent="0.3">
      <c r="A1823">
        <v>1822</v>
      </c>
      <c r="B1823" t="s">
        <v>1966</v>
      </c>
      <c r="C1823" s="1">
        <v>42782</v>
      </c>
      <c r="D1823" s="1">
        <v>42786</v>
      </c>
      <c r="E1823" t="s">
        <v>2118</v>
      </c>
      <c r="F1823" t="s">
        <v>326</v>
      </c>
      <c r="G1823" t="s">
        <v>327</v>
      </c>
      <c r="H1823" t="s">
        <v>10</v>
      </c>
      <c r="I1823" t="s">
        <v>2117</v>
      </c>
      <c r="J1823" t="s">
        <v>2110</v>
      </c>
      <c r="K1823">
        <v>6.976</v>
      </c>
      <c r="L1823">
        <f t="shared" si="56"/>
        <v>697.6</v>
      </c>
      <c r="M1823">
        <f t="shared" si="57"/>
        <v>139.52000000000001</v>
      </c>
    </row>
    <row r="1824" spans="1:13" x14ac:dyDescent="0.3">
      <c r="A1824">
        <v>1823</v>
      </c>
      <c r="B1824" t="s">
        <v>1966</v>
      </c>
      <c r="C1824" s="1">
        <v>42782</v>
      </c>
      <c r="D1824" s="1">
        <v>42786</v>
      </c>
      <c r="E1824" t="s">
        <v>2118</v>
      </c>
      <c r="F1824" t="s">
        <v>326</v>
      </c>
      <c r="G1824" t="s">
        <v>327</v>
      </c>
      <c r="H1824" t="s">
        <v>10</v>
      </c>
      <c r="I1824" t="s">
        <v>2117</v>
      </c>
      <c r="J1824" t="s">
        <v>2109</v>
      </c>
      <c r="K1824">
        <v>62.957999999999998</v>
      </c>
      <c r="L1824">
        <f t="shared" si="56"/>
        <v>6295.8</v>
      </c>
      <c r="M1824">
        <f t="shared" si="57"/>
        <v>1259.1600000000001</v>
      </c>
    </row>
    <row r="1825" spans="1:13" x14ac:dyDescent="0.3">
      <c r="A1825">
        <v>1824</v>
      </c>
      <c r="B1825" t="s">
        <v>1966</v>
      </c>
      <c r="C1825" s="1">
        <v>42782</v>
      </c>
      <c r="D1825" s="1">
        <v>42786</v>
      </c>
      <c r="E1825" t="s">
        <v>2118</v>
      </c>
      <c r="F1825" t="s">
        <v>326</v>
      </c>
      <c r="G1825" t="s">
        <v>327</v>
      </c>
      <c r="H1825" t="s">
        <v>10</v>
      </c>
      <c r="I1825" t="s">
        <v>2117</v>
      </c>
      <c r="J1825" t="s">
        <v>2110</v>
      </c>
      <c r="K1825">
        <v>5.1840000000000002</v>
      </c>
      <c r="L1825">
        <f t="shared" si="56"/>
        <v>518.4</v>
      </c>
      <c r="M1825">
        <f t="shared" si="57"/>
        <v>103.68</v>
      </c>
    </row>
    <row r="1826" spans="1:13" x14ac:dyDescent="0.3">
      <c r="A1826">
        <v>1825</v>
      </c>
      <c r="B1826" t="s">
        <v>1967</v>
      </c>
      <c r="C1826" s="1">
        <v>43091</v>
      </c>
      <c r="D1826" s="1">
        <v>43097</v>
      </c>
      <c r="E1826" t="s">
        <v>2118</v>
      </c>
      <c r="F1826" t="s">
        <v>617</v>
      </c>
      <c r="G1826" t="s">
        <v>618</v>
      </c>
      <c r="H1826" t="s">
        <v>6</v>
      </c>
      <c r="I1826" t="s">
        <v>2112</v>
      </c>
      <c r="J1826" t="s">
        <v>2110</v>
      </c>
      <c r="K1826">
        <v>31.32</v>
      </c>
      <c r="L1826">
        <f t="shared" si="56"/>
        <v>3132</v>
      </c>
      <c r="M1826">
        <f t="shared" si="57"/>
        <v>626.40000000000009</v>
      </c>
    </row>
    <row r="1827" spans="1:13" x14ac:dyDescent="0.3">
      <c r="A1827">
        <v>1826</v>
      </c>
      <c r="B1827" t="s">
        <v>1967</v>
      </c>
      <c r="C1827" s="1">
        <v>43091</v>
      </c>
      <c r="D1827" s="1">
        <v>43097</v>
      </c>
      <c r="E1827" t="s">
        <v>2118</v>
      </c>
      <c r="F1827" t="s">
        <v>617</v>
      </c>
      <c r="G1827" t="s">
        <v>618</v>
      </c>
      <c r="H1827" t="s">
        <v>6</v>
      </c>
      <c r="I1827" t="s">
        <v>2112</v>
      </c>
      <c r="J1827" t="s">
        <v>2109</v>
      </c>
      <c r="K1827">
        <v>11.84</v>
      </c>
      <c r="L1827">
        <f t="shared" si="56"/>
        <v>1184</v>
      </c>
      <c r="M1827">
        <f t="shared" si="57"/>
        <v>236.8</v>
      </c>
    </row>
    <row r="1828" spans="1:13" x14ac:dyDescent="0.3">
      <c r="A1828">
        <v>1827</v>
      </c>
      <c r="B1828" t="s">
        <v>1967</v>
      </c>
      <c r="C1828" s="1">
        <v>43091</v>
      </c>
      <c r="D1828" s="1">
        <v>43097</v>
      </c>
      <c r="E1828" t="s">
        <v>2118</v>
      </c>
      <c r="F1828" t="s">
        <v>617</v>
      </c>
      <c r="G1828" t="s">
        <v>618</v>
      </c>
      <c r="H1828" t="s">
        <v>6</v>
      </c>
      <c r="I1828" t="s">
        <v>2112</v>
      </c>
      <c r="J1828" t="s">
        <v>2109</v>
      </c>
      <c r="K1828">
        <v>22.783999999999999</v>
      </c>
      <c r="L1828">
        <f t="shared" si="56"/>
        <v>2278.4</v>
      </c>
      <c r="M1828">
        <f t="shared" si="57"/>
        <v>455.68000000000006</v>
      </c>
    </row>
    <row r="1829" spans="1:13" x14ac:dyDescent="0.3">
      <c r="A1829">
        <v>1828</v>
      </c>
      <c r="B1829" t="s">
        <v>1968</v>
      </c>
      <c r="C1829" s="1">
        <v>42774</v>
      </c>
      <c r="D1829" s="1">
        <v>42777</v>
      </c>
      <c r="E1829" t="s">
        <v>2119</v>
      </c>
      <c r="F1829" t="s">
        <v>1969</v>
      </c>
      <c r="G1829" t="s">
        <v>1970</v>
      </c>
      <c r="H1829" t="s">
        <v>26</v>
      </c>
      <c r="I1829" t="s">
        <v>2115</v>
      </c>
      <c r="J1829" t="s">
        <v>2111</v>
      </c>
      <c r="K1829">
        <v>1127.9760000000001</v>
      </c>
      <c r="L1829">
        <f t="shared" si="56"/>
        <v>112797.6</v>
      </c>
      <c r="M1829">
        <f t="shared" si="57"/>
        <v>22559.520000000004</v>
      </c>
    </row>
    <row r="1830" spans="1:13" x14ac:dyDescent="0.3">
      <c r="A1830">
        <v>1829</v>
      </c>
      <c r="B1830" t="s">
        <v>1971</v>
      </c>
      <c r="C1830" s="1">
        <v>42564</v>
      </c>
      <c r="D1830" s="1">
        <v>42566</v>
      </c>
      <c r="E1830" t="s">
        <v>2119</v>
      </c>
      <c r="F1830" t="s">
        <v>1972</v>
      </c>
      <c r="G1830" t="s">
        <v>1973</v>
      </c>
      <c r="H1830" t="s">
        <v>10</v>
      </c>
      <c r="I1830" t="s">
        <v>2115</v>
      </c>
      <c r="J1830" t="s">
        <v>2110</v>
      </c>
      <c r="K1830">
        <v>38.880000000000003</v>
      </c>
      <c r="L1830">
        <f t="shared" si="56"/>
        <v>3888.0000000000005</v>
      </c>
      <c r="M1830">
        <f t="shared" si="57"/>
        <v>777.60000000000014</v>
      </c>
    </row>
    <row r="1831" spans="1:13" x14ac:dyDescent="0.3">
      <c r="A1831">
        <v>1830</v>
      </c>
      <c r="B1831" t="s">
        <v>1974</v>
      </c>
      <c r="C1831" s="1">
        <v>42142</v>
      </c>
      <c r="D1831" s="1">
        <v>42148</v>
      </c>
      <c r="E1831" t="s">
        <v>2118</v>
      </c>
      <c r="F1831" t="s">
        <v>293</v>
      </c>
      <c r="G1831" t="s">
        <v>294</v>
      </c>
      <c r="H1831" t="s">
        <v>6</v>
      </c>
      <c r="I1831" t="s">
        <v>2114</v>
      </c>
      <c r="J1831" t="s">
        <v>2111</v>
      </c>
      <c r="K1831">
        <v>779.79600000000005</v>
      </c>
      <c r="L1831">
        <f t="shared" si="56"/>
        <v>77979.600000000006</v>
      </c>
      <c r="M1831">
        <f t="shared" si="57"/>
        <v>15595.920000000002</v>
      </c>
    </row>
    <row r="1832" spans="1:13" x14ac:dyDescent="0.3">
      <c r="A1832">
        <v>1831</v>
      </c>
      <c r="B1832" t="s">
        <v>1975</v>
      </c>
      <c r="C1832" s="1">
        <v>43394</v>
      </c>
      <c r="D1832" s="1">
        <v>43394</v>
      </c>
      <c r="E1832" t="s">
        <v>2120</v>
      </c>
      <c r="F1832" t="s">
        <v>1198</v>
      </c>
      <c r="G1832" t="s">
        <v>1199</v>
      </c>
      <c r="H1832" t="s">
        <v>26</v>
      </c>
      <c r="I1832" t="s">
        <v>2117</v>
      </c>
      <c r="J1832" t="s">
        <v>2111</v>
      </c>
      <c r="K1832">
        <v>1439.92</v>
      </c>
      <c r="L1832">
        <f t="shared" si="56"/>
        <v>143992</v>
      </c>
      <c r="M1832">
        <f t="shared" si="57"/>
        <v>28798.400000000001</v>
      </c>
    </row>
    <row r="1833" spans="1:13" x14ac:dyDescent="0.3">
      <c r="A1833">
        <v>1832</v>
      </c>
      <c r="B1833" t="s">
        <v>1975</v>
      </c>
      <c r="C1833" s="1">
        <v>43394</v>
      </c>
      <c r="D1833" s="1">
        <v>43394</v>
      </c>
      <c r="E1833" t="s">
        <v>2120</v>
      </c>
      <c r="F1833" t="s">
        <v>1198</v>
      </c>
      <c r="G1833" t="s">
        <v>1199</v>
      </c>
      <c r="H1833" t="s">
        <v>26</v>
      </c>
      <c r="I1833" t="s">
        <v>2117</v>
      </c>
      <c r="J1833" t="s">
        <v>2109</v>
      </c>
      <c r="K1833">
        <v>262.11</v>
      </c>
      <c r="L1833">
        <f t="shared" si="56"/>
        <v>26211</v>
      </c>
      <c r="M1833">
        <f t="shared" si="57"/>
        <v>5242.2000000000007</v>
      </c>
    </row>
    <row r="1834" spans="1:13" x14ac:dyDescent="0.3">
      <c r="A1834">
        <v>1833</v>
      </c>
      <c r="B1834" t="s">
        <v>1976</v>
      </c>
      <c r="C1834" s="1">
        <v>42679</v>
      </c>
      <c r="D1834" s="1">
        <v>42683</v>
      </c>
      <c r="E1834" t="s">
        <v>2118</v>
      </c>
      <c r="F1834" t="s">
        <v>1101</v>
      </c>
      <c r="G1834" t="s">
        <v>1102</v>
      </c>
      <c r="H1834" t="s">
        <v>10</v>
      </c>
      <c r="I1834" t="s">
        <v>2115</v>
      </c>
      <c r="J1834" t="s">
        <v>2109</v>
      </c>
      <c r="K1834">
        <v>207</v>
      </c>
      <c r="L1834">
        <f t="shared" si="56"/>
        <v>20700</v>
      </c>
      <c r="M1834">
        <f t="shared" si="57"/>
        <v>4140</v>
      </c>
    </row>
    <row r="1835" spans="1:13" x14ac:dyDescent="0.3">
      <c r="A1835">
        <v>1834</v>
      </c>
      <c r="B1835" t="s">
        <v>1977</v>
      </c>
      <c r="C1835" s="1">
        <v>43313</v>
      </c>
      <c r="D1835" s="1">
        <v>43319</v>
      </c>
      <c r="E1835" t="s">
        <v>2118</v>
      </c>
      <c r="F1835" t="s">
        <v>1528</v>
      </c>
      <c r="G1835" t="s">
        <v>1529</v>
      </c>
      <c r="H1835" t="s">
        <v>10</v>
      </c>
      <c r="I1835" t="s">
        <v>2117</v>
      </c>
      <c r="J1835" t="s">
        <v>2111</v>
      </c>
      <c r="K1835">
        <v>1439.982</v>
      </c>
      <c r="L1835">
        <f t="shared" si="56"/>
        <v>143998.20000000001</v>
      </c>
      <c r="M1835">
        <f t="shared" si="57"/>
        <v>28799.640000000003</v>
      </c>
    </row>
    <row r="1836" spans="1:13" x14ac:dyDescent="0.3">
      <c r="A1836">
        <v>1835</v>
      </c>
      <c r="B1836" t="s">
        <v>1977</v>
      </c>
      <c r="C1836" s="1">
        <v>43313</v>
      </c>
      <c r="D1836" s="1">
        <v>43319</v>
      </c>
      <c r="E1836" t="s">
        <v>2118</v>
      </c>
      <c r="F1836" t="s">
        <v>1528</v>
      </c>
      <c r="G1836" t="s">
        <v>1529</v>
      </c>
      <c r="H1836" t="s">
        <v>10</v>
      </c>
      <c r="I1836" t="s">
        <v>2117</v>
      </c>
      <c r="J1836" t="s">
        <v>2110</v>
      </c>
      <c r="K1836">
        <v>36.287999999999997</v>
      </c>
      <c r="L1836">
        <f t="shared" si="56"/>
        <v>3628.7999999999997</v>
      </c>
      <c r="M1836">
        <f t="shared" si="57"/>
        <v>725.76</v>
      </c>
    </row>
    <row r="1837" spans="1:13" x14ac:dyDescent="0.3">
      <c r="A1837">
        <v>1836</v>
      </c>
      <c r="B1837" t="s">
        <v>1978</v>
      </c>
      <c r="C1837" s="1">
        <v>42176</v>
      </c>
      <c r="D1837" s="1">
        <v>42179</v>
      </c>
      <c r="E1837" t="s">
        <v>2120</v>
      </c>
      <c r="F1837" t="s">
        <v>1914</v>
      </c>
      <c r="G1837" t="s">
        <v>1915</v>
      </c>
      <c r="H1837" t="s">
        <v>6</v>
      </c>
      <c r="I1837" t="s">
        <v>2114</v>
      </c>
      <c r="J1837" t="s">
        <v>2110</v>
      </c>
      <c r="K1837">
        <v>21.4</v>
      </c>
      <c r="L1837">
        <f t="shared" si="56"/>
        <v>2140</v>
      </c>
      <c r="M1837">
        <f t="shared" si="57"/>
        <v>428</v>
      </c>
    </row>
    <row r="1838" spans="1:13" x14ac:dyDescent="0.3">
      <c r="A1838">
        <v>1837</v>
      </c>
      <c r="B1838" t="s">
        <v>1979</v>
      </c>
      <c r="C1838" s="1">
        <v>43150</v>
      </c>
      <c r="D1838" s="1">
        <v>43152</v>
      </c>
      <c r="E1838" t="s">
        <v>2119</v>
      </c>
      <c r="F1838" t="s">
        <v>1632</v>
      </c>
      <c r="G1838" t="s">
        <v>1633</v>
      </c>
      <c r="H1838" t="s">
        <v>10</v>
      </c>
      <c r="I1838" t="s">
        <v>2115</v>
      </c>
      <c r="J1838" t="s">
        <v>2110</v>
      </c>
      <c r="K1838">
        <v>1245.8599999999999</v>
      </c>
      <c r="L1838">
        <f t="shared" si="56"/>
        <v>124585.99999999999</v>
      </c>
      <c r="M1838">
        <f t="shared" si="57"/>
        <v>24917.199999999997</v>
      </c>
    </row>
    <row r="1839" spans="1:13" x14ac:dyDescent="0.3">
      <c r="A1839">
        <v>1838</v>
      </c>
      <c r="B1839" t="s">
        <v>1980</v>
      </c>
      <c r="C1839" s="1">
        <v>42217</v>
      </c>
      <c r="D1839" s="1">
        <v>42221</v>
      </c>
      <c r="E1839" t="s">
        <v>2118</v>
      </c>
      <c r="F1839" t="s">
        <v>1981</v>
      </c>
      <c r="G1839" t="s">
        <v>1982</v>
      </c>
      <c r="H1839" t="s">
        <v>10</v>
      </c>
      <c r="I1839" t="s">
        <v>2115</v>
      </c>
      <c r="J1839" t="s">
        <v>2110</v>
      </c>
      <c r="K1839">
        <v>17.544</v>
      </c>
      <c r="L1839">
        <f t="shared" si="56"/>
        <v>1754.4</v>
      </c>
      <c r="M1839">
        <f t="shared" si="57"/>
        <v>350.88000000000005</v>
      </c>
    </row>
    <row r="1840" spans="1:13" x14ac:dyDescent="0.3">
      <c r="A1840">
        <v>1839</v>
      </c>
      <c r="B1840" t="s">
        <v>1980</v>
      </c>
      <c r="C1840" s="1">
        <v>42217</v>
      </c>
      <c r="D1840" s="1">
        <v>42221</v>
      </c>
      <c r="E1840" t="s">
        <v>2118</v>
      </c>
      <c r="F1840" t="s">
        <v>1981</v>
      </c>
      <c r="G1840" t="s">
        <v>1982</v>
      </c>
      <c r="H1840" t="s">
        <v>10</v>
      </c>
      <c r="I1840" t="s">
        <v>2115</v>
      </c>
      <c r="J1840" t="s">
        <v>2109</v>
      </c>
      <c r="K1840">
        <v>44.128</v>
      </c>
      <c r="L1840">
        <f t="shared" si="56"/>
        <v>4412.8</v>
      </c>
      <c r="M1840">
        <f t="shared" si="57"/>
        <v>882.56000000000006</v>
      </c>
    </row>
    <row r="1841" spans="1:13" x14ac:dyDescent="0.3">
      <c r="A1841">
        <v>1840</v>
      </c>
      <c r="B1841" t="s">
        <v>1980</v>
      </c>
      <c r="C1841" s="1">
        <v>42217</v>
      </c>
      <c r="D1841" s="1">
        <v>42221</v>
      </c>
      <c r="E1841" t="s">
        <v>2118</v>
      </c>
      <c r="F1841" t="s">
        <v>1981</v>
      </c>
      <c r="G1841" t="s">
        <v>1982</v>
      </c>
      <c r="H1841" t="s">
        <v>10</v>
      </c>
      <c r="I1841" t="s">
        <v>2115</v>
      </c>
      <c r="J1841" t="s">
        <v>2110</v>
      </c>
      <c r="K1841">
        <v>62.92</v>
      </c>
      <c r="L1841">
        <f t="shared" si="56"/>
        <v>6292</v>
      </c>
      <c r="M1841">
        <f t="shared" si="57"/>
        <v>1258.4000000000001</v>
      </c>
    </row>
    <row r="1842" spans="1:13" x14ac:dyDescent="0.3">
      <c r="A1842">
        <v>1841</v>
      </c>
      <c r="B1842" t="s">
        <v>1980</v>
      </c>
      <c r="C1842" s="1">
        <v>42217</v>
      </c>
      <c r="D1842" s="1">
        <v>42221</v>
      </c>
      <c r="E1842" t="s">
        <v>2118</v>
      </c>
      <c r="F1842" t="s">
        <v>1981</v>
      </c>
      <c r="G1842" t="s">
        <v>1982</v>
      </c>
      <c r="H1842" t="s">
        <v>10</v>
      </c>
      <c r="I1842" t="s">
        <v>2115</v>
      </c>
      <c r="J1842" t="s">
        <v>2110</v>
      </c>
      <c r="K1842">
        <v>78.304000000000002</v>
      </c>
      <c r="L1842">
        <f t="shared" si="56"/>
        <v>7830.4000000000005</v>
      </c>
      <c r="M1842">
        <f t="shared" si="57"/>
        <v>1566.0800000000002</v>
      </c>
    </row>
    <row r="1843" spans="1:13" x14ac:dyDescent="0.3">
      <c r="A1843">
        <v>1842</v>
      </c>
      <c r="B1843" t="s">
        <v>1983</v>
      </c>
      <c r="C1843" s="1">
        <v>42934</v>
      </c>
      <c r="D1843" s="1">
        <v>42939</v>
      </c>
      <c r="E1843" t="s">
        <v>2118</v>
      </c>
      <c r="F1843" t="s">
        <v>1984</v>
      </c>
      <c r="G1843" t="s">
        <v>1985</v>
      </c>
      <c r="H1843" t="s">
        <v>10</v>
      </c>
      <c r="I1843" t="s">
        <v>2115</v>
      </c>
      <c r="J1843" t="s">
        <v>2109</v>
      </c>
      <c r="K1843">
        <v>140.81</v>
      </c>
      <c r="L1843">
        <f t="shared" si="56"/>
        <v>14081</v>
      </c>
      <c r="M1843">
        <f t="shared" si="57"/>
        <v>2816.2000000000003</v>
      </c>
    </row>
    <row r="1844" spans="1:13" x14ac:dyDescent="0.3">
      <c r="A1844">
        <v>1843</v>
      </c>
      <c r="B1844" t="s">
        <v>1986</v>
      </c>
      <c r="C1844" s="1">
        <v>42409</v>
      </c>
      <c r="D1844" s="1">
        <v>42411</v>
      </c>
      <c r="E1844" t="s">
        <v>2119</v>
      </c>
      <c r="F1844" t="s">
        <v>424</v>
      </c>
      <c r="G1844" t="s">
        <v>425</v>
      </c>
      <c r="H1844" t="s">
        <v>10</v>
      </c>
      <c r="I1844" t="s">
        <v>2117</v>
      </c>
      <c r="J1844" t="s">
        <v>2110</v>
      </c>
      <c r="K1844">
        <v>40.095999999999997</v>
      </c>
      <c r="L1844">
        <f t="shared" si="56"/>
        <v>4009.5999999999995</v>
      </c>
      <c r="M1844">
        <f t="shared" si="57"/>
        <v>801.92</v>
      </c>
    </row>
    <row r="1845" spans="1:13" x14ac:dyDescent="0.3">
      <c r="A1845">
        <v>1844</v>
      </c>
      <c r="B1845" t="s">
        <v>1986</v>
      </c>
      <c r="C1845" s="1">
        <v>42409</v>
      </c>
      <c r="D1845" s="1">
        <v>42411</v>
      </c>
      <c r="E1845" t="s">
        <v>2119</v>
      </c>
      <c r="F1845" t="s">
        <v>424</v>
      </c>
      <c r="G1845" t="s">
        <v>425</v>
      </c>
      <c r="H1845" t="s">
        <v>10</v>
      </c>
      <c r="I1845" t="s">
        <v>2117</v>
      </c>
      <c r="J1845" t="s">
        <v>2109</v>
      </c>
      <c r="K1845">
        <v>40.783999999999999</v>
      </c>
      <c r="L1845">
        <f t="shared" si="56"/>
        <v>4078.4</v>
      </c>
      <c r="M1845">
        <f t="shared" si="57"/>
        <v>815.68000000000006</v>
      </c>
    </row>
    <row r="1846" spans="1:13" x14ac:dyDescent="0.3">
      <c r="A1846">
        <v>1845</v>
      </c>
      <c r="B1846" t="s">
        <v>1987</v>
      </c>
      <c r="C1846" s="1">
        <v>43310</v>
      </c>
      <c r="D1846" s="1">
        <v>43314</v>
      </c>
      <c r="E1846" t="s">
        <v>2118</v>
      </c>
      <c r="F1846" t="s">
        <v>1988</v>
      </c>
      <c r="G1846" t="s">
        <v>1989</v>
      </c>
      <c r="H1846" t="s">
        <v>6</v>
      </c>
      <c r="I1846" t="s">
        <v>2112</v>
      </c>
      <c r="J1846" t="s">
        <v>2111</v>
      </c>
      <c r="K1846">
        <v>90.57</v>
      </c>
      <c r="L1846">
        <f t="shared" si="56"/>
        <v>9057</v>
      </c>
      <c r="M1846">
        <f t="shared" si="57"/>
        <v>1811.4</v>
      </c>
    </row>
    <row r="1847" spans="1:13" x14ac:dyDescent="0.3">
      <c r="A1847">
        <v>1846</v>
      </c>
      <c r="B1847" t="s">
        <v>1990</v>
      </c>
      <c r="C1847" s="1">
        <v>43112</v>
      </c>
      <c r="D1847" s="1">
        <v>43117</v>
      </c>
      <c r="E1847" t="s">
        <v>2119</v>
      </c>
      <c r="F1847" t="s">
        <v>1904</v>
      </c>
      <c r="G1847" t="s">
        <v>1905</v>
      </c>
      <c r="H1847" t="s">
        <v>26</v>
      </c>
      <c r="I1847" t="s">
        <v>2114</v>
      </c>
      <c r="J1847" t="s">
        <v>2110</v>
      </c>
      <c r="K1847">
        <v>40.08</v>
      </c>
      <c r="L1847">
        <f t="shared" si="56"/>
        <v>4008</v>
      </c>
      <c r="M1847">
        <f t="shared" si="57"/>
        <v>801.6</v>
      </c>
    </row>
    <row r="1848" spans="1:13" x14ac:dyDescent="0.3">
      <c r="A1848">
        <v>1847</v>
      </c>
      <c r="B1848" t="s">
        <v>1990</v>
      </c>
      <c r="C1848" s="1">
        <v>43112</v>
      </c>
      <c r="D1848" s="1">
        <v>43117</v>
      </c>
      <c r="E1848" t="s">
        <v>2119</v>
      </c>
      <c r="F1848" t="s">
        <v>1904</v>
      </c>
      <c r="G1848" t="s">
        <v>1905</v>
      </c>
      <c r="H1848" t="s">
        <v>26</v>
      </c>
      <c r="I1848" t="s">
        <v>2114</v>
      </c>
      <c r="J1848" t="s">
        <v>2109</v>
      </c>
      <c r="K1848">
        <v>37.68</v>
      </c>
      <c r="L1848">
        <f t="shared" si="56"/>
        <v>3768</v>
      </c>
      <c r="M1848">
        <f t="shared" si="57"/>
        <v>753.6</v>
      </c>
    </row>
    <row r="1849" spans="1:13" x14ac:dyDescent="0.3">
      <c r="A1849">
        <v>1848</v>
      </c>
      <c r="B1849" t="s">
        <v>1991</v>
      </c>
      <c r="C1849" s="1">
        <v>43353</v>
      </c>
      <c r="D1849" s="1">
        <v>43353</v>
      </c>
      <c r="E1849" t="s">
        <v>2120</v>
      </c>
      <c r="F1849" t="s">
        <v>1339</v>
      </c>
      <c r="G1849" t="s">
        <v>1340</v>
      </c>
      <c r="H1849" t="s">
        <v>10</v>
      </c>
      <c r="I1849" t="s">
        <v>2112</v>
      </c>
      <c r="J1849" t="s">
        <v>2109</v>
      </c>
      <c r="K1849">
        <v>362.35199999999998</v>
      </c>
      <c r="L1849">
        <f t="shared" si="56"/>
        <v>36235.199999999997</v>
      </c>
      <c r="M1849">
        <f t="shared" si="57"/>
        <v>7247.04</v>
      </c>
    </row>
    <row r="1850" spans="1:13" x14ac:dyDescent="0.3">
      <c r="A1850">
        <v>1849</v>
      </c>
      <c r="B1850" t="s">
        <v>1991</v>
      </c>
      <c r="C1850" s="1">
        <v>43353</v>
      </c>
      <c r="D1850" s="1">
        <v>43353</v>
      </c>
      <c r="E1850" t="s">
        <v>2120</v>
      </c>
      <c r="F1850" t="s">
        <v>1339</v>
      </c>
      <c r="G1850" t="s">
        <v>1340</v>
      </c>
      <c r="H1850" t="s">
        <v>10</v>
      </c>
      <c r="I1850" t="s">
        <v>2112</v>
      </c>
      <c r="J1850" t="s">
        <v>2110</v>
      </c>
      <c r="K1850">
        <v>7.1840000000000002</v>
      </c>
      <c r="L1850">
        <f t="shared" si="56"/>
        <v>718.4</v>
      </c>
      <c r="M1850">
        <f t="shared" si="57"/>
        <v>143.68</v>
      </c>
    </row>
    <row r="1851" spans="1:13" x14ac:dyDescent="0.3">
      <c r="A1851">
        <v>1850</v>
      </c>
      <c r="B1851" t="s">
        <v>1992</v>
      </c>
      <c r="C1851" s="1">
        <v>42571</v>
      </c>
      <c r="D1851" s="1">
        <v>42576</v>
      </c>
      <c r="E1851" t="s">
        <v>2119</v>
      </c>
      <c r="F1851" t="s">
        <v>1136</v>
      </c>
      <c r="G1851" t="s">
        <v>1137</v>
      </c>
      <c r="H1851" t="s">
        <v>6</v>
      </c>
      <c r="I1851" t="s">
        <v>2117</v>
      </c>
      <c r="J1851" t="s">
        <v>2110</v>
      </c>
      <c r="K1851">
        <v>34.76</v>
      </c>
      <c r="L1851">
        <f t="shared" si="56"/>
        <v>3476</v>
      </c>
      <c r="M1851">
        <f t="shared" si="57"/>
        <v>695.2</v>
      </c>
    </row>
    <row r="1852" spans="1:13" x14ac:dyDescent="0.3">
      <c r="A1852">
        <v>1851</v>
      </c>
      <c r="B1852" t="s">
        <v>1992</v>
      </c>
      <c r="C1852" s="1">
        <v>42571</v>
      </c>
      <c r="D1852" s="1">
        <v>42576</v>
      </c>
      <c r="E1852" t="s">
        <v>2119</v>
      </c>
      <c r="F1852" t="s">
        <v>1136</v>
      </c>
      <c r="G1852" t="s">
        <v>1137</v>
      </c>
      <c r="H1852" t="s">
        <v>6</v>
      </c>
      <c r="I1852" t="s">
        <v>2117</v>
      </c>
      <c r="J1852" t="s">
        <v>2111</v>
      </c>
      <c r="K1852">
        <v>831.2</v>
      </c>
      <c r="L1852">
        <f t="shared" si="56"/>
        <v>83120</v>
      </c>
      <c r="M1852">
        <f t="shared" si="57"/>
        <v>16624</v>
      </c>
    </row>
    <row r="1853" spans="1:13" x14ac:dyDescent="0.3">
      <c r="A1853">
        <v>1852</v>
      </c>
      <c r="B1853" t="s">
        <v>1992</v>
      </c>
      <c r="C1853" s="1">
        <v>42571</v>
      </c>
      <c r="D1853" s="1">
        <v>42576</v>
      </c>
      <c r="E1853" t="s">
        <v>2119</v>
      </c>
      <c r="F1853" t="s">
        <v>1136</v>
      </c>
      <c r="G1853" t="s">
        <v>1137</v>
      </c>
      <c r="H1853" t="s">
        <v>6</v>
      </c>
      <c r="I1853" t="s">
        <v>2117</v>
      </c>
      <c r="J1853" t="s">
        <v>2110</v>
      </c>
      <c r="K1853">
        <v>26.4</v>
      </c>
      <c r="L1853">
        <f t="shared" si="56"/>
        <v>2640</v>
      </c>
      <c r="M1853">
        <f t="shared" si="57"/>
        <v>528</v>
      </c>
    </row>
    <row r="1854" spans="1:13" x14ac:dyDescent="0.3">
      <c r="A1854">
        <v>1853</v>
      </c>
      <c r="B1854" t="s">
        <v>1992</v>
      </c>
      <c r="C1854" s="1">
        <v>42571</v>
      </c>
      <c r="D1854" s="1">
        <v>42576</v>
      </c>
      <c r="E1854" t="s">
        <v>2119</v>
      </c>
      <c r="F1854" t="s">
        <v>1136</v>
      </c>
      <c r="G1854" t="s">
        <v>1137</v>
      </c>
      <c r="H1854" t="s">
        <v>6</v>
      </c>
      <c r="I1854" t="s">
        <v>2117</v>
      </c>
      <c r="J1854" t="s">
        <v>2110</v>
      </c>
      <c r="K1854">
        <v>106.75</v>
      </c>
      <c r="L1854">
        <f t="shared" si="56"/>
        <v>10675</v>
      </c>
      <c r="M1854">
        <f t="shared" si="57"/>
        <v>2135</v>
      </c>
    </row>
    <row r="1855" spans="1:13" x14ac:dyDescent="0.3">
      <c r="A1855">
        <v>1854</v>
      </c>
      <c r="B1855" t="s">
        <v>1992</v>
      </c>
      <c r="C1855" s="1">
        <v>42571</v>
      </c>
      <c r="D1855" s="1">
        <v>42576</v>
      </c>
      <c r="E1855" t="s">
        <v>2119</v>
      </c>
      <c r="F1855" t="s">
        <v>1136</v>
      </c>
      <c r="G1855" t="s">
        <v>1137</v>
      </c>
      <c r="H1855" t="s">
        <v>6</v>
      </c>
      <c r="I1855" t="s">
        <v>2117</v>
      </c>
      <c r="J1855" t="s">
        <v>2110</v>
      </c>
      <c r="K1855">
        <v>97.82</v>
      </c>
      <c r="L1855">
        <f t="shared" si="56"/>
        <v>9782</v>
      </c>
      <c r="M1855">
        <f t="shared" si="57"/>
        <v>1956.4</v>
      </c>
    </row>
    <row r="1856" spans="1:13" x14ac:dyDescent="0.3">
      <c r="A1856">
        <v>1855</v>
      </c>
      <c r="B1856" t="s">
        <v>1992</v>
      </c>
      <c r="C1856" s="1">
        <v>42571</v>
      </c>
      <c r="D1856" s="1">
        <v>42576</v>
      </c>
      <c r="E1856" t="s">
        <v>2119</v>
      </c>
      <c r="F1856" t="s">
        <v>1136</v>
      </c>
      <c r="G1856" t="s">
        <v>1137</v>
      </c>
      <c r="H1856" t="s">
        <v>6</v>
      </c>
      <c r="I1856" t="s">
        <v>2117</v>
      </c>
      <c r="J1856" t="s">
        <v>2110</v>
      </c>
      <c r="K1856">
        <v>141.4</v>
      </c>
      <c r="L1856">
        <f t="shared" si="56"/>
        <v>14140</v>
      </c>
      <c r="M1856">
        <f t="shared" si="57"/>
        <v>2828</v>
      </c>
    </row>
    <row r="1857" spans="1:13" x14ac:dyDescent="0.3">
      <c r="A1857">
        <v>1856</v>
      </c>
      <c r="B1857" t="s">
        <v>1993</v>
      </c>
      <c r="C1857" s="1">
        <v>42168</v>
      </c>
      <c r="D1857" s="1">
        <v>42172</v>
      </c>
      <c r="E1857" t="s">
        <v>2118</v>
      </c>
      <c r="F1857" t="s">
        <v>1890</v>
      </c>
      <c r="G1857" t="s">
        <v>1891</v>
      </c>
      <c r="H1857" t="s">
        <v>10</v>
      </c>
      <c r="I1857" t="s">
        <v>2112</v>
      </c>
      <c r="J1857" t="s">
        <v>2110</v>
      </c>
      <c r="K1857">
        <v>14.52</v>
      </c>
      <c r="L1857">
        <f t="shared" si="56"/>
        <v>1452</v>
      </c>
      <c r="M1857">
        <f t="shared" si="57"/>
        <v>290.40000000000003</v>
      </c>
    </row>
    <row r="1858" spans="1:13" x14ac:dyDescent="0.3">
      <c r="A1858">
        <v>1857</v>
      </c>
      <c r="B1858" t="s">
        <v>1994</v>
      </c>
      <c r="C1858" s="1">
        <v>43232</v>
      </c>
      <c r="D1858" s="1">
        <v>43235</v>
      </c>
      <c r="E1858" t="s">
        <v>2119</v>
      </c>
      <c r="F1858" t="s">
        <v>442</v>
      </c>
      <c r="G1858" t="s">
        <v>443</v>
      </c>
      <c r="H1858" t="s">
        <v>10</v>
      </c>
      <c r="I1858" t="s">
        <v>2117</v>
      </c>
      <c r="J1858" t="s">
        <v>2110</v>
      </c>
      <c r="K1858">
        <v>127.92</v>
      </c>
      <c r="L1858">
        <f t="shared" ref="L1858:L1921" si="58">K1858*100</f>
        <v>12792</v>
      </c>
      <c r="M1858">
        <f t="shared" si="57"/>
        <v>2558.4</v>
      </c>
    </row>
    <row r="1859" spans="1:13" x14ac:dyDescent="0.3">
      <c r="A1859">
        <v>1858</v>
      </c>
      <c r="B1859" t="s">
        <v>1994</v>
      </c>
      <c r="C1859" s="1">
        <v>43232</v>
      </c>
      <c r="D1859" s="1">
        <v>43235</v>
      </c>
      <c r="E1859" t="s">
        <v>2119</v>
      </c>
      <c r="F1859" t="s">
        <v>442</v>
      </c>
      <c r="G1859" t="s">
        <v>443</v>
      </c>
      <c r="H1859" t="s">
        <v>10</v>
      </c>
      <c r="I1859" t="s">
        <v>2117</v>
      </c>
      <c r="J1859" t="s">
        <v>2110</v>
      </c>
      <c r="K1859">
        <v>34.24</v>
      </c>
      <c r="L1859">
        <f t="shared" si="58"/>
        <v>3424</v>
      </c>
      <c r="M1859">
        <f t="shared" ref="M1859:M1922" si="59">L1859*0.2</f>
        <v>684.80000000000007</v>
      </c>
    </row>
    <row r="1860" spans="1:13" x14ac:dyDescent="0.3">
      <c r="A1860">
        <v>1859</v>
      </c>
      <c r="B1860" t="s">
        <v>1995</v>
      </c>
      <c r="C1860" s="1">
        <v>42616</v>
      </c>
      <c r="D1860" s="1">
        <v>42618</v>
      </c>
      <c r="E1860" t="s">
        <v>2120</v>
      </c>
      <c r="F1860" t="s">
        <v>250</v>
      </c>
      <c r="G1860" t="s">
        <v>251</v>
      </c>
      <c r="H1860" t="s">
        <v>10</v>
      </c>
      <c r="I1860" t="s">
        <v>2114</v>
      </c>
      <c r="J1860" t="s">
        <v>2110</v>
      </c>
      <c r="K1860">
        <v>137.62</v>
      </c>
      <c r="L1860">
        <f t="shared" si="58"/>
        <v>13762</v>
      </c>
      <c r="M1860">
        <f t="shared" si="59"/>
        <v>2752.4</v>
      </c>
    </row>
    <row r="1861" spans="1:13" x14ac:dyDescent="0.3">
      <c r="A1861">
        <v>1860</v>
      </c>
      <c r="B1861" t="s">
        <v>1995</v>
      </c>
      <c r="C1861" s="1">
        <v>42616</v>
      </c>
      <c r="D1861" s="1">
        <v>42618</v>
      </c>
      <c r="E1861" t="s">
        <v>2120</v>
      </c>
      <c r="F1861" t="s">
        <v>250</v>
      </c>
      <c r="G1861" t="s">
        <v>251</v>
      </c>
      <c r="H1861" t="s">
        <v>10</v>
      </c>
      <c r="I1861" t="s">
        <v>2114</v>
      </c>
      <c r="J1861" t="s">
        <v>2111</v>
      </c>
      <c r="K1861">
        <v>100.49</v>
      </c>
      <c r="L1861">
        <f t="shared" si="58"/>
        <v>10049</v>
      </c>
      <c r="M1861">
        <f t="shared" si="59"/>
        <v>2009.8000000000002</v>
      </c>
    </row>
    <row r="1862" spans="1:13" x14ac:dyDescent="0.3">
      <c r="A1862">
        <v>1861</v>
      </c>
      <c r="B1862" t="s">
        <v>1996</v>
      </c>
      <c r="C1862" s="1">
        <v>43185</v>
      </c>
      <c r="D1862" s="1">
        <v>43186</v>
      </c>
      <c r="E1862" t="s">
        <v>2120</v>
      </c>
      <c r="F1862" t="s">
        <v>995</v>
      </c>
      <c r="G1862" t="s">
        <v>996</v>
      </c>
      <c r="H1862" t="s">
        <v>6</v>
      </c>
      <c r="I1862" t="s">
        <v>2114</v>
      </c>
      <c r="J1862" t="s">
        <v>2109</v>
      </c>
      <c r="K1862">
        <v>257.56799999999998</v>
      </c>
      <c r="L1862">
        <f t="shared" si="58"/>
        <v>25756.799999999999</v>
      </c>
      <c r="M1862">
        <f t="shared" si="59"/>
        <v>5151.3600000000006</v>
      </c>
    </row>
    <row r="1863" spans="1:13" x14ac:dyDescent="0.3">
      <c r="A1863">
        <v>1862</v>
      </c>
      <c r="B1863" t="s">
        <v>1996</v>
      </c>
      <c r="C1863" s="1">
        <v>43185</v>
      </c>
      <c r="D1863" s="1">
        <v>43186</v>
      </c>
      <c r="E1863" t="s">
        <v>2120</v>
      </c>
      <c r="F1863" t="s">
        <v>995</v>
      </c>
      <c r="G1863" t="s">
        <v>996</v>
      </c>
      <c r="H1863" t="s">
        <v>6</v>
      </c>
      <c r="I1863" t="s">
        <v>2114</v>
      </c>
      <c r="J1863" t="s">
        <v>2111</v>
      </c>
      <c r="K1863">
        <v>119.96</v>
      </c>
      <c r="L1863">
        <f t="shared" si="58"/>
        <v>11996</v>
      </c>
      <c r="M1863">
        <f t="shared" si="59"/>
        <v>2399.2000000000003</v>
      </c>
    </row>
    <row r="1864" spans="1:13" x14ac:dyDescent="0.3">
      <c r="A1864">
        <v>1863</v>
      </c>
      <c r="B1864" t="s">
        <v>1997</v>
      </c>
      <c r="C1864" s="1">
        <v>42320</v>
      </c>
      <c r="D1864" s="1">
        <v>42320</v>
      </c>
      <c r="E1864" t="s">
        <v>2120</v>
      </c>
      <c r="F1864" t="s">
        <v>526</v>
      </c>
      <c r="G1864" t="s">
        <v>527</v>
      </c>
      <c r="H1864" t="s">
        <v>6</v>
      </c>
      <c r="I1864" t="s">
        <v>2117</v>
      </c>
      <c r="J1864" t="s">
        <v>2110</v>
      </c>
      <c r="K1864">
        <v>49.631999999999998</v>
      </c>
      <c r="L1864">
        <f t="shared" si="58"/>
        <v>4963.2</v>
      </c>
      <c r="M1864">
        <f t="shared" si="59"/>
        <v>992.64</v>
      </c>
    </row>
    <row r="1865" spans="1:13" x14ac:dyDescent="0.3">
      <c r="A1865">
        <v>1864</v>
      </c>
      <c r="B1865" t="s">
        <v>1998</v>
      </c>
      <c r="C1865" s="1">
        <v>43021</v>
      </c>
      <c r="D1865" s="1">
        <v>43025</v>
      </c>
      <c r="E1865" t="s">
        <v>2118</v>
      </c>
      <c r="F1865" t="s">
        <v>1999</v>
      </c>
      <c r="G1865" t="s">
        <v>2000</v>
      </c>
      <c r="H1865" t="s">
        <v>10</v>
      </c>
      <c r="I1865" t="s">
        <v>2112</v>
      </c>
      <c r="J1865" t="s">
        <v>2109</v>
      </c>
      <c r="K1865">
        <v>727.45</v>
      </c>
      <c r="L1865">
        <f t="shared" si="58"/>
        <v>72745</v>
      </c>
      <c r="M1865">
        <f t="shared" si="59"/>
        <v>14549</v>
      </c>
    </row>
    <row r="1866" spans="1:13" x14ac:dyDescent="0.3">
      <c r="A1866">
        <v>1865</v>
      </c>
      <c r="B1866" t="s">
        <v>1998</v>
      </c>
      <c r="C1866" s="1">
        <v>43021</v>
      </c>
      <c r="D1866" s="1">
        <v>43025</v>
      </c>
      <c r="E1866" t="s">
        <v>2118</v>
      </c>
      <c r="F1866" t="s">
        <v>1999</v>
      </c>
      <c r="G1866" t="s">
        <v>2000</v>
      </c>
      <c r="H1866" t="s">
        <v>10</v>
      </c>
      <c r="I1866" t="s">
        <v>2112</v>
      </c>
      <c r="J1866" t="s">
        <v>2109</v>
      </c>
      <c r="K1866">
        <v>24.96</v>
      </c>
      <c r="L1866">
        <f t="shared" si="58"/>
        <v>2496</v>
      </c>
      <c r="M1866">
        <f t="shared" si="59"/>
        <v>499.20000000000005</v>
      </c>
    </row>
    <row r="1867" spans="1:13" x14ac:dyDescent="0.3">
      <c r="A1867">
        <v>1866</v>
      </c>
      <c r="B1867" t="s">
        <v>2001</v>
      </c>
      <c r="C1867" s="1">
        <v>43416</v>
      </c>
      <c r="D1867" s="1">
        <v>43416</v>
      </c>
      <c r="E1867" t="s">
        <v>2120</v>
      </c>
      <c r="F1867" t="s">
        <v>778</v>
      </c>
      <c r="G1867" t="s">
        <v>779</v>
      </c>
      <c r="H1867" t="s">
        <v>10</v>
      </c>
      <c r="I1867" t="s">
        <v>2114</v>
      </c>
      <c r="J1867" t="s">
        <v>2111</v>
      </c>
      <c r="K1867">
        <v>370.78199999999998</v>
      </c>
      <c r="L1867">
        <f t="shared" si="58"/>
        <v>37078.199999999997</v>
      </c>
      <c r="M1867">
        <f t="shared" si="59"/>
        <v>7415.6399999999994</v>
      </c>
    </row>
    <row r="1868" spans="1:13" x14ac:dyDescent="0.3">
      <c r="A1868">
        <v>1867</v>
      </c>
      <c r="B1868" t="s">
        <v>2002</v>
      </c>
      <c r="C1868" s="1">
        <v>43205</v>
      </c>
      <c r="D1868" s="1">
        <v>43208</v>
      </c>
      <c r="E1868" t="s">
        <v>2120</v>
      </c>
      <c r="F1868" t="s">
        <v>1126</v>
      </c>
      <c r="G1868" t="s">
        <v>1127</v>
      </c>
      <c r="H1868" t="s">
        <v>10</v>
      </c>
      <c r="I1868" t="s">
        <v>2112</v>
      </c>
      <c r="J1868" t="s">
        <v>2109</v>
      </c>
      <c r="K1868">
        <v>196.45</v>
      </c>
      <c r="L1868">
        <f t="shared" si="58"/>
        <v>19645</v>
      </c>
      <c r="M1868">
        <f t="shared" si="59"/>
        <v>3929</v>
      </c>
    </row>
    <row r="1869" spans="1:13" x14ac:dyDescent="0.3">
      <c r="A1869">
        <v>1868</v>
      </c>
      <c r="B1869" t="s">
        <v>2003</v>
      </c>
      <c r="C1869" s="1">
        <v>42546</v>
      </c>
      <c r="D1869" s="1">
        <v>42552</v>
      </c>
      <c r="E1869" t="s">
        <v>2118</v>
      </c>
      <c r="F1869" t="s">
        <v>1969</v>
      </c>
      <c r="G1869" t="s">
        <v>1970</v>
      </c>
      <c r="H1869" t="s">
        <v>26</v>
      </c>
      <c r="I1869" t="s">
        <v>2114</v>
      </c>
      <c r="J1869" t="s">
        <v>2110</v>
      </c>
      <c r="K1869">
        <v>31.103999999999999</v>
      </c>
      <c r="L1869">
        <f t="shared" si="58"/>
        <v>3110.4</v>
      </c>
      <c r="M1869">
        <f t="shared" si="59"/>
        <v>622.08000000000004</v>
      </c>
    </row>
    <row r="1870" spans="1:13" x14ac:dyDescent="0.3">
      <c r="A1870">
        <v>1869</v>
      </c>
      <c r="B1870" t="s">
        <v>2003</v>
      </c>
      <c r="C1870" s="1">
        <v>42546</v>
      </c>
      <c r="D1870" s="1">
        <v>42552</v>
      </c>
      <c r="E1870" t="s">
        <v>2118</v>
      </c>
      <c r="F1870" t="s">
        <v>1969</v>
      </c>
      <c r="G1870" t="s">
        <v>1970</v>
      </c>
      <c r="H1870" t="s">
        <v>26</v>
      </c>
      <c r="I1870" t="s">
        <v>2114</v>
      </c>
      <c r="J1870" t="s">
        <v>2110</v>
      </c>
      <c r="K1870">
        <v>78.256</v>
      </c>
      <c r="L1870">
        <f t="shared" si="58"/>
        <v>7825.6</v>
      </c>
      <c r="M1870">
        <f t="shared" si="59"/>
        <v>1565.1200000000001</v>
      </c>
    </row>
    <row r="1871" spans="1:13" x14ac:dyDescent="0.3">
      <c r="A1871">
        <v>1870</v>
      </c>
      <c r="B1871" t="s">
        <v>2004</v>
      </c>
      <c r="C1871" s="1">
        <v>42973</v>
      </c>
      <c r="D1871" s="1">
        <v>42976</v>
      </c>
      <c r="E1871" t="s">
        <v>2119</v>
      </c>
      <c r="F1871" t="s">
        <v>739</v>
      </c>
      <c r="G1871" t="s">
        <v>740</v>
      </c>
      <c r="H1871" t="s">
        <v>6</v>
      </c>
      <c r="I1871" t="s">
        <v>2112</v>
      </c>
      <c r="J1871" t="s">
        <v>2110</v>
      </c>
      <c r="K1871">
        <v>6.48</v>
      </c>
      <c r="L1871">
        <f t="shared" si="58"/>
        <v>648</v>
      </c>
      <c r="M1871">
        <f t="shared" si="59"/>
        <v>129.6</v>
      </c>
    </row>
    <row r="1872" spans="1:13" x14ac:dyDescent="0.3">
      <c r="A1872">
        <v>1871</v>
      </c>
      <c r="B1872" t="s">
        <v>2005</v>
      </c>
      <c r="C1872" s="1">
        <v>42206</v>
      </c>
      <c r="D1872" s="1">
        <v>42210</v>
      </c>
      <c r="E1872" t="s">
        <v>2118</v>
      </c>
      <c r="F1872" t="s">
        <v>2006</v>
      </c>
      <c r="G1872" t="s">
        <v>2007</v>
      </c>
      <c r="H1872" t="s">
        <v>10</v>
      </c>
      <c r="I1872" t="s">
        <v>2112</v>
      </c>
      <c r="J1872" t="s">
        <v>2110</v>
      </c>
      <c r="K1872">
        <v>99.2</v>
      </c>
      <c r="L1872">
        <f t="shared" si="58"/>
        <v>9920</v>
      </c>
      <c r="M1872">
        <f t="shared" si="59"/>
        <v>1984</v>
      </c>
    </row>
    <row r="1873" spans="1:13" x14ac:dyDescent="0.3">
      <c r="A1873">
        <v>1872</v>
      </c>
      <c r="B1873" t="s">
        <v>2005</v>
      </c>
      <c r="C1873" s="1">
        <v>42206</v>
      </c>
      <c r="D1873" s="1">
        <v>42210</v>
      </c>
      <c r="E1873" t="s">
        <v>2118</v>
      </c>
      <c r="F1873" t="s">
        <v>2006</v>
      </c>
      <c r="G1873" t="s">
        <v>2007</v>
      </c>
      <c r="H1873" t="s">
        <v>10</v>
      </c>
      <c r="I1873" t="s">
        <v>2112</v>
      </c>
      <c r="J1873" t="s">
        <v>2109</v>
      </c>
      <c r="K1873">
        <v>801.56799999999998</v>
      </c>
      <c r="L1873">
        <f t="shared" si="58"/>
        <v>80156.800000000003</v>
      </c>
      <c r="M1873">
        <f t="shared" si="59"/>
        <v>16031.36</v>
      </c>
    </row>
    <row r="1874" spans="1:13" x14ac:dyDescent="0.3">
      <c r="A1874">
        <v>1873</v>
      </c>
      <c r="B1874" t="s">
        <v>2005</v>
      </c>
      <c r="C1874" s="1">
        <v>42206</v>
      </c>
      <c r="D1874" s="1">
        <v>42210</v>
      </c>
      <c r="E1874" t="s">
        <v>2118</v>
      </c>
      <c r="F1874" t="s">
        <v>2006</v>
      </c>
      <c r="G1874" t="s">
        <v>2007</v>
      </c>
      <c r="H1874" t="s">
        <v>10</v>
      </c>
      <c r="I1874" t="s">
        <v>2112</v>
      </c>
      <c r="J1874" t="s">
        <v>2109</v>
      </c>
      <c r="K1874">
        <v>272.84800000000001</v>
      </c>
      <c r="L1874">
        <f t="shared" si="58"/>
        <v>27284.800000000003</v>
      </c>
      <c r="M1874">
        <f t="shared" si="59"/>
        <v>5456.9600000000009</v>
      </c>
    </row>
    <row r="1875" spans="1:13" x14ac:dyDescent="0.3">
      <c r="A1875">
        <v>1874</v>
      </c>
      <c r="B1875" t="s">
        <v>2008</v>
      </c>
      <c r="C1875" s="1">
        <v>43425</v>
      </c>
      <c r="D1875" s="1">
        <v>43429</v>
      </c>
      <c r="E1875" t="s">
        <v>2118</v>
      </c>
      <c r="F1875" t="s">
        <v>2009</v>
      </c>
      <c r="G1875" t="s">
        <v>2010</v>
      </c>
      <c r="H1875" t="s">
        <v>6</v>
      </c>
      <c r="I1875" t="s">
        <v>2112</v>
      </c>
      <c r="J1875" t="s">
        <v>2109</v>
      </c>
      <c r="K1875">
        <v>70.98</v>
      </c>
      <c r="L1875">
        <f t="shared" si="58"/>
        <v>7098</v>
      </c>
      <c r="M1875">
        <f t="shared" si="59"/>
        <v>1419.6000000000001</v>
      </c>
    </row>
    <row r="1876" spans="1:13" x14ac:dyDescent="0.3">
      <c r="A1876">
        <v>1875</v>
      </c>
      <c r="B1876" t="s">
        <v>2011</v>
      </c>
      <c r="C1876" s="1">
        <v>42159</v>
      </c>
      <c r="D1876" s="1">
        <v>42164</v>
      </c>
      <c r="E1876" t="s">
        <v>2118</v>
      </c>
      <c r="F1876" t="s">
        <v>275</v>
      </c>
      <c r="G1876" t="s">
        <v>276</v>
      </c>
      <c r="H1876" t="s">
        <v>26</v>
      </c>
      <c r="I1876" t="s">
        <v>2114</v>
      </c>
      <c r="J1876" t="s">
        <v>2110</v>
      </c>
      <c r="K1876">
        <v>16.224</v>
      </c>
      <c r="L1876">
        <f t="shared" si="58"/>
        <v>1622.4</v>
      </c>
      <c r="M1876">
        <f t="shared" si="59"/>
        <v>324.48</v>
      </c>
    </row>
    <row r="1877" spans="1:13" x14ac:dyDescent="0.3">
      <c r="A1877">
        <v>1876</v>
      </c>
      <c r="B1877" t="s">
        <v>2012</v>
      </c>
      <c r="C1877" s="1">
        <v>42804</v>
      </c>
      <c r="D1877" s="1">
        <v>42810</v>
      </c>
      <c r="E1877" t="s">
        <v>2118</v>
      </c>
      <c r="F1877" t="s">
        <v>535</v>
      </c>
      <c r="G1877" t="s">
        <v>536</v>
      </c>
      <c r="H1877" t="s">
        <v>6</v>
      </c>
      <c r="I1877" t="s">
        <v>2114</v>
      </c>
      <c r="J1877" t="s">
        <v>2109</v>
      </c>
      <c r="K1877">
        <v>176.78399999999999</v>
      </c>
      <c r="L1877">
        <f t="shared" si="58"/>
        <v>17678.399999999998</v>
      </c>
      <c r="M1877">
        <f t="shared" si="59"/>
        <v>3535.68</v>
      </c>
    </row>
    <row r="1878" spans="1:13" x14ac:dyDescent="0.3">
      <c r="A1878">
        <v>1877</v>
      </c>
      <c r="B1878" t="s">
        <v>2013</v>
      </c>
      <c r="C1878" s="1">
        <v>43184</v>
      </c>
      <c r="D1878" s="1">
        <v>43188</v>
      </c>
      <c r="E1878" t="s">
        <v>2118</v>
      </c>
      <c r="F1878" t="s">
        <v>2014</v>
      </c>
      <c r="G1878" t="s">
        <v>2015</v>
      </c>
      <c r="H1878" t="s">
        <v>6</v>
      </c>
      <c r="I1878" t="s">
        <v>2117</v>
      </c>
      <c r="J1878" t="s">
        <v>2111</v>
      </c>
      <c r="K1878">
        <v>470.37599999999998</v>
      </c>
      <c r="L1878">
        <f t="shared" si="58"/>
        <v>47037.599999999999</v>
      </c>
      <c r="M1878">
        <f t="shared" si="59"/>
        <v>9407.52</v>
      </c>
    </row>
    <row r="1879" spans="1:13" x14ac:dyDescent="0.3">
      <c r="A1879">
        <v>1878</v>
      </c>
      <c r="B1879" t="s">
        <v>2016</v>
      </c>
      <c r="C1879" s="1">
        <v>43463</v>
      </c>
      <c r="D1879" s="1">
        <v>43467</v>
      </c>
      <c r="E1879" t="s">
        <v>2118</v>
      </c>
      <c r="F1879" t="s">
        <v>1805</v>
      </c>
      <c r="G1879" t="s">
        <v>1806</v>
      </c>
      <c r="H1879" t="s">
        <v>6</v>
      </c>
      <c r="I1879" t="s">
        <v>2112</v>
      </c>
      <c r="J1879" t="s">
        <v>2109</v>
      </c>
      <c r="K1879">
        <v>393.56799999999998</v>
      </c>
      <c r="L1879">
        <f t="shared" si="58"/>
        <v>39356.799999999996</v>
      </c>
      <c r="M1879">
        <f t="shared" si="59"/>
        <v>7871.36</v>
      </c>
    </row>
    <row r="1880" spans="1:13" x14ac:dyDescent="0.3">
      <c r="A1880">
        <v>1879</v>
      </c>
      <c r="B1880" t="s">
        <v>2016</v>
      </c>
      <c r="C1880" s="1">
        <v>43463</v>
      </c>
      <c r="D1880" s="1">
        <v>43467</v>
      </c>
      <c r="E1880" t="s">
        <v>2118</v>
      </c>
      <c r="F1880" t="s">
        <v>1805</v>
      </c>
      <c r="G1880" t="s">
        <v>1806</v>
      </c>
      <c r="H1880" t="s">
        <v>6</v>
      </c>
      <c r="I1880" t="s">
        <v>2112</v>
      </c>
      <c r="J1880" t="s">
        <v>2111</v>
      </c>
      <c r="K1880">
        <v>302.37599999999998</v>
      </c>
      <c r="L1880">
        <f t="shared" si="58"/>
        <v>30237.599999999999</v>
      </c>
      <c r="M1880">
        <f t="shared" si="59"/>
        <v>6047.52</v>
      </c>
    </row>
    <row r="1881" spans="1:13" x14ac:dyDescent="0.3">
      <c r="A1881">
        <v>1880</v>
      </c>
      <c r="B1881" t="s">
        <v>2017</v>
      </c>
      <c r="C1881" s="1">
        <v>43187</v>
      </c>
      <c r="D1881" s="1">
        <v>43192</v>
      </c>
      <c r="E1881" t="s">
        <v>2118</v>
      </c>
      <c r="F1881" t="s">
        <v>1035</v>
      </c>
      <c r="G1881" t="s">
        <v>1036</v>
      </c>
      <c r="H1881" t="s">
        <v>10</v>
      </c>
      <c r="I1881" t="s">
        <v>2115</v>
      </c>
      <c r="J1881" t="s">
        <v>2110</v>
      </c>
      <c r="K1881">
        <v>68.742000000000004</v>
      </c>
      <c r="L1881">
        <f t="shared" si="58"/>
        <v>6874.2000000000007</v>
      </c>
      <c r="M1881">
        <f t="shared" si="59"/>
        <v>1374.8400000000001</v>
      </c>
    </row>
    <row r="1882" spans="1:13" x14ac:dyDescent="0.3">
      <c r="A1882">
        <v>1881</v>
      </c>
      <c r="B1882" t="s">
        <v>2018</v>
      </c>
      <c r="C1882" s="1">
        <v>42434</v>
      </c>
      <c r="D1882" s="1">
        <v>42434</v>
      </c>
      <c r="E1882" t="s">
        <v>2120</v>
      </c>
      <c r="F1882" t="s">
        <v>522</v>
      </c>
      <c r="G1882" t="s">
        <v>523</v>
      </c>
      <c r="H1882" t="s">
        <v>6</v>
      </c>
      <c r="I1882" t="s">
        <v>2114</v>
      </c>
      <c r="J1882" t="s">
        <v>2110</v>
      </c>
      <c r="K1882">
        <v>29.34</v>
      </c>
      <c r="L1882">
        <f t="shared" si="58"/>
        <v>2934</v>
      </c>
      <c r="M1882">
        <f t="shared" si="59"/>
        <v>586.80000000000007</v>
      </c>
    </row>
    <row r="1883" spans="1:13" x14ac:dyDescent="0.3">
      <c r="A1883">
        <v>1882</v>
      </c>
      <c r="B1883" t="s">
        <v>2018</v>
      </c>
      <c r="C1883" s="1">
        <v>42434</v>
      </c>
      <c r="D1883" s="1">
        <v>42434</v>
      </c>
      <c r="E1883" t="s">
        <v>2120</v>
      </c>
      <c r="F1883" t="s">
        <v>522</v>
      </c>
      <c r="G1883" t="s">
        <v>523</v>
      </c>
      <c r="H1883" t="s">
        <v>6</v>
      </c>
      <c r="I1883" t="s">
        <v>2114</v>
      </c>
      <c r="J1883" t="s">
        <v>2109</v>
      </c>
      <c r="K1883">
        <v>383.60700000000003</v>
      </c>
      <c r="L1883">
        <f t="shared" si="58"/>
        <v>38360.700000000004</v>
      </c>
      <c r="M1883">
        <f t="shared" si="59"/>
        <v>7672.1400000000012</v>
      </c>
    </row>
    <row r="1884" spans="1:13" x14ac:dyDescent="0.3">
      <c r="A1884">
        <v>1883</v>
      </c>
      <c r="B1884" t="s">
        <v>2018</v>
      </c>
      <c r="C1884" s="1">
        <v>42434</v>
      </c>
      <c r="D1884" s="1">
        <v>42434</v>
      </c>
      <c r="E1884" t="s">
        <v>2120</v>
      </c>
      <c r="F1884" t="s">
        <v>522</v>
      </c>
      <c r="G1884" t="s">
        <v>523</v>
      </c>
      <c r="H1884" t="s">
        <v>6</v>
      </c>
      <c r="I1884" t="s">
        <v>2114</v>
      </c>
      <c r="J1884" t="s">
        <v>2110</v>
      </c>
      <c r="K1884">
        <v>563.4</v>
      </c>
      <c r="L1884">
        <f t="shared" si="58"/>
        <v>56340</v>
      </c>
      <c r="M1884">
        <f t="shared" si="59"/>
        <v>11268</v>
      </c>
    </row>
    <row r="1885" spans="1:13" x14ac:dyDescent="0.3">
      <c r="A1885">
        <v>1884</v>
      </c>
      <c r="B1885" t="s">
        <v>2019</v>
      </c>
      <c r="C1885" s="1">
        <v>43052</v>
      </c>
      <c r="D1885" s="1">
        <v>43056</v>
      </c>
      <c r="E1885" t="s">
        <v>2118</v>
      </c>
      <c r="F1885" t="s">
        <v>815</v>
      </c>
      <c r="G1885" t="s">
        <v>816</v>
      </c>
      <c r="H1885" t="s">
        <v>26</v>
      </c>
      <c r="I1885" t="s">
        <v>2114</v>
      </c>
      <c r="J1885" t="s">
        <v>2110</v>
      </c>
      <c r="K1885">
        <v>217.05600000000001</v>
      </c>
      <c r="L1885">
        <f t="shared" si="58"/>
        <v>21705.600000000002</v>
      </c>
      <c r="M1885">
        <f t="shared" si="59"/>
        <v>4341.1200000000008</v>
      </c>
    </row>
    <row r="1886" spans="1:13" x14ac:dyDescent="0.3">
      <c r="A1886">
        <v>1885</v>
      </c>
      <c r="B1886" t="s">
        <v>2020</v>
      </c>
      <c r="C1886" s="1">
        <v>43119</v>
      </c>
      <c r="D1886" s="1">
        <v>43123</v>
      </c>
      <c r="E1886" t="s">
        <v>2119</v>
      </c>
      <c r="F1886" t="s">
        <v>962</v>
      </c>
      <c r="G1886" t="s">
        <v>963</v>
      </c>
      <c r="H1886" t="s">
        <v>6</v>
      </c>
      <c r="I1886" t="s">
        <v>2117</v>
      </c>
      <c r="J1886" t="s">
        <v>2110</v>
      </c>
      <c r="K1886">
        <v>6</v>
      </c>
      <c r="L1886">
        <f t="shared" si="58"/>
        <v>600</v>
      </c>
      <c r="M1886">
        <f t="shared" si="59"/>
        <v>120</v>
      </c>
    </row>
    <row r="1887" spans="1:13" x14ac:dyDescent="0.3">
      <c r="A1887">
        <v>1886</v>
      </c>
      <c r="B1887" t="s">
        <v>2021</v>
      </c>
      <c r="C1887" s="1">
        <v>42847</v>
      </c>
      <c r="D1887" s="1">
        <v>42851</v>
      </c>
      <c r="E1887" t="s">
        <v>2119</v>
      </c>
      <c r="F1887" t="s">
        <v>124</v>
      </c>
      <c r="G1887" t="s">
        <v>125</v>
      </c>
      <c r="H1887" t="s">
        <v>6</v>
      </c>
      <c r="I1887" t="s">
        <v>2112</v>
      </c>
      <c r="J1887" t="s">
        <v>2109</v>
      </c>
      <c r="K1887">
        <v>31.56</v>
      </c>
      <c r="L1887">
        <f t="shared" si="58"/>
        <v>3156</v>
      </c>
      <c r="M1887">
        <f t="shared" si="59"/>
        <v>631.20000000000005</v>
      </c>
    </row>
    <row r="1888" spans="1:13" x14ac:dyDescent="0.3">
      <c r="A1888">
        <v>1887</v>
      </c>
      <c r="B1888" t="s">
        <v>2022</v>
      </c>
      <c r="C1888" s="1">
        <v>42137</v>
      </c>
      <c r="D1888" s="1">
        <v>42139</v>
      </c>
      <c r="E1888" t="s">
        <v>2120</v>
      </c>
      <c r="F1888" t="s">
        <v>1286</v>
      </c>
      <c r="G1888" t="s">
        <v>1287</v>
      </c>
      <c r="H1888" t="s">
        <v>26</v>
      </c>
      <c r="I1888" t="s">
        <v>2115</v>
      </c>
      <c r="J1888" t="s">
        <v>2110</v>
      </c>
      <c r="K1888">
        <v>7.1040000000000001</v>
      </c>
      <c r="L1888">
        <f t="shared" si="58"/>
        <v>710.4</v>
      </c>
      <c r="M1888">
        <f t="shared" si="59"/>
        <v>142.08000000000001</v>
      </c>
    </row>
    <row r="1889" spans="1:13" x14ac:dyDescent="0.3">
      <c r="A1889">
        <v>1888</v>
      </c>
      <c r="B1889" t="s">
        <v>2022</v>
      </c>
      <c r="C1889" s="1">
        <v>42137</v>
      </c>
      <c r="D1889" s="1">
        <v>42139</v>
      </c>
      <c r="E1889" t="s">
        <v>2120</v>
      </c>
      <c r="F1889" t="s">
        <v>1286</v>
      </c>
      <c r="G1889" t="s">
        <v>1287</v>
      </c>
      <c r="H1889" t="s">
        <v>26</v>
      </c>
      <c r="I1889" t="s">
        <v>2115</v>
      </c>
      <c r="J1889" t="s">
        <v>2110</v>
      </c>
      <c r="K1889">
        <v>398.35199999999998</v>
      </c>
      <c r="L1889">
        <f t="shared" si="58"/>
        <v>39835.199999999997</v>
      </c>
      <c r="M1889">
        <f t="shared" si="59"/>
        <v>7967.04</v>
      </c>
    </row>
    <row r="1890" spans="1:13" x14ac:dyDescent="0.3">
      <c r="A1890">
        <v>1889</v>
      </c>
      <c r="B1890" t="s">
        <v>2023</v>
      </c>
      <c r="C1890" s="1">
        <v>42298</v>
      </c>
      <c r="D1890" s="1">
        <v>42299</v>
      </c>
      <c r="E1890" t="s">
        <v>2120</v>
      </c>
      <c r="F1890" t="s">
        <v>49</v>
      </c>
      <c r="G1890" t="s">
        <v>50</v>
      </c>
      <c r="H1890" t="s">
        <v>6</v>
      </c>
      <c r="I1890" t="s">
        <v>2114</v>
      </c>
      <c r="J1890" t="s">
        <v>2110</v>
      </c>
      <c r="K1890">
        <v>121.792</v>
      </c>
      <c r="L1890">
        <f t="shared" si="58"/>
        <v>12179.2</v>
      </c>
      <c r="M1890">
        <f t="shared" si="59"/>
        <v>2435.84</v>
      </c>
    </row>
    <row r="1891" spans="1:13" x14ac:dyDescent="0.3">
      <c r="A1891">
        <v>1890</v>
      </c>
      <c r="B1891" t="s">
        <v>2023</v>
      </c>
      <c r="C1891" s="1">
        <v>42298</v>
      </c>
      <c r="D1891" s="1">
        <v>42299</v>
      </c>
      <c r="E1891" t="s">
        <v>2120</v>
      </c>
      <c r="F1891" t="s">
        <v>49</v>
      </c>
      <c r="G1891" t="s">
        <v>50</v>
      </c>
      <c r="H1891" t="s">
        <v>6</v>
      </c>
      <c r="I1891" t="s">
        <v>2114</v>
      </c>
      <c r="J1891" t="s">
        <v>2109</v>
      </c>
      <c r="K1891">
        <v>409.59</v>
      </c>
      <c r="L1891">
        <f t="shared" si="58"/>
        <v>40959</v>
      </c>
      <c r="M1891">
        <f t="shared" si="59"/>
        <v>8191.8</v>
      </c>
    </row>
    <row r="1892" spans="1:13" x14ac:dyDescent="0.3">
      <c r="A1892">
        <v>1891</v>
      </c>
      <c r="B1892" t="s">
        <v>2024</v>
      </c>
      <c r="C1892" s="1">
        <v>42077</v>
      </c>
      <c r="D1892" s="1">
        <v>42081</v>
      </c>
      <c r="E1892" t="s">
        <v>2118</v>
      </c>
      <c r="F1892" t="s">
        <v>497</v>
      </c>
      <c r="G1892" t="s">
        <v>498</v>
      </c>
      <c r="H1892" t="s">
        <v>10</v>
      </c>
      <c r="I1892" t="s">
        <v>2112</v>
      </c>
      <c r="J1892" t="s">
        <v>2110</v>
      </c>
      <c r="K1892">
        <v>10.56</v>
      </c>
      <c r="L1892">
        <f t="shared" si="58"/>
        <v>1056</v>
      </c>
      <c r="M1892">
        <f t="shared" si="59"/>
        <v>211.20000000000002</v>
      </c>
    </row>
    <row r="1893" spans="1:13" x14ac:dyDescent="0.3">
      <c r="A1893">
        <v>1892</v>
      </c>
      <c r="B1893" t="s">
        <v>2024</v>
      </c>
      <c r="C1893" s="1">
        <v>42077</v>
      </c>
      <c r="D1893" s="1">
        <v>42081</v>
      </c>
      <c r="E1893" t="s">
        <v>2118</v>
      </c>
      <c r="F1893" t="s">
        <v>497</v>
      </c>
      <c r="G1893" t="s">
        <v>498</v>
      </c>
      <c r="H1893" t="s">
        <v>10</v>
      </c>
      <c r="I1893" t="s">
        <v>2112</v>
      </c>
      <c r="J1893" t="s">
        <v>2110</v>
      </c>
      <c r="K1893">
        <v>3.38</v>
      </c>
      <c r="L1893">
        <f t="shared" si="58"/>
        <v>338</v>
      </c>
      <c r="M1893">
        <f t="shared" si="59"/>
        <v>67.600000000000009</v>
      </c>
    </row>
    <row r="1894" spans="1:13" x14ac:dyDescent="0.3">
      <c r="A1894">
        <v>1893</v>
      </c>
      <c r="B1894" t="s">
        <v>2025</v>
      </c>
      <c r="C1894" s="1">
        <v>43456</v>
      </c>
      <c r="D1894" s="1">
        <v>43458</v>
      </c>
      <c r="E1894" t="s">
        <v>2119</v>
      </c>
      <c r="F1894" t="s">
        <v>598</v>
      </c>
      <c r="G1894" t="s">
        <v>599</v>
      </c>
      <c r="H1894" t="s">
        <v>6</v>
      </c>
      <c r="I1894" t="s">
        <v>2115</v>
      </c>
      <c r="J1894" t="s">
        <v>2110</v>
      </c>
      <c r="K1894">
        <v>7.8239999999999998</v>
      </c>
      <c r="L1894">
        <f t="shared" si="58"/>
        <v>782.4</v>
      </c>
      <c r="M1894">
        <f t="shared" si="59"/>
        <v>156.48000000000002</v>
      </c>
    </row>
    <row r="1895" spans="1:13" x14ac:dyDescent="0.3">
      <c r="A1895">
        <v>1894</v>
      </c>
      <c r="B1895" t="s">
        <v>2026</v>
      </c>
      <c r="C1895" s="1">
        <v>43063</v>
      </c>
      <c r="D1895" s="1">
        <v>43068</v>
      </c>
      <c r="E1895" t="s">
        <v>2118</v>
      </c>
      <c r="F1895" t="s">
        <v>848</v>
      </c>
      <c r="G1895" t="s">
        <v>849</v>
      </c>
      <c r="H1895" t="s">
        <v>6</v>
      </c>
      <c r="I1895" t="s">
        <v>2112</v>
      </c>
      <c r="J1895" t="s">
        <v>2110</v>
      </c>
      <c r="K1895">
        <v>24.783999999999999</v>
      </c>
      <c r="L1895">
        <f t="shared" si="58"/>
        <v>2478.4</v>
      </c>
      <c r="M1895">
        <f t="shared" si="59"/>
        <v>495.68000000000006</v>
      </c>
    </row>
    <row r="1896" spans="1:13" x14ac:dyDescent="0.3">
      <c r="A1896">
        <v>1895</v>
      </c>
      <c r="B1896" t="s">
        <v>2027</v>
      </c>
      <c r="C1896" s="1">
        <v>43436</v>
      </c>
      <c r="D1896" s="1">
        <v>43439</v>
      </c>
      <c r="E1896" t="s">
        <v>2120</v>
      </c>
      <c r="F1896" t="s">
        <v>2028</v>
      </c>
      <c r="G1896" t="s">
        <v>2029</v>
      </c>
      <c r="H1896" t="s">
        <v>6</v>
      </c>
      <c r="I1896" t="s">
        <v>2115</v>
      </c>
      <c r="J1896" t="s">
        <v>2110</v>
      </c>
      <c r="K1896">
        <v>34.65</v>
      </c>
      <c r="L1896">
        <f t="shared" si="58"/>
        <v>3465</v>
      </c>
      <c r="M1896">
        <f t="shared" si="59"/>
        <v>693</v>
      </c>
    </row>
    <row r="1897" spans="1:13" x14ac:dyDescent="0.3">
      <c r="A1897">
        <v>1896</v>
      </c>
      <c r="B1897" t="s">
        <v>2030</v>
      </c>
      <c r="C1897" s="1">
        <v>42735</v>
      </c>
      <c r="D1897" s="1">
        <v>42739</v>
      </c>
      <c r="E1897" t="s">
        <v>2118</v>
      </c>
      <c r="F1897" t="s">
        <v>384</v>
      </c>
      <c r="G1897" t="s">
        <v>385</v>
      </c>
      <c r="H1897" t="s">
        <v>6</v>
      </c>
      <c r="I1897" t="s">
        <v>2112</v>
      </c>
      <c r="J1897" t="s">
        <v>2110</v>
      </c>
      <c r="K1897">
        <v>487.98399999999998</v>
      </c>
      <c r="L1897">
        <f t="shared" si="58"/>
        <v>48798.400000000001</v>
      </c>
      <c r="M1897">
        <f t="shared" si="59"/>
        <v>9759.68</v>
      </c>
    </row>
    <row r="1898" spans="1:13" x14ac:dyDescent="0.3">
      <c r="A1898">
        <v>1897</v>
      </c>
      <c r="B1898" t="s">
        <v>2031</v>
      </c>
      <c r="C1898" s="1">
        <v>43376</v>
      </c>
      <c r="D1898" s="1">
        <v>43379</v>
      </c>
      <c r="E1898" t="s">
        <v>2120</v>
      </c>
      <c r="F1898" t="s">
        <v>2032</v>
      </c>
      <c r="G1898" t="s">
        <v>2033</v>
      </c>
      <c r="H1898" t="s">
        <v>6</v>
      </c>
      <c r="I1898" t="s">
        <v>2117</v>
      </c>
      <c r="J1898" t="s">
        <v>2110</v>
      </c>
      <c r="K1898">
        <v>1793.98</v>
      </c>
      <c r="L1898">
        <f t="shared" si="58"/>
        <v>179398</v>
      </c>
      <c r="M1898">
        <f t="shared" si="59"/>
        <v>35879.599999999999</v>
      </c>
    </row>
    <row r="1899" spans="1:13" x14ac:dyDescent="0.3">
      <c r="A1899">
        <v>1898</v>
      </c>
      <c r="B1899" t="s">
        <v>2034</v>
      </c>
      <c r="C1899" s="1">
        <v>42245</v>
      </c>
      <c r="D1899" s="1">
        <v>42249</v>
      </c>
      <c r="E1899" t="s">
        <v>2119</v>
      </c>
      <c r="F1899" t="s">
        <v>1211</v>
      </c>
      <c r="G1899" t="s">
        <v>1212</v>
      </c>
      <c r="H1899" t="s">
        <v>6</v>
      </c>
      <c r="I1899" t="s">
        <v>2115</v>
      </c>
      <c r="J1899" t="s">
        <v>2110</v>
      </c>
      <c r="K1899">
        <v>29.808</v>
      </c>
      <c r="L1899">
        <f t="shared" si="58"/>
        <v>2980.8</v>
      </c>
      <c r="M1899">
        <f t="shared" si="59"/>
        <v>596.16000000000008</v>
      </c>
    </row>
    <row r="1900" spans="1:13" x14ac:dyDescent="0.3">
      <c r="A1900">
        <v>1899</v>
      </c>
      <c r="B1900" t="s">
        <v>2034</v>
      </c>
      <c r="C1900" s="1">
        <v>42245</v>
      </c>
      <c r="D1900" s="1">
        <v>42249</v>
      </c>
      <c r="E1900" t="s">
        <v>2119</v>
      </c>
      <c r="F1900" t="s">
        <v>1211</v>
      </c>
      <c r="G1900" t="s">
        <v>1212</v>
      </c>
      <c r="H1900" t="s">
        <v>6</v>
      </c>
      <c r="I1900" t="s">
        <v>2115</v>
      </c>
      <c r="J1900" t="s">
        <v>2110</v>
      </c>
      <c r="K1900">
        <v>505.17599999999999</v>
      </c>
      <c r="L1900">
        <f t="shared" si="58"/>
        <v>50517.599999999999</v>
      </c>
      <c r="M1900">
        <f t="shared" si="59"/>
        <v>10103.52</v>
      </c>
    </row>
    <row r="1901" spans="1:13" x14ac:dyDescent="0.3">
      <c r="A1901">
        <v>1900</v>
      </c>
      <c r="B1901" t="s">
        <v>2034</v>
      </c>
      <c r="C1901" s="1">
        <v>42245</v>
      </c>
      <c r="D1901" s="1">
        <v>42249</v>
      </c>
      <c r="E1901" t="s">
        <v>2119</v>
      </c>
      <c r="F1901" t="s">
        <v>1211</v>
      </c>
      <c r="G1901" t="s">
        <v>1212</v>
      </c>
      <c r="H1901" t="s">
        <v>6</v>
      </c>
      <c r="I1901" t="s">
        <v>2115</v>
      </c>
      <c r="J1901" t="s">
        <v>2109</v>
      </c>
      <c r="K1901">
        <v>174.05850000000001</v>
      </c>
      <c r="L1901">
        <f t="shared" si="58"/>
        <v>17405.850000000002</v>
      </c>
      <c r="M1901">
        <f t="shared" si="59"/>
        <v>3481.1700000000005</v>
      </c>
    </row>
    <row r="1902" spans="1:13" x14ac:dyDescent="0.3">
      <c r="A1902">
        <v>1901</v>
      </c>
      <c r="B1902" t="s">
        <v>2035</v>
      </c>
      <c r="C1902" s="1">
        <v>42915</v>
      </c>
      <c r="D1902" s="1">
        <v>42919</v>
      </c>
      <c r="E1902" t="s">
        <v>2119</v>
      </c>
      <c r="F1902" t="s">
        <v>1669</v>
      </c>
      <c r="G1902" t="s">
        <v>1670</v>
      </c>
      <c r="H1902" t="s">
        <v>6</v>
      </c>
      <c r="I1902" t="s">
        <v>2115</v>
      </c>
      <c r="J1902" t="s">
        <v>2110</v>
      </c>
      <c r="K1902">
        <v>191.88</v>
      </c>
      <c r="L1902">
        <f t="shared" si="58"/>
        <v>19188</v>
      </c>
      <c r="M1902">
        <f t="shared" si="59"/>
        <v>3837.6000000000004</v>
      </c>
    </row>
    <row r="1903" spans="1:13" x14ac:dyDescent="0.3">
      <c r="A1903">
        <v>1902</v>
      </c>
      <c r="B1903" t="s">
        <v>2036</v>
      </c>
      <c r="C1903" s="1">
        <v>42967</v>
      </c>
      <c r="D1903" s="1">
        <v>42970</v>
      </c>
      <c r="E1903" t="s">
        <v>2120</v>
      </c>
      <c r="F1903" t="s">
        <v>336</v>
      </c>
      <c r="G1903" t="s">
        <v>337</v>
      </c>
      <c r="H1903" t="s">
        <v>26</v>
      </c>
      <c r="I1903" t="s">
        <v>2117</v>
      </c>
      <c r="J1903" t="s">
        <v>2111</v>
      </c>
      <c r="K1903">
        <v>14.78</v>
      </c>
      <c r="L1903">
        <f t="shared" si="58"/>
        <v>1478</v>
      </c>
      <c r="M1903">
        <f t="shared" si="59"/>
        <v>295.60000000000002</v>
      </c>
    </row>
    <row r="1904" spans="1:13" x14ac:dyDescent="0.3">
      <c r="A1904">
        <v>1903</v>
      </c>
      <c r="B1904" t="s">
        <v>2037</v>
      </c>
      <c r="C1904" s="1">
        <v>43394</v>
      </c>
      <c r="D1904" s="1">
        <v>43395</v>
      </c>
      <c r="E1904" t="s">
        <v>2120</v>
      </c>
      <c r="F1904" t="s">
        <v>1598</v>
      </c>
      <c r="G1904" t="s">
        <v>1599</v>
      </c>
      <c r="H1904" t="s">
        <v>10</v>
      </c>
      <c r="I1904" t="s">
        <v>2112</v>
      </c>
      <c r="J1904" t="s">
        <v>2110</v>
      </c>
      <c r="K1904">
        <v>5.1840000000000002</v>
      </c>
      <c r="L1904">
        <f t="shared" si="58"/>
        <v>518.4</v>
      </c>
      <c r="M1904">
        <f t="shared" si="59"/>
        <v>103.68</v>
      </c>
    </row>
    <row r="1905" spans="1:13" x14ac:dyDescent="0.3">
      <c r="A1905">
        <v>1904</v>
      </c>
      <c r="B1905" t="s">
        <v>2037</v>
      </c>
      <c r="C1905" s="1">
        <v>43394</v>
      </c>
      <c r="D1905" s="1">
        <v>43395</v>
      </c>
      <c r="E1905" t="s">
        <v>2120</v>
      </c>
      <c r="F1905" t="s">
        <v>1598</v>
      </c>
      <c r="G1905" t="s">
        <v>1599</v>
      </c>
      <c r="H1905" t="s">
        <v>10</v>
      </c>
      <c r="I1905" t="s">
        <v>2112</v>
      </c>
      <c r="J1905" t="s">
        <v>2109</v>
      </c>
      <c r="K1905">
        <v>478.48</v>
      </c>
      <c r="L1905">
        <f t="shared" si="58"/>
        <v>47848</v>
      </c>
      <c r="M1905">
        <f t="shared" si="59"/>
        <v>9569.6</v>
      </c>
    </row>
    <row r="1906" spans="1:13" x14ac:dyDescent="0.3">
      <c r="A1906">
        <v>1905</v>
      </c>
      <c r="B1906" t="s">
        <v>2037</v>
      </c>
      <c r="C1906" s="1">
        <v>43394</v>
      </c>
      <c r="D1906" s="1">
        <v>43395</v>
      </c>
      <c r="E1906" t="s">
        <v>2120</v>
      </c>
      <c r="F1906" t="s">
        <v>1598</v>
      </c>
      <c r="G1906" t="s">
        <v>1599</v>
      </c>
      <c r="H1906" t="s">
        <v>10</v>
      </c>
      <c r="I1906" t="s">
        <v>2112</v>
      </c>
      <c r="J1906" t="s">
        <v>2111</v>
      </c>
      <c r="K1906">
        <v>28.4</v>
      </c>
      <c r="L1906">
        <f t="shared" si="58"/>
        <v>2840</v>
      </c>
      <c r="M1906">
        <f t="shared" si="59"/>
        <v>568</v>
      </c>
    </row>
    <row r="1907" spans="1:13" x14ac:dyDescent="0.3">
      <c r="A1907">
        <v>1906</v>
      </c>
      <c r="B1907" t="s">
        <v>2038</v>
      </c>
      <c r="C1907" s="1">
        <v>43394</v>
      </c>
      <c r="D1907" s="1">
        <v>43397</v>
      </c>
      <c r="E1907" t="s">
        <v>2120</v>
      </c>
      <c r="F1907" t="s">
        <v>2039</v>
      </c>
      <c r="G1907" t="s">
        <v>2040</v>
      </c>
      <c r="H1907" t="s">
        <v>10</v>
      </c>
      <c r="I1907" t="s">
        <v>2117</v>
      </c>
      <c r="J1907" t="s">
        <v>2110</v>
      </c>
      <c r="K1907">
        <v>909.12</v>
      </c>
      <c r="L1907">
        <f t="shared" si="58"/>
        <v>90912</v>
      </c>
      <c r="M1907">
        <f t="shared" si="59"/>
        <v>18182.400000000001</v>
      </c>
    </row>
    <row r="1908" spans="1:13" x14ac:dyDescent="0.3">
      <c r="A1908">
        <v>1907</v>
      </c>
      <c r="B1908" t="s">
        <v>2041</v>
      </c>
      <c r="C1908" s="1">
        <v>42872</v>
      </c>
      <c r="D1908" s="1">
        <v>42876</v>
      </c>
      <c r="E1908" t="s">
        <v>2118</v>
      </c>
      <c r="F1908" t="s">
        <v>1934</v>
      </c>
      <c r="G1908" t="s">
        <v>1935</v>
      </c>
      <c r="H1908" t="s">
        <v>10</v>
      </c>
      <c r="I1908" t="s">
        <v>2115</v>
      </c>
      <c r="J1908" t="s">
        <v>2110</v>
      </c>
      <c r="K1908">
        <v>2.952</v>
      </c>
      <c r="L1908">
        <f t="shared" si="58"/>
        <v>295.2</v>
      </c>
      <c r="M1908">
        <f t="shared" si="59"/>
        <v>59.04</v>
      </c>
    </row>
    <row r="1909" spans="1:13" x14ac:dyDescent="0.3">
      <c r="A1909">
        <v>1908</v>
      </c>
      <c r="B1909" t="s">
        <v>2041</v>
      </c>
      <c r="C1909" s="1">
        <v>42872</v>
      </c>
      <c r="D1909" s="1">
        <v>42876</v>
      </c>
      <c r="E1909" t="s">
        <v>2118</v>
      </c>
      <c r="F1909" t="s">
        <v>1934</v>
      </c>
      <c r="G1909" t="s">
        <v>1935</v>
      </c>
      <c r="H1909" t="s">
        <v>10</v>
      </c>
      <c r="I1909" t="s">
        <v>2115</v>
      </c>
      <c r="J1909" t="s">
        <v>2110</v>
      </c>
      <c r="K1909">
        <v>27.018000000000001</v>
      </c>
      <c r="L1909">
        <f t="shared" si="58"/>
        <v>2701.8</v>
      </c>
      <c r="M1909">
        <f t="shared" si="59"/>
        <v>540.36</v>
      </c>
    </row>
    <row r="1910" spans="1:13" x14ac:dyDescent="0.3">
      <c r="A1910">
        <v>1909</v>
      </c>
      <c r="B1910" t="s">
        <v>2042</v>
      </c>
      <c r="C1910" s="1">
        <v>42403</v>
      </c>
      <c r="D1910" s="1">
        <v>42404</v>
      </c>
      <c r="E1910" t="s">
        <v>2120</v>
      </c>
      <c r="F1910" t="s">
        <v>1595</v>
      </c>
      <c r="G1910" t="s">
        <v>1596</v>
      </c>
      <c r="H1910" t="s">
        <v>10</v>
      </c>
      <c r="I1910" t="s">
        <v>2112</v>
      </c>
      <c r="J1910" t="s">
        <v>2109</v>
      </c>
      <c r="K1910">
        <v>136.91999999999999</v>
      </c>
      <c r="L1910">
        <f t="shared" si="58"/>
        <v>13691.999999999998</v>
      </c>
      <c r="M1910">
        <f t="shared" si="59"/>
        <v>2738.3999999999996</v>
      </c>
    </row>
    <row r="1911" spans="1:13" x14ac:dyDescent="0.3">
      <c r="A1911">
        <v>1910</v>
      </c>
      <c r="B1911" t="s">
        <v>2043</v>
      </c>
      <c r="C1911" s="1">
        <v>43452</v>
      </c>
      <c r="D1911" s="1">
        <v>43457</v>
      </c>
      <c r="E1911" t="s">
        <v>2118</v>
      </c>
      <c r="F1911" t="s">
        <v>2044</v>
      </c>
      <c r="G1911" t="s">
        <v>2045</v>
      </c>
      <c r="H1911" t="s">
        <v>6</v>
      </c>
      <c r="I1911" t="s">
        <v>2114</v>
      </c>
      <c r="J1911" t="s">
        <v>2109</v>
      </c>
      <c r="K1911">
        <v>18.96</v>
      </c>
      <c r="L1911">
        <f t="shared" si="58"/>
        <v>1896</v>
      </c>
      <c r="M1911">
        <f t="shared" si="59"/>
        <v>379.20000000000005</v>
      </c>
    </row>
    <row r="1912" spans="1:13" x14ac:dyDescent="0.3">
      <c r="A1912">
        <v>1911</v>
      </c>
      <c r="B1912" t="s">
        <v>2046</v>
      </c>
      <c r="C1912" s="1">
        <v>43054</v>
      </c>
      <c r="D1912" s="1">
        <v>43061</v>
      </c>
      <c r="E1912" t="s">
        <v>2118</v>
      </c>
      <c r="F1912" t="s">
        <v>111</v>
      </c>
      <c r="G1912" t="s">
        <v>112</v>
      </c>
      <c r="H1912" t="s">
        <v>10</v>
      </c>
      <c r="I1912" t="s">
        <v>2112</v>
      </c>
      <c r="J1912" t="s">
        <v>2111</v>
      </c>
      <c r="K1912">
        <v>99.39</v>
      </c>
      <c r="L1912">
        <f t="shared" si="58"/>
        <v>9939</v>
      </c>
      <c r="M1912">
        <f t="shared" si="59"/>
        <v>1987.8000000000002</v>
      </c>
    </row>
    <row r="1913" spans="1:13" x14ac:dyDescent="0.3">
      <c r="A1913">
        <v>1912</v>
      </c>
      <c r="B1913" t="s">
        <v>2047</v>
      </c>
      <c r="C1913" s="1">
        <v>43284</v>
      </c>
      <c r="D1913" s="1">
        <v>43287</v>
      </c>
      <c r="E1913" t="s">
        <v>2119</v>
      </c>
      <c r="F1913" t="s">
        <v>1339</v>
      </c>
      <c r="G1913" t="s">
        <v>1340</v>
      </c>
      <c r="H1913" t="s">
        <v>10</v>
      </c>
      <c r="I1913" t="s">
        <v>2117</v>
      </c>
      <c r="J1913" t="s">
        <v>2110</v>
      </c>
      <c r="K1913">
        <v>273.89600000000002</v>
      </c>
      <c r="L1913">
        <f t="shared" si="58"/>
        <v>27389.600000000002</v>
      </c>
      <c r="M1913">
        <f t="shared" si="59"/>
        <v>5477.920000000001</v>
      </c>
    </row>
    <row r="1914" spans="1:13" x14ac:dyDescent="0.3">
      <c r="A1914">
        <v>1913</v>
      </c>
      <c r="B1914" t="s">
        <v>2047</v>
      </c>
      <c r="C1914" s="1">
        <v>43284</v>
      </c>
      <c r="D1914" s="1">
        <v>43287</v>
      </c>
      <c r="E1914" t="s">
        <v>2119</v>
      </c>
      <c r="F1914" t="s">
        <v>1339</v>
      </c>
      <c r="G1914" t="s">
        <v>1340</v>
      </c>
      <c r="H1914" t="s">
        <v>10</v>
      </c>
      <c r="I1914" t="s">
        <v>2117</v>
      </c>
      <c r="J1914" t="s">
        <v>2111</v>
      </c>
      <c r="K1914">
        <v>597.13199999999995</v>
      </c>
      <c r="L1914">
        <f t="shared" si="58"/>
        <v>59713.2</v>
      </c>
      <c r="M1914">
        <f t="shared" si="59"/>
        <v>11942.64</v>
      </c>
    </row>
    <row r="1915" spans="1:13" x14ac:dyDescent="0.3">
      <c r="A1915">
        <v>1914</v>
      </c>
      <c r="B1915" t="s">
        <v>2048</v>
      </c>
      <c r="C1915" s="1">
        <v>42019</v>
      </c>
      <c r="D1915" s="1">
        <v>42021</v>
      </c>
      <c r="E1915" t="s">
        <v>2120</v>
      </c>
      <c r="F1915" t="s">
        <v>2049</v>
      </c>
      <c r="G1915" t="s">
        <v>2050</v>
      </c>
      <c r="H1915" t="s">
        <v>6</v>
      </c>
      <c r="I1915" t="s">
        <v>2115</v>
      </c>
      <c r="J1915" t="s">
        <v>2111</v>
      </c>
      <c r="K1915">
        <v>149.94999999999999</v>
      </c>
      <c r="L1915">
        <f t="shared" si="58"/>
        <v>14994.999999999998</v>
      </c>
      <c r="M1915">
        <f t="shared" si="59"/>
        <v>2999</v>
      </c>
    </row>
    <row r="1916" spans="1:13" x14ac:dyDescent="0.3">
      <c r="A1916">
        <v>1915</v>
      </c>
      <c r="B1916" t="s">
        <v>2051</v>
      </c>
      <c r="C1916" s="1">
        <v>43220</v>
      </c>
      <c r="D1916" s="1">
        <v>43225</v>
      </c>
      <c r="E1916" t="s">
        <v>2118</v>
      </c>
      <c r="F1916" t="s">
        <v>1191</v>
      </c>
      <c r="G1916" t="s">
        <v>1192</v>
      </c>
      <c r="H1916" t="s">
        <v>26</v>
      </c>
      <c r="I1916" t="s">
        <v>2115</v>
      </c>
      <c r="J1916" t="s">
        <v>2110</v>
      </c>
      <c r="K1916">
        <v>4.6079999999999997</v>
      </c>
      <c r="L1916">
        <f t="shared" si="58"/>
        <v>460.79999999999995</v>
      </c>
      <c r="M1916">
        <f t="shared" si="59"/>
        <v>92.16</v>
      </c>
    </row>
    <row r="1917" spans="1:13" x14ac:dyDescent="0.3">
      <c r="A1917">
        <v>1916</v>
      </c>
      <c r="B1917" t="s">
        <v>2051</v>
      </c>
      <c r="C1917" s="1">
        <v>43220</v>
      </c>
      <c r="D1917" s="1">
        <v>43225</v>
      </c>
      <c r="E1917" t="s">
        <v>2118</v>
      </c>
      <c r="F1917" t="s">
        <v>1191</v>
      </c>
      <c r="G1917" t="s">
        <v>1192</v>
      </c>
      <c r="H1917" t="s">
        <v>26</v>
      </c>
      <c r="I1917" t="s">
        <v>2115</v>
      </c>
      <c r="J1917" t="s">
        <v>2110</v>
      </c>
      <c r="K1917">
        <v>15.528</v>
      </c>
      <c r="L1917">
        <f t="shared" si="58"/>
        <v>1552.8</v>
      </c>
      <c r="M1917">
        <f t="shared" si="59"/>
        <v>310.56</v>
      </c>
    </row>
    <row r="1918" spans="1:13" x14ac:dyDescent="0.3">
      <c r="A1918">
        <v>1917</v>
      </c>
      <c r="B1918" t="s">
        <v>2051</v>
      </c>
      <c r="C1918" s="1">
        <v>43220</v>
      </c>
      <c r="D1918" s="1">
        <v>43225</v>
      </c>
      <c r="E1918" t="s">
        <v>2118</v>
      </c>
      <c r="F1918" t="s">
        <v>1191</v>
      </c>
      <c r="G1918" t="s">
        <v>1192</v>
      </c>
      <c r="H1918" t="s">
        <v>26</v>
      </c>
      <c r="I1918" t="s">
        <v>2115</v>
      </c>
      <c r="J1918" t="s">
        <v>2110</v>
      </c>
      <c r="K1918">
        <v>11.952</v>
      </c>
      <c r="L1918">
        <f t="shared" si="58"/>
        <v>1195.2</v>
      </c>
      <c r="M1918">
        <f t="shared" si="59"/>
        <v>239.04000000000002</v>
      </c>
    </row>
    <row r="1919" spans="1:13" x14ac:dyDescent="0.3">
      <c r="A1919">
        <v>1918</v>
      </c>
      <c r="B1919" t="s">
        <v>2052</v>
      </c>
      <c r="C1919" s="1">
        <v>42682</v>
      </c>
      <c r="D1919" s="1">
        <v>42688</v>
      </c>
      <c r="E1919" t="s">
        <v>2118</v>
      </c>
      <c r="F1919" t="s">
        <v>1586</v>
      </c>
      <c r="G1919" t="s">
        <v>1587</v>
      </c>
      <c r="H1919" t="s">
        <v>6</v>
      </c>
      <c r="I1919" t="s">
        <v>2114</v>
      </c>
      <c r="J1919" t="s">
        <v>2110</v>
      </c>
      <c r="K1919">
        <v>11.65</v>
      </c>
      <c r="L1919">
        <f t="shared" si="58"/>
        <v>1165</v>
      </c>
      <c r="M1919">
        <f t="shared" si="59"/>
        <v>233</v>
      </c>
    </row>
    <row r="1920" spans="1:13" x14ac:dyDescent="0.3">
      <c r="A1920">
        <v>1919</v>
      </c>
      <c r="B1920" t="s">
        <v>2053</v>
      </c>
      <c r="C1920" s="1">
        <v>42673</v>
      </c>
      <c r="D1920" s="1">
        <v>42675</v>
      </c>
      <c r="E1920" t="s">
        <v>2119</v>
      </c>
      <c r="F1920" t="s">
        <v>1969</v>
      </c>
      <c r="G1920" t="s">
        <v>1970</v>
      </c>
      <c r="H1920" t="s">
        <v>26</v>
      </c>
      <c r="I1920" t="s">
        <v>2117</v>
      </c>
      <c r="J1920" t="s">
        <v>2111</v>
      </c>
      <c r="K1920">
        <v>299.89999999999998</v>
      </c>
      <c r="L1920">
        <f t="shared" si="58"/>
        <v>29989.999999999996</v>
      </c>
      <c r="M1920">
        <f t="shared" si="59"/>
        <v>5998</v>
      </c>
    </row>
    <row r="1921" spans="1:13" x14ac:dyDescent="0.3">
      <c r="A1921">
        <v>1920</v>
      </c>
      <c r="B1921" t="s">
        <v>2054</v>
      </c>
      <c r="C1921" s="1">
        <v>43329</v>
      </c>
      <c r="D1921" s="1">
        <v>43331</v>
      </c>
      <c r="E1921" t="s">
        <v>2120</v>
      </c>
      <c r="F1921" t="s">
        <v>2055</v>
      </c>
      <c r="G1921" t="s">
        <v>2056</v>
      </c>
      <c r="H1921" t="s">
        <v>10</v>
      </c>
      <c r="I1921" t="s">
        <v>2114</v>
      </c>
      <c r="J1921" t="s">
        <v>2110</v>
      </c>
      <c r="K1921">
        <v>895.92</v>
      </c>
      <c r="L1921">
        <f t="shared" si="58"/>
        <v>89592</v>
      </c>
      <c r="M1921">
        <f t="shared" si="59"/>
        <v>17918.400000000001</v>
      </c>
    </row>
    <row r="1922" spans="1:13" x14ac:dyDescent="0.3">
      <c r="A1922">
        <v>1921</v>
      </c>
      <c r="B1922" t="s">
        <v>2054</v>
      </c>
      <c r="C1922" s="1">
        <v>43329</v>
      </c>
      <c r="D1922" s="1">
        <v>43331</v>
      </c>
      <c r="E1922" t="s">
        <v>2120</v>
      </c>
      <c r="F1922" t="s">
        <v>2055</v>
      </c>
      <c r="G1922" t="s">
        <v>2056</v>
      </c>
      <c r="H1922" t="s">
        <v>10</v>
      </c>
      <c r="I1922" t="s">
        <v>2114</v>
      </c>
      <c r="J1922" t="s">
        <v>2109</v>
      </c>
      <c r="K1922">
        <v>462.56400000000002</v>
      </c>
      <c r="L1922">
        <f t="shared" ref="L1922:L1985" si="60">K1922*100</f>
        <v>46256.4</v>
      </c>
      <c r="M1922">
        <f t="shared" si="59"/>
        <v>9251.2800000000007</v>
      </c>
    </row>
    <row r="1923" spans="1:13" x14ac:dyDescent="0.3">
      <c r="A1923">
        <v>1922</v>
      </c>
      <c r="B1923" t="s">
        <v>2057</v>
      </c>
      <c r="C1923" s="1">
        <v>42646</v>
      </c>
      <c r="D1923" s="1">
        <v>42652</v>
      </c>
      <c r="E1923" t="s">
        <v>2118</v>
      </c>
      <c r="F1923" t="s">
        <v>278</v>
      </c>
      <c r="G1923" t="s">
        <v>279</v>
      </c>
      <c r="H1923" t="s">
        <v>10</v>
      </c>
      <c r="I1923" t="s">
        <v>2114</v>
      </c>
      <c r="J1923" t="s">
        <v>2110</v>
      </c>
      <c r="K1923">
        <v>15.007999999999999</v>
      </c>
      <c r="L1923">
        <f t="shared" si="60"/>
        <v>1500.8</v>
      </c>
      <c r="M1923">
        <f t="shared" ref="M1923:M1986" si="61">L1923*0.2</f>
        <v>300.16000000000003</v>
      </c>
    </row>
    <row r="1924" spans="1:13" x14ac:dyDescent="0.3">
      <c r="A1924">
        <v>1923</v>
      </c>
      <c r="B1924" t="s">
        <v>2058</v>
      </c>
      <c r="C1924" s="1">
        <v>42924</v>
      </c>
      <c r="D1924" s="1">
        <v>42926</v>
      </c>
      <c r="E1924" t="s">
        <v>2119</v>
      </c>
      <c r="F1924" t="s">
        <v>2059</v>
      </c>
      <c r="G1924" t="s">
        <v>2060</v>
      </c>
      <c r="H1924" t="s">
        <v>10</v>
      </c>
      <c r="I1924" t="s">
        <v>2117</v>
      </c>
      <c r="J1924" t="s">
        <v>2111</v>
      </c>
      <c r="K1924">
        <v>863.64</v>
      </c>
      <c r="L1924">
        <f t="shared" si="60"/>
        <v>86364</v>
      </c>
      <c r="M1924">
        <f t="shared" si="61"/>
        <v>17272.8</v>
      </c>
    </row>
    <row r="1925" spans="1:13" x14ac:dyDescent="0.3">
      <c r="A1925">
        <v>1924</v>
      </c>
      <c r="B1925" t="s">
        <v>2058</v>
      </c>
      <c r="C1925" s="1">
        <v>42924</v>
      </c>
      <c r="D1925" s="1">
        <v>42926</v>
      </c>
      <c r="E1925" t="s">
        <v>2119</v>
      </c>
      <c r="F1925" t="s">
        <v>2059</v>
      </c>
      <c r="G1925" t="s">
        <v>2060</v>
      </c>
      <c r="H1925" t="s">
        <v>10</v>
      </c>
      <c r="I1925" t="s">
        <v>2117</v>
      </c>
      <c r="J1925" t="s">
        <v>2110</v>
      </c>
      <c r="K1925">
        <v>47.616</v>
      </c>
      <c r="L1925">
        <f t="shared" si="60"/>
        <v>4761.6000000000004</v>
      </c>
      <c r="M1925">
        <f t="shared" si="61"/>
        <v>952.32000000000016</v>
      </c>
    </row>
    <row r="1926" spans="1:13" x14ac:dyDescent="0.3">
      <c r="A1926">
        <v>1925</v>
      </c>
      <c r="B1926" t="s">
        <v>2061</v>
      </c>
      <c r="C1926" s="1">
        <v>43439</v>
      </c>
      <c r="D1926" s="1">
        <v>43441</v>
      </c>
      <c r="E1926" t="s">
        <v>2119</v>
      </c>
      <c r="F1926" t="s">
        <v>863</v>
      </c>
      <c r="G1926" t="s">
        <v>864</v>
      </c>
      <c r="H1926" t="s">
        <v>6</v>
      </c>
      <c r="I1926" t="s">
        <v>2112</v>
      </c>
      <c r="J1926" t="s">
        <v>2110</v>
      </c>
      <c r="K1926">
        <v>92.94</v>
      </c>
      <c r="L1926">
        <f t="shared" si="60"/>
        <v>9294</v>
      </c>
      <c r="M1926">
        <f t="shared" si="61"/>
        <v>1858.8000000000002</v>
      </c>
    </row>
    <row r="1927" spans="1:13" x14ac:dyDescent="0.3">
      <c r="A1927">
        <v>1926</v>
      </c>
      <c r="B1927" t="s">
        <v>2062</v>
      </c>
      <c r="C1927" s="1">
        <v>43168</v>
      </c>
      <c r="D1927" s="1">
        <v>43172</v>
      </c>
      <c r="E1927" t="s">
        <v>2118</v>
      </c>
      <c r="F1927" t="s">
        <v>1168</v>
      </c>
      <c r="G1927" t="s">
        <v>1169</v>
      </c>
      <c r="H1927" t="s">
        <v>10</v>
      </c>
      <c r="I1927" t="s">
        <v>2112</v>
      </c>
      <c r="J1927" t="s">
        <v>2111</v>
      </c>
      <c r="K1927">
        <v>199.98</v>
      </c>
      <c r="L1927">
        <f t="shared" si="60"/>
        <v>19998</v>
      </c>
      <c r="M1927">
        <f t="shared" si="61"/>
        <v>3999.6000000000004</v>
      </c>
    </row>
    <row r="1928" spans="1:13" x14ac:dyDescent="0.3">
      <c r="A1928">
        <v>1927</v>
      </c>
      <c r="B1928" t="s">
        <v>2063</v>
      </c>
      <c r="C1928" s="1">
        <v>42895</v>
      </c>
      <c r="D1928" s="1">
        <v>42901</v>
      </c>
      <c r="E1928" t="s">
        <v>2118</v>
      </c>
      <c r="F1928" t="s">
        <v>1408</v>
      </c>
      <c r="G1928" t="s">
        <v>1409</v>
      </c>
      <c r="H1928" t="s">
        <v>6</v>
      </c>
      <c r="I1928" t="s">
        <v>2112</v>
      </c>
      <c r="J1928" t="s">
        <v>2111</v>
      </c>
      <c r="K1928">
        <v>177.48</v>
      </c>
      <c r="L1928">
        <f t="shared" si="60"/>
        <v>17748</v>
      </c>
      <c r="M1928">
        <f t="shared" si="61"/>
        <v>3549.6000000000004</v>
      </c>
    </row>
    <row r="1929" spans="1:13" x14ac:dyDescent="0.3">
      <c r="A1929">
        <v>1928</v>
      </c>
      <c r="B1929" t="s">
        <v>2064</v>
      </c>
      <c r="C1929" s="1">
        <v>43432</v>
      </c>
      <c r="D1929" s="1">
        <v>43435</v>
      </c>
      <c r="E1929" t="s">
        <v>2120</v>
      </c>
      <c r="F1929" t="s">
        <v>981</v>
      </c>
      <c r="G1929" t="s">
        <v>982</v>
      </c>
      <c r="H1929" t="s">
        <v>6</v>
      </c>
      <c r="I1929" t="s">
        <v>2112</v>
      </c>
      <c r="J1929" t="s">
        <v>2110</v>
      </c>
      <c r="K1929">
        <v>88.768000000000001</v>
      </c>
      <c r="L1929">
        <f t="shared" si="60"/>
        <v>8876.7999999999993</v>
      </c>
      <c r="M1929">
        <f t="shared" si="61"/>
        <v>1775.36</v>
      </c>
    </row>
    <row r="1930" spans="1:13" x14ac:dyDescent="0.3">
      <c r="A1930">
        <v>1929</v>
      </c>
      <c r="B1930" t="s">
        <v>2065</v>
      </c>
      <c r="C1930" s="1">
        <v>43175</v>
      </c>
      <c r="D1930" s="1">
        <v>43177</v>
      </c>
      <c r="E1930" t="s">
        <v>2119</v>
      </c>
      <c r="F1930" t="s">
        <v>284</v>
      </c>
      <c r="G1930" t="s">
        <v>285</v>
      </c>
      <c r="H1930" t="s">
        <v>26</v>
      </c>
      <c r="I1930" t="s">
        <v>2112</v>
      </c>
      <c r="J1930" t="s">
        <v>2110</v>
      </c>
      <c r="K1930">
        <v>6.48</v>
      </c>
      <c r="L1930">
        <f t="shared" si="60"/>
        <v>648</v>
      </c>
      <c r="M1930">
        <f t="shared" si="61"/>
        <v>129.6</v>
      </c>
    </row>
    <row r="1931" spans="1:13" x14ac:dyDescent="0.3">
      <c r="A1931">
        <v>1930</v>
      </c>
      <c r="B1931" t="s">
        <v>2065</v>
      </c>
      <c r="C1931" s="1">
        <v>43175</v>
      </c>
      <c r="D1931" s="1">
        <v>43177</v>
      </c>
      <c r="E1931" t="s">
        <v>2119</v>
      </c>
      <c r="F1931" t="s">
        <v>284</v>
      </c>
      <c r="G1931" t="s">
        <v>285</v>
      </c>
      <c r="H1931" t="s">
        <v>26</v>
      </c>
      <c r="I1931" t="s">
        <v>2112</v>
      </c>
      <c r="J1931" t="s">
        <v>2110</v>
      </c>
      <c r="K1931">
        <v>46.51</v>
      </c>
      <c r="L1931">
        <f t="shared" si="60"/>
        <v>4651</v>
      </c>
      <c r="M1931">
        <f t="shared" si="61"/>
        <v>930.2</v>
      </c>
    </row>
    <row r="1932" spans="1:13" x14ac:dyDescent="0.3">
      <c r="A1932">
        <v>1931</v>
      </c>
      <c r="B1932" t="s">
        <v>2065</v>
      </c>
      <c r="C1932" s="1">
        <v>43175</v>
      </c>
      <c r="D1932" s="1">
        <v>43177</v>
      </c>
      <c r="E1932" t="s">
        <v>2119</v>
      </c>
      <c r="F1932" t="s">
        <v>284</v>
      </c>
      <c r="G1932" t="s">
        <v>285</v>
      </c>
      <c r="H1932" t="s">
        <v>26</v>
      </c>
      <c r="I1932" t="s">
        <v>2112</v>
      </c>
      <c r="J1932" t="s">
        <v>2111</v>
      </c>
      <c r="K1932">
        <v>659.976</v>
      </c>
      <c r="L1932">
        <f t="shared" si="60"/>
        <v>65997.600000000006</v>
      </c>
      <c r="M1932">
        <f t="shared" si="61"/>
        <v>13199.520000000002</v>
      </c>
    </row>
    <row r="1933" spans="1:13" x14ac:dyDescent="0.3">
      <c r="A1933">
        <v>1932</v>
      </c>
      <c r="B1933" t="s">
        <v>2066</v>
      </c>
      <c r="C1933" s="1">
        <v>43066</v>
      </c>
      <c r="D1933" s="1">
        <v>43068</v>
      </c>
      <c r="E1933" t="s">
        <v>2119</v>
      </c>
      <c r="F1933" t="s">
        <v>351</v>
      </c>
      <c r="G1933" t="s">
        <v>352</v>
      </c>
      <c r="H1933" t="s">
        <v>6</v>
      </c>
      <c r="I1933" t="s">
        <v>2112</v>
      </c>
      <c r="J1933" t="s">
        <v>2111</v>
      </c>
      <c r="K1933">
        <v>271.99200000000002</v>
      </c>
      <c r="L1933">
        <f t="shared" si="60"/>
        <v>27199.200000000001</v>
      </c>
      <c r="M1933">
        <f t="shared" si="61"/>
        <v>5439.84</v>
      </c>
    </row>
    <row r="1934" spans="1:13" x14ac:dyDescent="0.3">
      <c r="A1934">
        <v>1933</v>
      </c>
      <c r="B1934" t="s">
        <v>2067</v>
      </c>
      <c r="C1934" s="1">
        <v>43318</v>
      </c>
      <c r="D1934" s="1">
        <v>43322</v>
      </c>
      <c r="E1934" t="s">
        <v>2119</v>
      </c>
      <c r="F1934" t="s">
        <v>893</v>
      </c>
      <c r="G1934" t="s">
        <v>894</v>
      </c>
      <c r="H1934" t="s">
        <v>6</v>
      </c>
      <c r="I1934" t="s">
        <v>2115</v>
      </c>
      <c r="J1934" t="s">
        <v>2109</v>
      </c>
      <c r="K1934">
        <v>145.74</v>
      </c>
      <c r="L1934">
        <f t="shared" si="60"/>
        <v>14574</v>
      </c>
      <c r="M1934">
        <f t="shared" si="61"/>
        <v>2914.8</v>
      </c>
    </row>
    <row r="1935" spans="1:13" x14ac:dyDescent="0.3">
      <c r="A1935">
        <v>1934</v>
      </c>
      <c r="B1935" t="s">
        <v>2067</v>
      </c>
      <c r="C1935" s="1">
        <v>43318</v>
      </c>
      <c r="D1935" s="1">
        <v>43322</v>
      </c>
      <c r="E1935" t="s">
        <v>2119</v>
      </c>
      <c r="F1935" t="s">
        <v>893</v>
      </c>
      <c r="G1935" t="s">
        <v>894</v>
      </c>
      <c r="H1935" t="s">
        <v>6</v>
      </c>
      <c r="I1935" t="s">
        <v>2115</v>
      </c>
      <c r="J1935" t="s">
        <v>2109</v>
      </c>
      <c r="K1935">
        <v>15.4</v>
      </c>
      <c r="L1935">
        <f t="shared" si="60"/>
        <v>1540</v>
      </c>
      <c r="M1935">
        <f t="shared" si="61"/>
        <v>308</v>
      </c>
    </row>
    <row r="1936" spans="1:13" x14ac:dyDescent="0.3">
      <c r="A1936">
        <v>1935</v>
      </c>
      <c r="B1936" t="s">
        <v>2068</v>
      </c>
      <c r="C1936" s="1">
        <v>43431</v>
      </c>
      <c r="D1936" s="1">
        <v>43437</v>
      </c>
      <c r="E1936" t="s">
        <v>2118</v>
      </c>
      <c r="F1936" t="s">
        <v>1168</v>
      </c>
      <c r="G1936" t="s">
        <v>1169</v>
      </c>
      <c r="H1936" t="s">
        <v>10</v>
      </c>
      <c r="I1936" t="s">
        <v>2112</v>
      </c>
      <c r="J1936" t="s">
        <v>2110</v>
      </c>
      <c r="K1936">
        <v>244.55</v>
      </c>
      <c r="L1936">
        <f t="shared" si="60"/>
        <v>24455</v>
      </c>
      <c r="M1936">
        <f t="shared" si="61"/>
        <v>4891</v>
      </c>
    </row>
    <row r="1937" spans="1:13" x14ac:dyDescent="0.3">
      <c r="A1937">
        <v>1936</v>
      </c>
      <c r="B1937" t="s">
        <v>2068</v>
      </c>
      <c r="C1937" s="1">
        <v>43431</v>
      </c>
      <c r="D1937" s="1">
        <v>43437</v>
      </c>
      <c r="E1937" t="s">
        <v>2118</v>
      </c>
      <c r="F1937" t="s">
        <v>1168</v>
      </c>
      <c r="G1937" t="s">
        <v>1169</v>
      </c>
      <c r="H1937" t="s">
        <v>10</v>
      </c>
      <c r="I1937" t="s">
        <v>2112</v>
      </c>
      <c r="J1937" t="s">
        <v>2111</v>
      </c>
      <c r="K1937">
        <v>166.16</v>
      </c>
      <c r="L1937">
        <f t="shared" si="60"/>
        <v>16616</v>
      </c>
      <c r="M1937">
        <f t="shared" si="61"/>
        <v>3323.2000000000003</v>
      </c>
    </row>
    <row r="1938" spans="1:13" x14ac:dyDescent="0.3">
      <c r="A1938">
        <v>1937</v>
      </c>
      <c r="B1938" t="s">
        <v>2069</v>
      </c>
      <c r="C1938" s="1">
        <v>42515</v>
      </c>
      <c r="D1938" s="1">
        <v>42517</v>
      </c>
      <c r="E1938" t="s">
        <v>2119</v>
      </c>
      <c r="F1938" t="s">
        <v>1652</v>
      </c>
      <c r="G1938" t="s">
        <v>1653</v>
      </c>
      <c r="H1938" t="s">
        <v>26</v>
      </c>
      <c r="I1938" t="s">
        <v>2112</v>
      </c>
      <c r="J1938" t="s">
        <v>2109</v>
      </c>
      <c r="K1938">
        <v>14.73</v>
      </c>
      <c r="L1938">
        <f t="shared" si="60"/>
        <v>1473</v>
      </c>
      <c r="M1938">
        <f t="shared" si="61"/>
        <v>294.60000000000002</v>
      </c>
    </row>
    <row r="1939" spans="1:13" x14ac:dyDescent="0.3">
      <c r="A1939">
        <v>1938</v>
      </c>
      <c r="B1939" t="s">
        <v>2070</v>
      </c>
      <c r="C1939" s="1">
        <v>42924</v>
      </c>
      <c r="D1939" s="1">
        <v>42928</v>
      </c>
      <c r="E1939" t="s">
        <v>2118</v>
      </c>
      <c r="F1939" t="s">
        <v>2071</v>
      </c>
      <c r="G1939" t="s">
        <v>2072</v>
      </c>
      <c r="H1939" t="s">
        <v>6</v>
      </c>
      <c r="I1939" t="s">
        <v>2112</v>
      </c>
      <c r="J1939" t="s">
        <v>2110</v>
      </c>
      <c r="K1939">
        <v>19.968</v>
      </c>
      <c r="L1939">
        <f t="shared" si="60"/>
        <v>1996.8</v>
      </c>
      <c r="M1939">
        <f t="shared" si="61"/>
        <v>399.36</v>
      </c>
    </row>
    <row r="1940" spans="1:13" x14ac:dyDescent="0.3">
      <c r="A1940">
        <v>1939</v>
      </c>
      <c r="B1940" t="s">
        <v>2070</v>
      </c>
      <c r="C1940" s="1">
        <v>42924</v>
      </c>
      <c r="D1940" s="1">
        <v>42928</v>
      </c>
      <c r="E1940" t="s">
        <v>2118</v>
      </c>
      <c r="F1940" t="s">
        <v>2071</v>
      </c>
      <c r="G1940" t="s">
        <v>2072</v>
      </c>
      <c r="H1940" t="s">
        <v>6</v>
      </c>
      <c r="I1940" t="s">
        <v>2112</v>
      </c>
      <c r="J1940" t="s">
        <v>2110</v>
      </c>
      <c r="K1940">
        <v>33.488</v>
      </c>
      <c r="L1940">
        <f t="shared" si="60"/>
        <v>3348.8</v>
      </c>
      <c r="M1940">
        <f t="shared" si="61"/>
        <v>669.7600000000001</v>
      </c>
    </row>
    <row r="1941" spans="1:13" x14ac:dyDescent="0.3">
      <c r="A1941">
        <v>1940</v>
      </c>
      <c r="B1941" t="s">
        <v>2070</v>
      </c>
      <c r="C1941" s="1">
        <v>42924</v>
      </c>
      <c r="D1941" s="1">
        <v>42928</v>
      </c>
      <c r="E1941" t="s">
        <v>2118</v>
      </c>
      <c r="F1941" t="s">
        <v>2071</v>
      </c>
      <c r="G1941" t="s">
        <v>2072</v>
      </c>
      <c r="H1941" t="s">
        <v>6</v>
      </c>
      <c r="I1941" t="s">
        <v>2112</v>
      </c>
      <c r="J1941" t="s">
        <v>2110</v>
      </c>
      <c r="K1941">
        <v>8.7360000000000007</v>
      </c>
      <c r="L1941">
        <f t="shared" si="60"/>
        <v>873.6</v>
      </c>
      <c r="M1941">
        <f t="shared" si="61"/>
        <v>174.72000000000003</v>
      </c>
    </row>
    <row r="1942" spans="1:13" x14ac:dyDescent="0.3">
      <c r="A1942">
        <v>1941</v>
      </c>
      <c r="B1942" t="s">
        <v>2070</v>
      </c>
      <c r="C1942" s="1">
        <v>42924</v>
      </c>
      <c r="D1942" s="1">
        <v>42928</v>
      </c>
      <c r="E1942" t="s">
        <v>2118</v>
      </c>
      <c r="F1942" t="s">
        <v>2071</v>
      </c>
      <c r="G1942" t="s">
        <v>2072</v>
      </c>
      <c r="H1942" t="s">
        <v>6</v>
      </c>
      <c r="I1942" t="s">
        <v>2112</v>
      </c>
      <c r="J1942" t="s">
        <v>2109</v>
      </c>
      <c r="K1942">
        <v>662.88</v>
      </c>
      <c r="L1942">
        <f t="shared" si="60"/>
        <v>66288</v>
      </c>
      <c r="M1942">
        <f t="shared" si="61"/>
        <v>13257.6</v>
      </c>
    </row>
    <row r="1943" spans="1:13" x14ac:dyDescent="0.3">
      <c r="A1943">
        <v>1942</v>
      </c>
      <c r="B1943" t="s">
        <v>2073</v>
      </c>
      <c r="C1943" s="1">
        <v>43341</v>
      </c>
      <c r="D1943" s="1">
        <v>43344</v>
      </c>
      <c r="E1943" t="s">
        <v>2120</v>
      </c>
      <c r="F1943" t="s">
        <v>1503</v>
      </c>
      <c r="G1943" t="s">
        <v>1504</v>
      </c>
      <c r="H1943" t="s">
        <v>10</v>
      </c>
      <c r="I1943" t="s">
        <v>2117</v>
      </c>
      <c r="J1943" t="s">
        <v>2110</v>
      </c>
      <c r="K1943">
        <v>47.36</v>
      </c>
      <c r="L1943">
        <f t="shared" si="60"/>
        <v>4736</v>
      </c>
      <c r="M1943">
        <f t="shared" si="61"/>
        <v>947.2</v>
      </c>
    </row>
    <row r="1944" spans="1:13" x14ac:dyDescent="0.3">
      <c r="A1944">
        <v>1943</v>
      </c>
      <c r="B1944" t="s">
        <v>2073</v>
      </c>
      <c r="C1944" s="1">
        <v>43341</v>
      </c>
      <c r="D1944" s="1">
        <v>43344</v>
      </c>
      <c r="E1944" t="s">
        <v>2120</v>
      </c>
      <c r="F1944" t="s">
        <v>1503</v>
      </c>
      <c r="G1944" t="s">
        <v>1504</v>
      </c>
      <c r="H1944" t="s">
        <v>10</v>
      </c>
      <c r="I1944" t="s">
        <v>2117</v>
      </c>
      <c r="J1944" t="s">
        <v>2110</v>
      </c>
      <c r="K1944">
        <v>27.44</v>
      </c>
      <c r="L1944">
        <f t="shared" si="60"/>
        <v>2744</v>
      </c>
      <c r="M1944">
        <f t="shared" si="61"/>
        <v>548.80000000000007</v>
      </c>
    </row>
    <row r="1945" spans="1:13" x14ac:dyDescent="0.3">
      <c r="A1945">
        <v>1944</v>
      </c>
      <c r="B1945" t="s">
        <v>2073</v>
      </c>
      <c r="C1945" s="1">
        <v>43341</v>
      </c>
      <c r="D1945" s="1">
        <v>43344</v>
      </c>
      <c r="E1945" t="s">
        <v>2120</v>
      </c>
      <c r="F1945" t="s">
        <v>1503</v>
      </c>
      <c r="G1945" t="s">
        <v>1504</v>
      </c>
      <c r="H1945" t="s">
        <v>10</v>
      </c>
      <c r="I1945" t="s">
        <v>2117</v>
      </c>
      <c r="J1945" t="s">
        <v>2110</v>
      </c>
      <c r="K1945">
        <v>3.24</v>
      </c>
      <c r="L1945">
        <f t="shared" si="60"/>
        <v>324</v>
      </c>
      <c r="M1945">
        <f t="shared" si="61"/>
        <v>64.8</v>
      </c>
    </row>
    <row r="1946" spans="1:13" x14ac:dyDescent="0.3">
      <c r="A1946">
        <v>1945</v>
      </c>
      <c r="B1946" t="s">
        <v>2074</v>
      </c>
      <c r="C1946" s="1">
        <v>42906</v>
      </c>
      <c r="D1946" s="1">
        <v>42912</v>
      </c>
      <c r="E1946" t="s">
        <v>2118</v>
      </c>
      <c r="F1946" t="s">
        <v>326</v>
      </c>
      <c r="G1946" t="s">
        <v>327</v>
      </c>
      <c r="H1946" t="s">
        <v>10</v>
      </c>
      <c r="I1946" t="s">
        <v>2117</v>
      </c>
      <c r="J1946" t="s">
        <v>2111</v>
      </c>
      <c r="K1946">
        <v>95.968000000000004</v>
      </c>
      <c r="L1946">
        <f t="shared" si="60"/>
        <v>9596.8000000000011</v>
      </c>
      <c r="M1946">
        <f t="shared" si="61"/>
        <v>1919.3600000000004</v>
      </c>
    </row>
    <row r="1947" spans="1:13" x14ac:dyDescent="0.3">
      <c r="A1947">
        <v>1946</v>
      </c>
      <c r="B1947" t="s">
        <v>2074</v>
      </c>
      <c r="C1947" s="1">
        <v>42906</v>
      </c>
      <c r="D1947" s="1">
        <v>42912</v>
      </c>
      <c r="E1947" t="s">
        <v>2118</v>
      </c>
      <c r="F1947" t="s">
        <v>326</v>
      </c>
      <c r="G1947" t="s">
        <v>327</v>
      </c>
      <c r="H1947" t="s">
        <v>10</v>
      </c>
      <c r="I1947" t="s">
        <v>2117</v>
      </c>
      <c r="J1947" t="s">
        <v>2110</v>
      </c>
      <c r="K1947">
        <v>10.368</v>
      </c>
      <c r="L1947">
        <f t="shared" si="60"/>
        <v>1036.8</v>
      </c>
      <c r="M1947">
        <f t="shared" si="61"/>
        <v>207.36</v>
      </c>
    </row>
    <row r="1948" spans="1:13" x14ac:dyDescent="0.3">
      <c r="A1948">
        <v>1947</v>
      </c>
      <c r="B1948" t="s">
        <v>2075</v>
      </c>
      <c r="C1948" s="1">
        <v>43345</v>
      </c>
      <c r="D1948" s="1">
        <v>43349</v>
      </c>
      <c r="E1948" t="s">
        <v>2118</v>
      </c>
      <c r="F1948" t="s">
        <v>2076</v>
      </c>
      <c r="G1948" t="s">
        <v>2077</v>
      </c>
      <c r="H1948" t="s">
        <v>10</v>
      </c>
      <c r="I1948" t="s">
        <v>2114</v>
      </c>
      <c r="J1948" t="s">
        <v>2110</v>
      </c>
      <c r="K1948">
        <v>23.1</v>
      </c>
      <c r="L1948">
        <f t="shared" si="60"/>
        <v>2310</v>
      </c>
      <c r="M1948">
        <f t="shared" si="61"/>
        <v>462</v>
      </c>
    </row>
    <row r="1949" spans="1:13" x14ac:dyDescent="0.3">
      <c r="A1949">
        <v>1948</v>
      </c>
      <c r="B1949" t="s">
        <v>2075</v>
      </c>
      <c r="C1949" s="1">
        <v>43345</v>
      </c>
      <c r="D1949" s="1">
        <v>43349</v>
      </c>
      <c r="E1949" t="s">
        <v>2118</v>
      </c>
      <c r="F1949" t="s">
        <v>2076</v>
      </c>
      <c r="G1949" t="s">
        <v>2077</v>
      </c>
      <c r="H1949" t="s">
        <v>10</v>
      </c>
      <c r="I1949" t="s">
        <v>2114</v>
      </c>
      <c r="J1949" t="s">
        <v>2109</v>
      </c>
      <c r="K1949">
        <v>11.54</v>
      </c>
      <c r="L1949">
        <f t="shared" si="60"/>
        <v>1154</v>
      </c>
      <c r="M1949">
        <f t="shared" si="61"/>
        <v>230.8</v>
      </c>
    </row>
    <row r="1950" spans="1:13" x14ac:dyDescent="0.3">
      <c r="A1950">
        <v>1949</v>
      </c>
      <c r="B1950" t="s">
        <v>2075</v>
      </c>
      <c r="C1950" s="1">
        <v>43345</v>
      </c>
      <c r="D1950" s="1">
        <v>43349</v>
      </c>
      <c r="E1950" t="s">
        <v>2118</v>
      </c>
      <c r="F1950" t="s">
        <v>2076</v>
      </c>
      <c r="G1950" t="s">
        <v>2077</v>
      </c>
      <c r="H1950" t="s">
        <v>10</v>
      </c>
      <c r="I1950" t="s">
        <v>2114</v>
      </c>
      <c r="J1950" t="s">
        <v>2109</v>
      </c>
      <c r="K1950">
        <v>254.52600000000001</v>
      </c>
      <c r="L1950">
        <f t="shared" si="60"/>
        <v>25452.600000000002</v>
      </c>
      <c r="M1950">
        <f t="shared" si="61"/>
        <v>5090.5200000000004</v>
      </c>
    </row>
    <row r="1951" spans="1:13" x14ac:dyDescent="0.3">
      <c r="A1951">
        <v>1950</v>
      </c>
      <c r="B1951" t="s">
        <v>2075</v>
      </c>
      <c r="C1951" s="1">
        <v>43345</v>
      </c>
      <c r="D1951" s="1">
        <v>43349</v>
      </c>
      <c r="E1951" t="s">
        <v>2118</v>
      </c>
      <c r="F1951" t="s">
        <v>2076</v>
      </c>
      <c r="G1951" t="s">
        <v>2077</v>
      </c>
      <c r="H1951" t="s">
        <v>10</v>
      </c>
      <c r="I1951" t="s">
        <v>2114</v>
      </c>
      <c r="J1951" t="s">
        <v>2110</v>
      </c>
      <c r="K1951">
        <v>12.98</v>
      </c>
      <c r="L1951">
        <f t="shared" si="60"/>
        <v>1298</v>
      </c>
      <c r="M1951">
        <f t="shared" si="61"/>
        <v>259.60000000000002</v>
      </c>
    </row>
    <row r="1952" spans="1:13" x14ac:dyDescent="0.3">
      <c r="A1952">
        <v>1951</v>
      </c>
      <c r="B1952" t="s">
        <v>2075</v>
      </c>
      <c r="C1952" s="1">
        <v>43345</v>
      </c>
      <c r="D1952" s="1">
        <v>43349</v>
      </c>
      <c r="E1952" t="s">
        <v>2118</v>
      </c>
      <c r="F1952" t="s">
        <v>2076</v>
      </c>
      <c r="G1952" t="s">
        <v>2077</v>
      </c>
      <c r="H1952" t="s">
        <v>10</v>
      </c>
      <c r="I1952" t="s">
        <v>2114</v>
      </c>
      <c r="J1952" t="s">
        <v>2110</v>
      </c>
      <c r="K1952">
        <v>26.431999999999999</v>
      </c>
      <c r="L1952">
        <f t="shared" si="60"/>
        <v>2643.2</v>
      </c>
      <c r="M1952">
        <f t="shared" si="61"/>
        <v>528.64</v>
      </c>
    </row>
    <row r="1953" spans="1:13" x14ac:dyDescent="0.3">
      <c r="A1953">
        <v>1952</v>
      </c>
      <c r="B1953" t="s">
        <v>2075</v>
      </c>
      <c r="C1953" s="1">
        <v>43345</v>
      </c>
      <c r="D1953" s="1">
        <v>43349</v>
      </c>
      <c r="E1953" t="s">
        <v>2118</v>
      </c>
      <c r="F1953" t="s">
        <v>2076</v>
      </c>
      <c r="G1953" t="s">
        <v>2077</v>
      </c>
      <c r="H1953" t="s">
        <v>10</v>
      </c>
      <c r="I1953" t="s">
        <v>2114</v>
      </c>
      <c r="J1953" t="s">
        <v>2111</v>
      </c>
      <c r="K1953">
        <v>197.97</v>
      </c>
      <c r="L1953">
        <f t="shared" si="60"/>
        <v>19797</v>
      </c>
      <c r="M1953">
        <f t="shared" si="61"/>
        <v>3959.4</v>
      </c>
    </row>
    <row r="1954" spans="1:13" x14ac:dyDescent="0.3">
      <c r="A1954">
        <v>1953</v>
      </c>
      <c r="B1954" t="s">
        <v>2075</v>
      </c>
      <c r="C1954" s="1">
        <v>43345</v>
      </c>
      <c r="D1954" s="1">
        <v>43349</v>
      </c>
      <c r="E1954" t="s">
        <v>2118</v>
      </c>
      <c r="F1954" t="s">
        <v>2076</v>
      </c>
      <c r="G1954" t="s">
        <v>2077</v>
      </c>
      <c r="H1954" t="s">
        <v>10</v>
      </c>
      <c r="I1954" t="s">
        <v>2114</v>
      </c>
      <c r="J1954" t="s">
        <v>2110</v>
      </c>
      <c r="K1954">
        <v>18.899999999999999</v>
      </c>
      <c r="L1954">
        <f t="shared" si="60"/>
        <v>1889.9999999999998</v>
      </c>
      <c r="M1954">
        <f t="shared" si="61"/>
        <v>378</v>
      </c>
    </row>
    <row r="1955" spans="1:13" x14ac:dyDescent="0.3">
      <c r="A1955">
        <v>1954</v>
      </c>
      <c r="B1955" t="s">
        <v>2075</v>
      </c>
      <c r="C1955" s="1">
        <v>43345</v>
      </c>
      <c r="D1955" s="1">
        <v>43349</v>
      </c>
      <c r="E1955" t="s">
        <v>2118</v>
      </c>
      <c r="F1955" t="s">
        <v>2076</v>
      </c>
      <c r="G1955" t="s">
        <v>2077</v>
      </c>
      <c r="H1955" t="s">
        <v>10</v>
      </c>
      <c r="I1955" t="s">
        <v>2114</v>
      </c>
      <c r="J1955" t="s">
        <v>2109</v>
      </c>
      <c r="K1955">
        <v>1282.4100000000001</v>
      </c>
      <c r="L1955">
        <f t="shared" si="60"/>
        <v>128241.00000000001</v>
      </c>
      <c r="M1955">
        <f t="shared" si="61"/>
        <v>25648.200000000004</v>
      </c>
    </row>
    <row r="1956" spans="1:13" x14ac:dyDescent="0.3">
      <c r="A1956">
        <v>1955</v>
      </c>
      <c r="B1956" t="s">
        <v>2075</v>
      </c>
      <c r="C1956" s="1">
        <v>43345</v>
      </c>
      <c r="D1956" s="1">
        <v>43349</v>
      </c>
      <c r="E1956" t="s">
        <v>2118</v>
      </c>
      <c r="F1956" t="s">
        <v>2076</v>
      </c>
      <c r="G1956" t="s">
        <v>2077</v>
      </c>
      <c r="H1956" t="s">
        <v>10</v>
      </c>
      <c r="I1956" t="s">
        <v>2114</v>
      </c>
      <c r="J1956" t="s">
        <v>2110</v>
      </c>
      <c r="K1956">
        <v>4.92</v>
      </c>
      <c r="L1956">
        <f t="shared" si="60"/>
        <v>492</v>
      </c>
      <c r="M1956">
        <f t="shared" si="61"/>
        <v>98.4</v>
      </c>
    </row>
    <row r="1957" spans="1:13" x14ac:dyDescent="0.3">
      <c r="A1957">
        <v>1956</v>
      </c>
      <c r="B1957" t="s">
        <v>2075</v>
      </c>
      <c r="C1957" s="1">
        <v>43345</v>
      </c>
      <c r="D1957" s="1">
        <v>43349</v>
      </c>
      <c r="E1957" t="s">
        <v>2118</v>
      </c>
      <c r="F1957" t="s">
        <v>2076</v>
      </c>
      <c r="G1957" t="s">
        <v>2077</v>
      </c>
      <c r="H1957" t="s">
        <v>10</v>
      </c>
      <c r="I1957" t="s">
        <v>2114</v>
      </c>
      <c r="J1957" t="s">
        <v>2111</v>
      </c>
      <c r="K1957">
        <v>238</v>
      </c>
      <c r="L1957">
        <f t="shared" si="60"/>
        <v>23800</v>
      </c>
      <c r="M1957">
        <f t="shared" si="61"/>
        <v>4760</v>
      </c>
    </row>
    <row r="1958" spans="1:13" x14ac:dyDescent="0.3">
      <c r="A1958">
        <v>1957</v>
      </c>
      <c r="B1958" t="s">
        <v>2075</v>
      </c>
      <c r="C1958" s="1">
        <v>43345</v>
      </c>
      <c r="D1958" s="1">
        <v>43349</v>
      </c>
      <c r="E1958" t="s">
        <v>2118</v>
      </c>
      <c r="F1958" t="s">
        <v>2076</v>
      </c>
      <c r="G1958" t="s">
        <v>2077</v>
      </c>
      <c r="H1958" t="s">
        <v>10</v>
      </c>
      <c r="I1958" t="s">
        <v>2114</v>
      </c>
      <c r="J1958" t="s">
        <v>2111</v>
      </c>
      <c r="K1958">
        <v>167.97</v>
      </c>
      <c r="L1958">
        <f t="shared" si="60"/>
        <v>16797</v>
      </c>
      <c r="M1958">
        <f t="shared" si="61"/>
        <v>3359.4</v>
      </c>
    </row>
    <row r="1959" spans="1:13" x14ac:dyDescent="0.3">
      <c r="A1959">
        <v>1958</v>
      </c>
      <c r="B1959" t="s">
        <v>2075</v>
      </c>
      <c r="C1959" s="1">
        <v>43345</v>
      </c>
      <c r="D1959" s="1">
        <v>43349</v>
      </c>
      <c r="E1959" t="s">
        <v>2118</v>
      </c>
      <c r="F1959" t="s">
        <v>2076</v>
      </c>
      <c r="G1959" t="s">
        <v>2077</v>
      </c>
      <c r="H1959" t="s">
        <v>10</v>
      </c>
      <c r="I1959" t="s">
        <v>2114</v>
      </c>
      <c r="J1959" t="s">
        <v>2110</v>
      </c>
      <c r="K1959">
        <v>17.12</v>
      </c>
      <c r="L1959">
        <f t="shared" si="60"/>
        <v>1712</v>
      </c>
      <c r="M1959">
        <f t="shared" si="61"/>
        <v>342.40000000000003</v>
      </c>
    </row>
    <row r="1960" spans="1:13" x14ac:dyDescent="0.3">
      <c r="A1960">
        <v>1959</v>
      </c>
      <c r="B1960" t="s">
        <v>2078</v>
      </c>
      <c r="C1960" s="1">
        <v>43353</v>
      </c>
      <c r="D1960" s="1">
        <v>43358</v>
      </c>
      <c r="E1960" t="s">
        <v>2119</v>
      </c>
      <c r="F1960" t="s">
        <v>1183</v>
      </c>
      <c r="G1960" t="s">
        <v>1184</v>
      </c>
      <c r="H1960" t="s">
        <v>6</v>
      </c>
      <c r="I1960" t="s">
        <v>2117</v>
      </c>
      <c r="J1960" t="s">
        <v>2110</v>
      </c>
      <c r="K1960">
        <v>16.2</v>
      </c>
      <c r="L1960">
        <f t="shared" si="60"/>
        <v>1620</v>
      </c>
      <c r="M1960">
        <f t="shared" si="61"/>
        <v>324</v>
      </c>
    </row>
    <row r="1961" spans="1:13" x14ac:dyDescent="0.3">
      <c r="A1961">
        <v>1960</v>
      </c>
      <c r="B1961" t="s">
        <v>2078</v>
      </c>
      <c r="C1961" s="1">
        <v>43353</v>
      </c>
      <c r="D1961" s="1">
        <v>43358</v>
      </c>
      <c r="E1961" t="s">
        <v>2119</v>
      </c>
      <c r="F1961" t="s">
        <v>1183</v>
      </c>
      <c r="G1961" t="s">
        <v>1184</v>
      </c>
      <c r="H1961" t="s">
        <v>6</v>
      </c>
      <c r="I1961" t="s">
        <v>2117</v>
      </c>
      <c r="J1961" t="s">
        <v>2110</v>
      </c>
      <c r="K1961">
        <v>33.99</v>
      </c>
      <c r="L1961">
        <f t="shared" si="60"/>
        <v>3399</v>
      </c>
      <c r="M1961">
        <f t="shared" si="61"/>
        <v>679.80000000000007</v>
      </c>
    </row>
    <row r="1962" spans="1:13" x14ac:dyDescent="0.3">
      <c r="A1962">
        <v>1961</v>
      </c>
      <c r="B1962" t="s">
        <v>2078</v>
      </c>
      <c r="C1962" s="1">
        <v>43353</v>
      </c>
      <c r="D1962" s="1">
        <v>43358</v>
      </c>
      <c r="E1962" t="s">
        <v>2119</v>
      </c>
      <c r="F1962" t="s">
        <v>1183</v>
      </c>
      <c r="G1962" t="s">
        <v>1184</v>
      </c>
      <c r="H1962" t="s">
        <v>6</v>
      </c>
      <c r="I1962" t="s">
        <v>2117</v>
      </c>
      <c r="J1962" t="s">
        <v>2111</v>
      </c>
      <c r="K1962">
        <v>296.85000000000002</v>
      </c>
      <c r="L1962">
        <f t="shared" si="60"/>
        <v>29685.000000000004</v>
      </c>
      <c r="M1962">
        <f t="shared" si="61"/>
        <v>5937.0000000000009</v>
      </c>
    </row>
    <row r="1963" spans="1:13" x14ac:dyDescent="0.3">
      <c r="A1963">
        <v>1962</v>
      </c>
      <c r="B1963" t="s">
        <v>2078</v>
      </c>
      <c r="C1963" s="1">
        <v>43353</v>
      </c>
      <c r="D1963" s="1">
        <v>43358</v>
      </c>
      <c r="E1963" t="s">
        <v>2119</v>
      </c>
      <c r="F1963" t="s">
        <v>1183</v>
      </c>
      <c r="G1963" t="s">
        <v>1184</v>
      </c>
      <c r="H1963" t="s">
        <v>6</v>
      </c>
      <c r="I1963" t="s">
        <v>2117</v>
      </c>
      <c r="J1963" t="s">
        <v>2111</v>
      </c>
      <c r="K1963">
        <v>112.8</v>
      </c>
      <c r="L1963">
        <f t="shared" si="60"/>
        <v>11280</v>
      </c>
      <c r="M1963">
        <f t="shared" si="61"/>
        <v>2256</v>
      </c>
    </row>
    <row r="1964" spans="1:13" x14ac:dyDescent="0.3">
      <c r="A1964">
        <v>1963</v>
      </c>
      <c r="B1964" t="s">
        <v>2078</v>
      </c>
      <c r="C1964" s="1">
        <v>43353</v>
      </c>
      <c r="D1964" s="1">
        <v>43358</v>
      </c>
      <c r="E1964" t="s">
        <v>2119</v>
      </c>
      <c r="F1964" t="s">
        <v>1183</v>
      </c>
      <c r="G1964" t="s">
        <v>1184</v>
      </c>
      <c r="H1964" t="s">
        <v>6</v>
      </c>
      <c r="I1964" t="s">
        <v>2117</v>
      </c>
      <c r="J1964" t="s">
        <v>2110</v>
      </c>
      <c r="K1964">
        <v>13.71</v>
      </c>
      <c r="L1964">
        <f t="shared" si="60"/>
        <v>1371</v>
      </c>
      <c r="M1964">
        <f t="shared" si="61"/>
        <v>274.2</v>
      </c>
    </row>
    <row r="1965" spans="1:13" x14ac:dyDescent="0.3">
      <c r="A1965">
        <v>1964</v>
      </c>
      <c r="B1965" t="s">
        <v>2078</v>
      </c>
      <c r="C1965" s="1">
        <v>43353</v>
      </c>
      <c r="D1965" s="1">
        <v>43358</v>
      </c>
      <c r="E1965" t="s">
        <v>2119</v>
      </c>
      <c r="F1965" t="s">
        <v>1183</v>
      </c>
      <c r="G1965" t="s">
        <v>1184</v>
      </c>
      <c r="H1965" t="s">
        <v>6</v>
      </c>
      <c r="I1965" t="s">
        <v>2117</v>
      </c>
      <c r="J1965" t="s">
        <v>2110</v>
      </c>
      <c r="K1965">
        <v>24.9</v>
      </c>
      <c r="L1965">
        <f t="shared" si="60"/>
        <v>2490</v>
      </c>
      <c r="M1965">
        <f t="shared" si="61"/>
        <v>498</v>
      </c>
    </row>
    <row r="1966" spans="1:13" x14ac:dyDescent="0.3">
      <c r="A1966">
        <v>1965</v>
      </c>
      <c r="B1966" t="s">
        <v>2078</v>
      </c>
      <c r="C1966" s="1">
        <v>43353</v>
      </c>
      <c r="D1966" s="1">
        <v>43358</v>
      </c>
      <c r="E1966" t="s">
        <v>2119</v>
      </c>
      <c r="F1966" t="s">
        <v>1183</v>
      </c>
      <c r="G1966" t="s">
        <v>1184</v>
      </c>
      <c r="H1966" t="s">
        <v>6</v>
      </c>
      <c r="I1966" t="s">
        <v>2117</v>
      </c>
      <c r="J1966" t="s">
        <v>2110</v>
      </c>
      <c r="K1966">
        <v>286.29000000000002</v>
      </c>
      <c r="L1966">
        <f t="shared" si="60"/>
        <v>28629.000000000004</v>
      </c>
      <c r="M1966">
        <f t="shared" si="61"/>
        <v>5725.8000000000011</v>
      </c>
    </row>
    <row r="1967" spans="1:13" x14ac:dyDescent="0.3">
      <c r="A1967">
        <v>1966</v>
      </c>
      <c r="B1967" t="s">
        <v>2078</v>
      </c>
      <c r="C1967" s="1">
        <v>43353</v>
      </c>
      <c r="D1967" s="1">
        <v>43358</v>
      </c>
      <c r="E1967" t="s">
        <v>2119</v>
      </c>
      <c r="F1967" t="s">
        <v>1183</v>
      </c>
      <c r="G1967" t="s">
        <v>1184</v>
      </c>
      <c r="H1967" t="s">
        <v>6</v>
      </c>
      <c r="I1967" t="s">
        <v>2117</v>
      </c>
      <c r="J1967" t="s">
        <v>2110</v>
      </c>
      <c r="K1967">
        <v>24.18</v>
      </c>
      <c r="L1967">
        <f t="shared" si="60"/>
        <v>2418</v>
      </c>
      <c r="M1967">
        <f t="shared" si="61"/>
        <v>483.6</v>
      </c>
    </row>
    <row r="1968" spans="1:13" x14ac:dyDescent="0.3">
      <c r="A1968">
        <v>1967</v>
      </c>
      <c r="B1968" t="s">
        <v>2079</v>
      </c>
      <c r="C1968" s="1">
        <v>43455</v>
      </c>
      <c r="D1968" s="1">
        <v>43462</v>
      </c>
      <c r="E1968" t="s">
        <v>2118</v>
      </c>
      <c r="F1968" t="s">
        <v>651</v>
      </c>
      <c r="G1968" t="s">
        <v>652</v>
      </c>
      <c r="H1968" t="s">
        <v>6</v>
      </c>
      <c r="I1968" t="s">
        <v>2114</v>
      </c>
      <c r="J1968" t="s">
        <v>2111</v>
      </c>
      <c r="K1968">
        <v>281.97000000000003</v>
      </c>
      <c r="L1968">
        <f t="shared" si="60"/>
        <v>28197.000000000004</v>
      </c>
      <c r="M1968">
        <f t="shared" si="61"/>
        <v>5639.4000000000015</v>
      </c>
    </row>
    <row r="1969" spans="1:13" x14ac:dyDescent="0.3">
      <c r="A1969">
        <v>1968</v>
      </c>
      <c r="B1969" t="s">
        <v>2079</v>
      </c>
      <c r="C1969" s="1">
        <v>43455</v>
      </c>
      <c r="D1969" s="1">
        <v>43462</v>
      </c>
      <c r="E1969" t="s">
        <v>2118</v>
      </c>
      <c r="F1969" t="s">
        <v>651</v>
      </c>
      <c r="G1969" t="s">
        <v>652</v>
      </c>
      <c r="H1969" t="s">
        <v>6</v>
      </c>
      <c r="I1969" t="s">
        <v>2114</v>
      </c>
      <c r="J1969" t="s">
        <v>2110</v>
      </c>
      <c r="K1969">
        <v>69.5</v>
      </c>
      <c r="L1969">
        <f t="shared" si="60"/>
        <v>6950</v>
      </c>
      <c r="M1969">
        <f t="shared" si="61"/>
        <v>1390</v>
      </c>
    </row>
    <row r="1970" spans="1:13" x14ac:dyDescent="0.3">
      <c r="A1970">
        <v>1969</v>
      </c>
      <c r="B1970" t="s">
        <v>2079</v>
      </c>
      <c r="C1970" s="1">
        <v>43455</v>
      </c>
      <c r="D1970" s="1">
        <v>43462</v>
      </c>
      <c r="E1970" t="s">
        <v>2118</v>
      </c>
      <c r="F1970" t="s">
        <v>651</v>
      </c>
      <c r="G1970" t="s">
        <v>652</v>
      </c>
      <c r="H1970" t="s">
        <v>6</v>
      </c>
      <c r="I1970" t="s">
        <v>2114</v>
      </c>
      <c r="J1970" t="s">
        <v>2110</v>
      </c>
      <c r="K1970">
        <v>166.44</v>
      </c>
      <c r="L1970">
        <f t="shared" si="60"/>
        <v>16644</v>
      </c>
      <c r="M1970">
        <f t="shared" si="61"/>
        <v>3328.8</v>
      </c>
    </row>
    <row r="1971" spans="1:13" x14ac:dyDescent="0.3">
      <c r="A1971">
        <v>1970</v>
      </c>
      <c r="B1971" t="s">
        <v>2080</v>
      </c>
      <c r="C1971" s="1">
        <v>43366</v>
      </c>
      <c r="D1971" s="1">
        <v>43372</v>
      </c>
      <c r="E1971" t="s">
        <v>2118</v>
      </c>
      <c r="F1971" t="s">
        <v>698</v>
      </c>
      <c r="G1971" t="s">
        <v>699</v>
      </c>
      <c r="H1971" t="s">
        <v>6</v>
      </c>
      <c r="I1971" t="s">
        <v>2117</v>
      </c>
      <c r="J1971" t="s">
        <v>2111</v>
      </c>
      <c r="K1971">
        <v>291.95999999999998</v>
      </c>
      <c r="L1971">
        <f t="shared" si="60"/>
        <v>29195.999999999996</v>
      </c>
      <c r="M1971">
        <f t="shared" si="61"/>
        <v>5839.2</v>
      </c>
    </row>
    <row r="1972" spans="1:13" x14ac:dyDescent="0.3">
      <c r="A1972">
        <v>1971</v>
      </c>
      <c r="B1972" t="s">
        <v>2081</v>
      </c>
      <c r="C1972" s="1">
        <v>43226</v>
      </c>
      <c r="D1972" s="1">
        <v>43231</v>
      </c>
      <c r="E1972" t="s">
        <v>2118</v>
      </c>
      <c r="F1972" t="s">
        <v>1919</v>
      </c>
      <c r="G1972" t="s">
        <v>1920</v>
      </c>
      <c r="H1972" t="s">
        <v>26</v>
      </c>
      <c r="I1972" t="s">
        <v>2117</v>
      </c>
      <c r="J1972" t="s">
        <v>2110</v>
      </c>
      <c r="K1972">
        <v>6.4080000000000004</v>
      </c>
      <c r="L1972">
        <f t="shared" si="60"/>
        <v>640.80000000000007</v>
      </c>
      <c r="M1972">
        <f t="shared" si="61"/>
        <v>128.16000000000003</v>
      </c>
    </row>
    <row r="1973" spans="1:13" x14ac:dyDescent="0.3">
      <c r="A1973">
        <v>1972</v>
      </c>
      <c r="B1973" t="s">
        <v>2081</v>
      </c>
      <c r="C1973" s="1">
        <v>43226</v>
      </c>
      <c r="D1973" s="1">
        <v>43231</v>
      </c>
      <c r="E1973" t="s">
        <v>2118</v>
      </c>
      <c r="F1973" t="s">
        <v>1919</v>
      </c>
      <c r="G1973" t="s">
        <v>1920</v>
      </c>
      <c r="H1973" t="s">
        <v>26</v>
      </c>
      <c r="I1973" t="s">
        <v>2117</v>
      </c>
      <c r="J1973" t="s">
        <v>2111</v>
      </c>
      <c r="K1973">
        <v>408.74400000000003</v>
      </c>
      <c r="L1973">
        <f t="shared" si="60"/>
        <v>40874.400000000001</v>
      </c>
      <c r="M1973">
        <f t="shared" si="61"/>
        <v>8174.880000000001</v>
      </c>
    </row>
    <row r="1974" spans="1:13" x14ac:dyDescent="0.3">
      <c r="A1974">
        <v>1973</v>
      </c>
      <c r="B1974" t="s">
        <v>2082</v>
      </c>
      <c r="C1974" s="1">
        <v>42352</v>
      </c>
      <c r="D1974" s="1">
        <v>42357</v>
      </c>
      <c r="E1974" t="s">
        <v>2118</v>
      </c>
      <c r="F1974" t="s">
        <v>2083</v>
      </c>
      <c r="G1974" t="s">
        <v>2084</v>
      </c>
      <c r="H1974" t="s">
        <v>6</v>
      </c>
      <c r="I1974" t="s">
        <v>2117</v>
      </c>
      <c r="J1974" t="s">
        <v>2110</v>
      </c>
      <c r="K1974">
        <v>5.1040000000000001</v>
      </c>
      <c r="L1974">
        <f t="shared" si="60"/>
        <v>510.40000000000003</v>
      </c>
      <c r="M1974">
        <f t="shared" si="61"/>
        <v>102.08000000000001</v>
      </c>
    </row>
    <row r="1975" spans="1:13" x14ac:dyDescent="0.3">
      <c r="A1975">
        <v>1974</v>
      </c>
      <c r="B1975" t="s">
        <v>2082</v>
      </c>
      <c r="C1975" s="1">
        <v>42352</v>
      </c>
      <c r="D1975" s="1">
        <v>42357</v>
      </c>
      <c r="E1975" t="s">
        <v>2118</v>
      </c>
      <c r="F1975" t="s">
        <v>2083</v>
      </c>
      <c r="G1975" t="s">
        <v>2084</v>
      </c>
      <c r="H1975" t="s">
        <v>6</v>
      </c>
      <c r="I1975" t="s">
        <v>2117</v>
      </c>
      <c r="J1975" t="s">
        <v>2110</v>
      </c>
      <c r="K1975">
        <v>2.8959999999999999</v>
      </c>
      <c r="L1975">
        <f t="shared" si="60"/>
        <v>289.59999999999997</v>
      </c>
      <c r="M1975">
        <f t="shared" si="61"/>
        <v>57.919999999999995</v>
      </c>
    </row>
    <row r="1976" spans="1:13" x14ac:dyDescent="0.3">
      <c r="A1976">
        <v>1975</v>
      </c>
      <c r="B1976" t="s">
        <v>2082</v>
      </c>
      <c r="C1976" s="1">
        <v>42352</v>
      </c>
      <c r="D1976" s="1">
        <v>42357</v>
      </c>
      <c r="E1976" t="s">
        <v>2118</v>
      </c>
      <c r="F1976" t="s">
        <v>2083</v>
      </c>
      <c r="G1976" t="s">
        <v>2084</v>
      </c>
      <c r="H1976" t="s">
        <v>6</v>
      </c>
      <c r="I1976" t="s">
        <v>2117</v>
      </c>
      <c r="J1976" t="s">
        <v>2111</v>
      </c>
      <c r="K1976">
        <v>35.015999999999998</v>
      </c>
      <c r="L1976">
        <f t="shared" si="60"/>
        <v>3501.6</v>
      </c>
      <c r="M1976">
        <f t="shared" si="61"/>
        <v>700.32</v>
      </c>
    </row>
    <row r="1977" spans="1:13" x14ac:dyDescent="0.3">
      <c r="A1977">
        <v>1976</v>
      </c>
      <c r="B1977" t="s">
        <v>2085</v>
      </c>
      <c r="C1977" s="1">
        <v>42295</v>
      </c>
      <c r="D1977" s="1">
        <v>42297</v>
      </c>
      <c r="E1977" t="s">
        <v>2119</v>
      </c>
      <c r="F1977" t="s">
        <v>399</v>
      </c>
      <c r="G1977" t="s">
        <v>400</v>
      </c>
      <c r="H1977" t="s">
        <v>10</v>
      </c>
      <c r="I1977" t="s">
        <v>2115</v>
      </c>
      <c r="J1977" t="s">
        <v>2110</v>
      </c>
      <c r="K1977">
        <v>275.97000000000003</v>
      </c>
      <c r="L1977">
        <f t="shared" si="60"/>
        <v>27597.000000000004</v>
      </c>
      <c r="M1977">
        <f t="shared" si="61"/>
        <v>5519.4000000000015</v>
      </c>
    </row>
    <row r="1978" spans="1:13" x14ac:dyDescent="0.3">
      <c r="A1978">
        <v>1977</v>
      </c>
      <c r="B1978" t="s">
        <v>2085</v>
      </c>
      <c r="C1978" s="1">
        <v>42295</v>
      </c>
      <c r="D1978" s="1">
        <v>42297</v>
      </c>
      <c r="E1978" t="s">
        <v>2119</v>
      </c>
      <c r="F1978" t="s">
        <v>399</v>
      </c>
      <c r="G1978" t="s">
        <v>400</v>
      </c>
      <c r="H1978" t="s">
        <v>10</v>
      </c>
      <c r="I1978" t="s">
        <v>2115</v>
      </c>
      <c r="J1978" t="s">
        <v>2111</v>
      </c>
      <c r="K1978">
        <v>1394.95</v>
      </c>
      <c r="L1978">
        <f t="shared" si="60"/>
        <v>139495</v>
      </c>
      <c r="M1978">
        <f t="shared" si="61"/>
        <v>27899</v>
      </c>
    </row>
    <row r="1979" spans="1:13" x14ac:dyDescent="0.3">
      <c r="A1979">
        <v>1978</v>
      </c>
      <c r="B1979" t="s">
        <v>2085</v>
      </c>
      <c r="C1979" s="1">
        <v>42295</v>
      </c>
      <c r="D1979" s="1">
        <v>42297</v>
      </c>
      <c r="E1979" t="s">
        <v>2119</v>
      </c>
      <c r="F1979" t="s">
        <v>399</v>
      </c>
      <c r="G1979" t="s">
        <v>400</v>
      </c>
      <c r="H1979" t="s">
        <v>10</v>
      </c>
      <c r="I1979" t="s">
        <v>2115</v>
      </c>
      <c r="J1979" t="s">
        <v>2109</v>
      </c>
      <c r="K1979">
        <v>545.88</v>
      </c>
      <c r="L1979">
        <f t="shared" si="60"/>
        <v>54588</v>
      </c>
      <c r="M1979">
        <f t="shared" si="61"/>
        <v>10917.6</v>
      </c>
    </row>
    <row r="1980" spans="1:13" x14ac:dyDescent="0.3">
      <c r="A1980">
        <v>1979</v>
      </c>
      <c r="B1980" t="s">
        <v>2086</v>
      </c>
      <c r="C1980" s="1">
        <v>42498</v>
      </c>
      <c r="D1980" s="1">
        <v>42502</v>
      </c>
      <c r="E1980" t="s">
        <v>2118</v>
      </c>
      <c r="F1980" t="s">
        <v>676</v>
      </c>
      <c r="G1980" t="s">
        <v>677</v>
      </c>
      <c r="H1980" t="s">
        <v>6</v>
      </c>
      <c r="I1980" t="s">
        <v>2112</v>
      </c>
      <c r="J1980" t="s">
        <v>2110</v>
      </c>
      <c r="K1980">
        <v>5.2480000000000002</v>
      </c>
      <c r="L1980">
        <f t="shared" si="60"/>
        <v>524.80000000000007</v>
      </c>
      <c r="M1980">
        <f t="shared" si="61"/>
        <v>104.96000000000002</v>
      </c>
    </row>
    <row r="1981" spans="1:13" x14ac:dyDescent="0.3">
      <c r="A1981">
        <v>1980</v>
      </c>
      <c r="B1981" t="s">
        <v>2087</v>
      </c>
      <c r="C1981" s="1">
        <v>42839</v>
      </c>
      <c r="D1981" s="1">
        <v>42839</v>
      </c>
      <c r="E1981" t="s">
        <v>2120</v>
      </c>
      <c r="F1981" t="s">
        <v>1545</v>
      </c>
      <c r="G1981" t="s">
        <v>1546</v>
      </c>
      <c r="H1981" t="s">
        <v>6</v>
      </c>
      <c r="I1981" t="s">
        <v>2112</v>
      </c>
      <c r="J1981" t="s">
        <v>2109</v>
      </c>
      <c r="K1981">
        <v>933.53599999999994</v>
      </c>
      <c r="L1981">
        <f t="shared" si="60"/>
        <v>93353.599999999991</v>
      </c>
      <c r="M1981">
        <f t="shared" si="61"/>
        <v>18670.719999999998</v>
      </c>
    </row>
    <row r="1982" spans="1:13" x14ac:dyDescent="0.3">
      <c r="A1982">
        <v>1981</v>
      </c>
      <c r="B1982" t="s">
        <v>2087</v>
      </c>
      <c r="C1982" s="1">
        <v>42839</v>
      </c>
      <c r="D1982" s="1">
        <v>42839</v>
      </c>
      <c r="E1982" t="s">
        <v>2120</v>
      </c>
      <c r="F1982" t="s">
        <v>1545</v>
      </c>
      <c r="G1982" t="s">
        <v>1546</v>
      </c>
      <c r="H1982" t="s">
        <v>6</v>
      </c>
      <c r="I1982" t="s">
        <v>2112</v>
      </c>
      <c r="J1982" t="s">
        <v>2110</v>
      </c>
      <c r="K1982">
        <v>42.975999999999999</v>
      </c>
      <c r="L1982">
        <f t="shared" si="60"/>
        <v>4297.6000000000004</v>
      </c>
      <c r="M1982">
        <f t="shared" si="61"/>
        <v>859.5200000000001</v>
      </c>
    </row>
    <row r="1983" spans="1:13" x14ac:dyDescent="0.3">
      <c r="A1983">
        <v>1982</v>
      </c>
      <c r="B1983" t="s">
        <v>2088</v>
      </c>
      <c r="C1983" s="1">
        <v>42718</v>
      </c>
      <c r="D1983" s="1">
        <v>42720</v>
      </c>
      <c r="E1983" t="s">
        <v>2119</v>
      </c>
      <c r="F1983" t="s">
        <v>479</v>
      </c>
      <c r="G1983" t="s">
        <v>480</v>
      </c>
      <c r="H1983" t="s">
        <v>10</v>
      </c>
      <c r="I1983" t="s">
        <v>2115</v>
      </c>
      <c r="J1983" t="s">
        <v>2110</v>
      </c>
      <c r="K1983">
        <v>3.76</v>
      </c>
      <c r="L1983">
        <f t="shared" si="60"/>
        <v>376</v>
      </c>
      <c r="M1983">
        <f t="shared" si="61"/>
        <v>75.2</v>
      </c>
    </row>
    <row r="1984" spans="1:13" x14ac:dyDescent="0.3">
      <c r="A1984">
        <v>1983</v>
      </c>
      <c r="B1984" t="s">
        <v>2089</v>
      </c>
      <c r="C1984" s="1">
        <v>42341</v>
      </c>
      <c r="D1984" s="1">
        <v>42347</v>
      </c>
      <c r="E1984" t="s">
        <v>2118</v>
      </c>
      <c r="F1984" t="s">
        <v>500</v>
      </c>
      <c r="G1984" t="s">
        <v>501</v>
      </c>
      <c r="H1984" t="s">
        <v>6</v>
      </c>
      <c r="I1984" t="s">
        <v>2117</v>
      </c>
      <c r="J1984" t="s">
        <v>2111</v>
      </c>
      <c r="K1984">
        <v>479.96</v>
      </c>
      <c r="L1984">
        <f t="shared" si="60"/>
        <v>47996</v>
      </c>
      <c r="M1984">
        <f t="shared" si="61"/>
        <v>9599.2000000000007</v>
      </c>
    </row>
    <row r="1985" spans="1:13" x14ac:dyDescent="0.3">
      <c r="A1985">
        <v>1984</v>
      </c>
      <c r="B1985" t="s">
        <v>2090</v>
      </c>
      <c r="C1985" s="1">
        <v>42333</v>
      </c>
      <c r="D1985" s="1">
        <v>42335</v>
      </c>
      <c r="E1985" t="s">
        <v>2119</v>
      </c>
      <c r="F1985" t="s">
        <v>1486</v>
      </c>
      <c r="G1985" t="s">
        <v>1487</v>
      </c>
      <c r="H1985" t="s">
        <v>10</v>
      </c>
      <c r="I1985" t="s">
        <v>2112</v>
      </c>
      <c r="J1985" t="s">
        <v>2110</v>
      </c>
      <c r="K1985">
        <v>320.88</v>
      </c>
      <c r="L1985">
        <f t="shared" si="60"/>
        <v>32088</v>
      </c>
      <c r="M1985">
        <f t="shared" si="61"/>
        <v>6417.6</v>
      </c>
    </row>
    <row r="1986" spans="1:13" x14ac:dyDescent="0.3">
      <c r="A1986">
        <v>1985</v>
      </c>
      <c r="B1986" t="s">
        <v>2090</v>
      </c>
      <c r="C1986" s="1">
        <v>42333</v>
      </c>
      <c r="D1986" s="1">
        <v>42335</v>
      </c>
      <c r="E1986" t="s">
        <v>2119</v>
      </c>
      <c r="F1986" t="s">
        <v>1486</v>
      </c>
      <c r="G1986" t="s">
        <v>1487</v>
      </c>
      <c r="H1986" t="s">
        <v>10</v>
      </c>
      <c r="I1986" t="s">
        <v>2112</v>
      </c>
      <c r="J1986" t="s">
        <v>2109</v>
      </c>
      <c r="K1986">
        <v>23.88</v>
      </c>
      <c r="L1986">
        <f t="shared" ref="L1986:L2001" si="62">K1986*100</f>
        <v>2388</v>
      </c>
      <c r="M1986">
        <f t="shared" si="61"/>
        <v>477.6</v>
      </c>
    </row>
    <row r="1987" spans="1:13" x14ac:dyDescent="0.3">
      <c r="A1987">
        <v>1986</v>
      </c>
      <c r="B1987" t="s">
        <v>2090</v>
      </c>
      <c r="C1987" s="1">
        <v>42333</v>
      </c>
      <c r="D1987" s="1">
        <v>42335</v>
      </c>
      <c r="E1987" t="s">
        <v>2119</v>
      </c>
      <c r="F1987" t="s">
        <v>1486</v>
      </c>
      <c r="G1987" t="s">
        <v>1487</v>
      </c>
      <c r="H1987" t="s">
        <v>10</v>
      </c>
      <c r="I1987" t="s">
        <v>2112</v>
      </c>
      <c r="J1987" t="s">
        <v>2110</v>
      </c>
      <c r="K1987">
        <v>26.76</v>
      </c>
      <c r="L1987">
        <f t="shared" si="62"/>
        <v>2676</v>
      </c>
      <c r="M1987">
        <f t="shared" ref="M1987:M2001" si="63">L1987*0.2</f>
        <v>535.20000000000005</v>
      </c>
    </row>
    <row r="1988" spans="1:13" x14ac:dyDescent="0.3">
      <c r="A1988">
        <v>1987</v>
      </c>
      <c r="B1988" t="s">
        <v>2091</v>
      </c>
      <c r="C1988" s="1">
        <v>42941</v>
      </c>
      <c r="D1988" s="1">
        <v>42943</v>
      </c>
      <c r="E1988" t="s">
        <v>2120</v>
      </c>
      <c r="F1988" t="s">
        <v>2092</v>
      </c>
      <c r="G1988" t="s">
        <v>2093</v>
      </c>
      <c r="H1988" t="s">
        <v>6</v>
      </c>
      <c r="I1988" t="s">
        <v>2114</v>
      </c>
      <c r="J1988" t="s">
        <v>2111</v>
      </c>
      <c r="K1988">
        <v>1439.9760000000001</v>
      </c>
      <c r="L1988">
        <f t="shared" si="62"/>
        <v>143997.6</v>
      </c>
      <c r="M1988">
        <f t="shared" si="63"/>
        <v>28799.520000000004</v>
      </c>
    </row>
    <row r="1989" spans="1:13" x14ac:dyDescent="0.3">
      <c r="A1989">
        <v>1988</v>
      </c>
      <c r="B1989" t="s">
        <v>2094</v>
      </c>
      <c r="C1989" s="1">
        <v>42683</v>
      </c>
      <c r="D1989" s="1">
        <v>42687</v>
      </c>
      <c r="E1989" t="s">
        <v>2118</v>
      </c>
      <c r="F1989" t="s">
        <v>2028</v>
      </c>
      <c r="G1989" t="s">
        <v>2029</v>
      </c>
      <c r="H1989" t="s">
        <v>6</v>
      </c>
      <c r="I1989" t="s">
        <v>2117</v>
      </c>
      <c r="J1989" t="s">
        <v>2110</v>
      </c>
      <c r="K1989">
        <v>17.22</v>
      </c>
      <c r="L1989">
        <f t="shared" si="62"/>
        <v>1722</v>
      </c>
      <c r="M1989">
        <f t="shared" si="63"/>
        <v>344.40000000000003</v>
      </c>
    </row>
    <row r="1990" spans="1:13" x14ac:dyDescent="0.3">
      <c r="A1990">
        <v>1989</v>
      </c>
      <c r="B1990" t="s">
        <v>2094</v>
      </c>
      <c r="C1990" s="1">
        <v>42683</v>
      </c>
      <c r="D1990" s="1">
        <v>42687</v>
      </c>
      <c r="E1990" t="s">
        <v>2118</v>
      </c>
      <c r="F1990" t="s">
        <v>2028</v>
      </c>
      <c r="G1990" t="s">
        <v>2029</v>
      </c>
      <c r="H1990" t="s">
        <v>6</v>
      </c>
      <c r="I1990" t="s">
        <v>2117</v>
      </c>
      <c r="J1990" t="s">
        <v>2109</v>
      </c>
      <c r="K1990">
        <v>1024.3800000000001</v>
      </c>
      <c r="L1990">
        <f t="shared" si="62"/>
        <v>102438.00000000001</v>
      </c>
      <c r="M1990">
        <f t="shared" si="63"/>
        <v>20487.600000000006</v>
      </c>
    </row>
    <row r="1991" spans="1:13" x14ac:dyDescent="0.3">
      <c r="A1991">
        <v>1990</v>
      </c>
      <c r="B1991" t="s">
        <v>2094</v>
      </c>
      <c r="C1991" s="1">
        <v>42683</v>
      </c>
      <c r="D1991" s="1">
        <v>42687</v>
      </c>
      <c r="E1991" t="s">
        <v>2118</v>
      </c>
      <c r="F1991" t="s">
        <v>2028</v>
      </c>
      <c r="G1991" t="s">
        <v>2029</v>
      </c>
      <c r="H1991" t="s">
        <v>6</v>
      </c>
      <c r="I1991" t="s">
        <v>2117</v>
      </c>
      <c r="J1991" t="s">
        <v>2110</v>
      </c>
      <c r="K1991">
        <v>26.22</v>
      </c>
      <c r="L1991">
        <f t="shared" si="62"/>
        <v>2622</v>
      </c>
      <c r="M1991">
        <f t="shared" si="63"/>
        <v>524.4</v>
      </c>
    </row>
    <row r="1992" spans="1:13" x14ac:dyDescent="0.3">
      <c r="A1992">
        <v>1991</v>
      </c>
      <c r="B1992" t="s">
        <v>2094</v>
      </c>
      <c r="C1992" s="1">
        <v>42683</v>
      </c>
      <c r="D1992" s="1">
        <v>42687</v>
      </c>
      <c r="E1992" t="s">
        <v>2118</v>
      </c>
      <c r="F1992" t="s">
        <v>2028</v>
      </c>
      <c r="G1992" t="s">
        <v>2029</v>
      </c>
      <c r="H1992" t="s">
        <v>6</v>
      </c>
      <c r="I1992" t="s">
        <v>2117</v>
      </c>
      <c r="J1992" t="s">
        <v>2110</v>
      </c>
      <c r="K1992">
        <v>17.34</v>
      </c>
      <c r="L1992">
        <f t="shared" si="62"/>
        <v>1734</v>
      </c>
      <c r="M1992">
        <f t="shared" si="63"/>
        <v>346.8</v>
      </c>
    </row>
    <row r="1993" spans="1:13" x14ac:dyDescent="0.3">
      <c r="A1993">
        <v>1992</v>
      </c>
      <c r="B1993" t="s">
        <v>2095</v>
      </c>
      <c r="C1993" s="1">
        <v>43155</v>
      </c>
      <c r="D1993" s="1">
        <v>43159</v>
      </c>
      <c r="E1993" t="s">
        <v>2118</v>
      </c>
      <c r="F1993" t="s">
        <v>2092</v>
      </c>
      <c r="G1993" t="s">
        <v>2093</v>
      </c>
      <c r="H1993" t="s">
        <v>6</v>
      </c>
      <c r="I1993" t="s">
        <v>2114</v>
      </c>
      <c r="J1993" t="s">
        <v>2110</v>
      </c>
      <c r="K1993">
        <v>4.9560000000000004</v>
      </c>
      <c r="L1993">
        <f t="shared" si="62"/>
        <v>495.6</v>
      </c>
      <c r="M1993">
        <f t="shared" si="63"/>
        <v>99.12</v>
      </c>
    </row>
    <row r="1994" spans="1:13" x14ac:dyDescent="0.3">
      <c r="A1994">
        <v>1993</v>
      </c>
      <c r="B1994" t="s">
        <v>2096</v>
      </c>
      <c r="C1994" s="1">
        <v>43276</v>
      </c>
      <c r="D1994" s="1">
        <v>43283</v>
      </c>
      <c r="E1994" t="s">
        <v>2118</v>
      </c>
      <c r="F1994" t="s">
        <v>1919</v>
      </c>
      <c r="G1994" t="s">
        <v>1920</v>
      </c>
      <c r="H1994" t="s">
        <v>26</v>
      </c>
      <c r="I1994" t="s">
        <v>2112</v>
      </c>
      <c r="J1994" t="s">
        <v>2110</v>
      </c>
      <c r="K1994">
        <v>71.040000000000006</v>
      </c>
      <c r="L1994">
        <f t="shared" si="62"/>
        <v>7104.0000000000009</v>
      </c>
      <c r="M1994">
        <f t="shared" si="63"/>
        <v>1420.8000000000002</v>
      </c>
    </row>
    <row r="1995" spans="1:13" x14ac:dyDescent="0.3">
      <c r="A1995">
        <v>1994</v>
      </c>
      <c r="B1995" t="s">
        <v>2096</v>
      </c>
      <c r="C1995" s="1">
        <v>43276</v>
      </c>
      <c r="D1995" s="1">
        <v>43283</v>
      </c>
      <c r="E1995" t="s">
        <v>2118</v>
      </c>
      <c r="F1995" t="s">
        <v>1919</v>
      </c>
      <c r="G1995" t="s">
        <v>1920</v>
      </c>
      <c r="H1995" t="s">
        <v>26</v>
      </c>
      <c r="I1995" t="s">
        <v>2112</v>
      </c>
      <c r="J1995" t="s">
        <v>2110</v>
      </c>
      <c r="K1995">
        <v>5.3440000000000003</v>
      </c>
      <c r="L1995">
        <f t="shared" si="62"/>
        <v>534.4</v>
      </c>
      <c r="M1995">
        <f t="shared" si="63"/>
        <v>106.88</v>
      </c>
    </row>
    <row r="1996" spans="1:13" x14ac:dyDescent="0.3">
      <c r="A1996">
        <v>1995</v>
      </c>
      <c r="B1996" t="s">
        <v>2096</v>
      </c>
      <c r="C1996" s="1">
        <v>43276</v>
      </c>
      <c r="D1996" s="1">
        <v>43283</v>
      </c>
      <c r="E1996" t="s">
        <v>2118</v>
      </c>
      <c r="F1996" t="s">
        <v>1919</v>
      </c>
      <c r="G1996" t="s">
        <v>1920</v>
      </c>
      <c r="H1996" t="s">
        <v>26</v>
      </c>
      <c r="I1996" t="s">
        <v>2112</v>
      </c>
      <c r="J1996" t="s">
        <v>2110</v>
      </c>
      <c r="K1996">
        <v>11.304</v>
      </c>
      <c r="L1996">
        <f t="shared" si="62"/>
        <v>1130.4000000000001</v>
      </c>
      <c r="M1996">
        <f t="shared" si="63"/>
        <v>226.08000000000004</v>
      </c>
    </row>
    <row r="1997" spans="1:13" x14ac:dyDescent="0.3">
      <c r="A1997">
        <v>1996</v>
      </c>
      <c r="B1997" t="s">
        <v>2097</v>
      </c>
      <c r="C1997" s="1">
        <v>43436</v>
      </c>
      <c r="D1997" s="1">
        <v>43438</v>
      </c>
      <c r="E1997" t="s">
        <v>2119</v>
      </c>
      <c r="F1997" t="s">
        <v>2098</v>
      </c>
      <c r="G1997" t="s">
        <v>2099</v>
      </c>
      <c r="H1997" t="s">
        <v>6</v>
      </c>
      <c r="I1997" t="s">
        <v>2117</v>
      </c>
      <c r="J1997" t="s">
        <v>2110</v>
      </c>
      <c r="K1997">
        <v>294.62</v>
      </c>
      <c r="L1997">
        <f t="shared" si="62"/>
        <v>29462</v>
      </c>
      <c r="M1997">
        <f t="shared" si="63"/>
        <v>5892.4000000000005</v>
      </c>
    </row>
    <row r="1998" spans="1:13" x14ac:dyDescent="0.3">
      <c r="A1998">
        <v>1997</v>
      </c>
      <c r="B1998" t="s">
        <v>2097</v>
      </c>
      <c r="C1998" s="1">
        <v>43436</v>
      </c>
      <c r="D1998" s="1">
        <v>43438</v>
      </c>
      <c r="E1998" t="s">
        <v>2119</v>
      </c>
      <c r="F1998" t="s">
        <v>2098</v>
      </c>
      <c r="G1998" t="s">
        <v>2099</v>
      </c>
      <c r="H1998" t="s">
        <v>6</v>
      </c>
      <c r="I1998" t="s">
        <v>2117</v>
      </c>
      <c r="J1998" t="s">
        <v>2109</v>
      </c>
      <c r="K1998">
        <v>8.7520000000000007</v>
      </c>
      <c r="L1998">
        <f t="shared" si="62"/>
        <v>875.2</v>
      </c>
      <c r="M1998">
        <f t="shared" si="63"/>
        <v>175.04000000000002</v>
      </c>
    </row>
    <row r="1999" spans="1:13" x14ac:dyDescent="0.3">
      <c r="A1999">
        <v>1998</v>
      </c>
      <c r="B1999" t="s">
        <v>2100</v>
      </c>
      <c r="C1999" s="1">
        <v>42041</v>
      </c>
      <c r="D1999" s="1">
        <v>42044</v>
      </c>
      <c r="E1999" t="s">
        <v>2120</v>
      </c>
      <c r="F1999" t="s">
        <v>1972</v>
      </c>
      <c r="G1999" t="s">
        <v>1973</v>
      </c>
      <c r="H1999" t="s">
        <v>10</v>
      </c>
      <c r="I1999" t="s">
        <v>2115</v>
      </c>
      <c r="J1999" t="s">
        <v>2110</v>
      </c>
      <c r="K1999">
        <v>15</v>
      </c>
      <c r="L1999">
        <f t="shared" si="62"/>
        <v>1500</v>
      </c>
      <c r="M1999">
        <f t="shared" si="63"/>
        <v>300</v>
      </c>
    </row>
    <row r="2000" spans="1:13" x14ac:dyDescent="0.3">
      <c r="A2000">
        <v>1999</v>
      </c>
      <c r="B2000" t="s">
        <v>2100</v>
      </c>
      <c r="C2000" s="1">
        <v>42041</v>
      </c>
      <c r="D2000" s="1">
        <v>42044</v>
      </c>
      <c r="E2000" t="s">
        <v>2120</v>
      </c>
      <c r="F2000" t="s">
        <v>1972</v>
      </c>
      <c r="G2000" t="s">
        <v>1973</v>
      </c>
      <c r="H2000" t="s">
        <v>10</v>
      </c>
      <c r="I2000" t="s">
        <v>2115</v>
      </c>
      <c r="J2000" t="s">
        <v>2111</v>
      </c>
      <c r="K2000">
        <v>161.61000000000001</v>
      </c>
      <c r="L2000">
        <f t="shared" si="62"/>
        <v>16161.000000000002</v>
      </c>
      <c r="M2000">
        <f t="shared" si="63"/>
        <v>3232.2000000000007</v>
      </c>
    </row>
    <row r="2001" spans="1:13" x14ac:dyDescent="0.3">
      <c r="A2001">
        <v>2000</v>
      </c>
      <c r="B2001" t="s">
        <v>2100</v>
      </c>
      <c r="C2001" s="1">
        <v>42041</v>
      </c>
      <c r="D2001" s="1">
        <v>42044</v>
      </c>
      <c r="E2001" t="s">
        <v>2120</v>
      </c>
      <c r="F2001" t="s">
        <v>1972</v>
      </c>
      <c r="G2001" t="s">
        <v>1973</v>
      </c>
      <c r="H2001" t="s">
        <v>10</v>
      </c>
      <c r="I2001" t="s">
        <v>2115</v>
      </c>
      <c r="J2001" t="s">
        <v>2111</v>
      </c>
      <c r="K2001">
        <v>144.94999999999999</v>
      </c>
      <c r="L2001">
        <f t="shared" si="62"/>
        <v>14494.999999999998</v>
      </c>
      <c r="M2001">
        <f t="shared" si="63"/>
        <v>2899</v>
      </c>
    </row>
  </sheetData>
  <autoFilter ref="A1:M2001" xr:uid="{24463C58-B7E9-42E9-B1EE-06E67CD5A89B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13DD-213A-40C6-8BD3-7BEA2A75B834}">
  <dimension ref="A3:K8"/>
  <sheetViews>
    <sheetView tabSelected="1" workbookViewId="0">
      <selection activeCell="J20" sqref="J20"/>
    </sheetView>
  </sheetViews>
  <sheetFormatPr defaultRowHeight="14.4" x14ac:dyDescent="0.3"/>
  <cols>
    <col min="1" max="1" width="12.44140625" bestFit="1" customWidth="1"/>
    <col min="2" max="2" width="18.6640625" bestFit="1" customWidth="1"/>
    <col min="4" max="4" width="12.44140625" bestFit="1" customWidth="1"/>
    <col min="5" max="5" width="13.109375" bestFit="1" customWidth="1"/>
    <col min="6" max="6" width="12.5546875" bestFit="1" customWidth="1"/>
    <col min="7" max="7" width="12.44140625" bestFit="1" customWidth="1"/>
    <col min="8" max="8" width="16.88671875" bestFit="1" customWidth="1"/>
    <col min="10" max="10" width="12.44140625" bestFit="1" customWidth="1"/>
    <col min="11" max="11" width="18.6640625" bestFit="1" customWidth="1"/>
  </cols>
  <sheetData>
    <row r="3" spans="1:11" x14ac:dyDescent="0.3">
      <c r="A3" s="2" t="s">
        <v>2106</v>
      </c>
      <c r="B3" t="s">
        <v>2125</v>
      </c>
      <c r="D3" s="2" t="s">
        <v>2123</v>
      </c>
      <c r="E3" t="s">
        <v>2126</v>
      </c>
      <c r="G3" s="2" t="s">
        <v>2123</v>
      </c>
      <c r="H3" t="s">
        <v>2131</v>
      </c>
      <c r="J3" s="2" t="s">
        <v>2123</v>
      </c>
      <c r="K3" t="s">
        <v>2125</v>
      </c>
    </row>
    <row r="4" spans="1:11" x14ac:dyDescent="0.3">
      <c r="A4" s="3" t="s">
        <v>2112</v>
      </c>
      <c r="B4" s="4">
        <v>13764229.350000001</v>
      </c>
      <c r="D4" s="3" t="s">
        <v>2110</v>
      </c>
      <c r="E4" s="4">
        <v>2652015.2000000011</v>
      </c>
      <c r="G4" s="3" t="s">
        <v>2127</v>
      </c>
      <c r="H4">
        <v>393</v>
      </c>
      <c r="J4" s="3" t="s">
        <v>2118</v>
      </c>
      <c r="K4" s="4">
        <v>23982201.230000019</v>
      </c>
    </row>
    <row r="5" spans="1:11" x14ac:dyDescent="0.3">
      <c r="A5" s="3" t="s">
        <v>2117</v>
      </c>
      <c r="B5" s="4">
        <v>11416860.340000004</v>
      </c>
      <c r="D5" s="3" t="s">
        <v>2111</v>
      </c>
      <c r="E5" s="4">
        <v>3357430.4000000032</v>
      </c>
      <c r="G5" s="3" t="s">
        <v>2128</v>
      </c>
      <c r="H5">
        <v>423</v>
      </c>
      <c r="J5" s="3" t="s">
        <v>2120</v>
      </c>
      <c r="K5" s="4">
        <v>8265374.700000003</v>
      </c>
    </row>
    <row r="6" spans="1:11" x14ac:dyDescent="0.3">
      <c r="A6" s="3" t="s">
        <v>2115</v>
      </c>
      <c r="B6" s="4">
        <v>7697402.5</v>
      </c>
      <c r="D6" s="3" t="s">
        <v>2109</v>
      </c>
      <c r="E6" s="4">
        <v>3148515.6780000008</v>
      </c>
      <c r="G6" s="3" t="s">
        <v>2129</v>
      </c>
      <c r="H6">
        <v>581</v>
      </c>
      <c r="J6" s="3" t="s">
        <v>2119</v>
      </c>
      <c r="K6" s="4">
        <v>10231727.860000001</v>
      </c>
    </row>
    <row r="7" spans="1:11" x14ac:dyDescent="0.3">
      <c r="A7" s="3" t="s">
        <v>2114</v>
      </c>
      <c r="B7" s="4">
        <v>12911314.199999996</v>
      </c>
      <c r="D7" s="3" t="s">
        <v>2124</v>
      </c>
      <c r="E7" s="4">
        <v>9157961.2780000046</v>
      </c>
      <c r="G7" s="3" t="s">
        <v>2130</v>
      </c>
      <c r="H7">
        <v>603</v>
      </c>
      <c r="J7" s="3" t="s">
        <v>2124</v>
      </c>
      <c r="K7" s="4">
        <v>42479303.790000021</v>
      </c>
    </row>
    <row r="8" spans="1:11" x14ac:dyDescent="0.3">
      <c r="A8" s="3" t="s">
        <v>2124</v>
      </c>
      <c r="B8" s="4">
        <v>45789806.390000001</v>
      </c>
      <c r="G8" s="3" t="s">
        <v>2124</v>
      </c>
      <c r="H8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bhavishya anjana</cp:lastModifiedBy>
  <dcterms:created xsi:type="dcterms:W3CDTF">2026-03-24T11:05:51Z</dcterms:created>
  <dcterms:modified xsi:type="dcterms:W3CDTF">2026-03-24T13:21:18Z</dcterms:modified>
</cp:coreProperties>
</file>